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zart/Library/Mobile Documents/com~apple~CloudDocs/Predoc/"/>
    </mc:Choice>
  </mc:AlternateContent>
  <xr:revisionPtr revIDLastSave="0" documentId="13_ncr:1_{89038A3D-1AB3-A04A-B135-C4432D23EEB1}" xr6:coauthVersionLast="47" xr6:coauthVersionMax="47" xr10:uidLastSave="{00000000-0000-0000-0000-000000000000}"/>
  <bookViews>
    <workbookView xWindow="0" yWindow="660" windowWidth="30240" windowHeight="17760" activeTab="4" xr2:uid="{5B78A640-D597-D24B-B230-CCAD501B1F96}"/>
  </bookViews>
  <sheets>
    <sheet name="Composicao" sheetId="4" r:id="rId1"/>
    <sheet name="Selecao_Carteira" sheetId="5" r:id="rId2"/>
    <sheet name="Ex_Carteira" sheetId="6" r:id="rId3"/>
    <sheet name="Cotacoes" sheetId="7" r:id="rId4"/>
    <sheet name="Retorno" sheetId="8" r:id="rId5"/>
  </sheets>
  <definedNames>
    <definedName name="_xlnm._FilterDatabase" localSheetId="0" hidden="1">Composicao!$A$1:$N$1</definedName>
    <definedName name="_xlnm._FilterDatabase" localSheetId="2" hidden="1">Ex_Carteira!$A$1:$O$1</definedName>
    <definedName name="_xlnm._FilterDatabase" localSheetId="1" hidden="1">Selecao_Carteira!$A$1:$O$1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" i="5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C639" i="8"/>
  <c r="D639" i="8"/>
  <c r="E639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C640" i="8"/>
  <c r="D640" i="8"/>
  <c r="E640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C641" i="8"/>
  <c r="D641" i="8"/>
  <c r="E641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C642" i="8"/>
  <c r="D642" i="8"/>
  <c r="E642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C643" i="8"/>
  <c r="D643" i="8"/>
  <c r="E643" i="8"/>
  <c r="F643" i="8"/>
  <c r="G643" i="8"/>
  <c r="H643" i="8"/>
  <c r="I643" i="8"/>
  <c r="J643" i="8"/>
  <c r="K643" i="8"/>
  <c r="L643" i="8"/>
  <c r="M643" i="8"/>
  <c r="N643" i="8"/>
  <c r="O643" i="8"/>
  <c r="P643" i="8"/>
  <c r="Q643" i="8"/>
  <c r="R643" i="8"/>
  <c r="S643" i="8"/>
  <c r="T643" i="8"/>
  <c r="U643" i="8"/>
  <c r="V643" i="8"/>
  <c r="C644" i="8"/>
  <c r="D644" i="8"/>
  <c r="E644" i="8"/>
  <c r="F644" i="8"/>
  <c r="G644" i="8"/>
  <c r="H644" i="8"/>
  <c r="I644" i="8"/>
  <c r="J644" i="8"/>
  <c r="K644" i="8"/>
  <c r="L644" i="8"/>
  <c r="M644" i="8"/>
  <c r="N644" i="8"/>
  <c r="O644" i="8"/>
  <c r="P644" i="8"/>
  <c r="Q644" i="8"/>
  <c r="R644" i="8"/>
  <c r="S644" i="8"/>
  <c r="T644" i="8"/>
  <c r="U644" i="8"/>
  <c r="V644" i="8"/>
  <c r="C645" i="8"/>
  <c r="D645" i="8"/>
  <c r="E645" i="8"/>
  <c r="F645" i="8"/>
  <c r="G645" i="8"/>
  <c r="H645" i="8"/>
  <c r="I645" i="8"/>
  <c r="J645" i="8"/>
  <c r="K645" i="8"/>
  <c r="L645" i="8"/>
  <c r="M645" i="8"/>
  <c r="N645" i="8"/>
  <c r="O645" i="8"/>
  <c r="P645" i="8"/>
  <c r="Q645" i="8"/>
  <c r="R645" i="8"/>
  <c r="S645" i="8"/>
  <c r="T645" i="8"/>
  <c r="U645" i="8"/>
  <c r="V645" i="8"/>
  <c r="C646" i="8"/>
  <c r="D646" i="8"/>
  <c r="E646" i="8"/>
  <c r="F646" i="8"/>
  <c r="G646" i="8"/>
  <c r="H646" i="8"/>
  <c r="I646" i="8"/>
  <c r="J646" i="8"/>
  <c r="K646" i="8"/>
  <c r="L646" i="8"/>
  <c r="M646" i="8"/>
  <c r="N646" i="8"/>
  <c r="O646" i="8"/>
  <c r="P646" i="8"/>
  <c r="Q646" i="8"/>
  <c r="R646" i="8"/>
  <c r="S646" i="8"/>
  <c r="T646" i="8"/>
  <c r="U646" i="8"/>
  <c r="V646" i="8"/>
  <c r="C647" i="8"/>
  <c r="D647" i="8"/>
  <c r="E647" i="8"/>
  <c r="F647" i="8"/>
  <c r="G647" i="8"/>
  <c r="H647" i="8"/>
  <c r="I647" i="8"/>
  <c r="J647" i="8"/>
  <c r="K647" i="8"/>
  <c r="L647" i="8"/>
  <c r="M647" i="8"/>
  <c r="N647" i="8"/>
  <c r="O647" i="8"/>
  <c r="P647" i="8"/>
  <c r="Q647" i="8"/>
  <c r="R647" i="8"/>
  <c r="S647" i="8"/>
  <c r="T647" i="8"/>
  <c r="U647" i="8"/>
  <c r="V647" i="8"/>
  <c r="C648" i="8"/>
  <c r="D648" i="8"/>
  <c r="E648" i="8"/>
  <c r="F648" i="8"/>
  <c r="G648" i="8"/>
  <c r="H648" i="8"/>
  <c r="I648" i="8"/>
  <c r="J648" i="8"/>
  <c r="K648" i="8"/>
  <c r="L648" i="8"/>
  <c r="M648" i="8"/>
  <c r="N648" i="8"/>
  <c r="O648" i="8"/>
  <c r="P648" i="8"/>
  <c r="Q648" i="8"/>
  <c r="R648" i="8"/>
  <c r="S648" i="8"/>
  <c r="T648" i="8"/>
  <c r="U648" i="8"/>
  <c r="V648" i="8"/>
  <c r="C649" i="8"/>
  <c r="D649" i="8"/>
  <c r="E649" i="8"/>
  <c r="F649" i="8"/>
  <c r="G649" i="8"/>
  <c r="H649" i="8"/>
  <c r="I649" i="8"/>
  <c r="J649" i="8"/>
  <c r="K649" i="8"/>
  <c r="L649" i="8"/>
  <c r="M649" i="8"/>
  <c r="N649" i="8"/>
  <c r="O649" i="8"/>
  <c r="P649" i="8"/>
  <c r="Q649" i="8"/>
  <c r="R649" i="8"/>
  <c r="S649" i="8"/>
  <c r="T649" i="8"/>
  <c r="U649" i="8"/>
  <c r="V649" i="8"/>
  <c r="C650" i="8"/>
  <c r="D650" i="8"/>
  <c r="E650" i="8"/>
  <c r="F650" i="8"/>
  <c r="G650" i="8"/>
  <c r="H650" i="8"/>
  <c r="I650" i="8"/>
  <c r="J650" i="8"/>
  <c r="K650" i="8"/>
  <c r="L650" i="8"/>
  <c r="M650" i="8"/>
  <c r="N650" i="8"/>
  <c r="O650" i="8"/>
  <c r="P650" i="8"/>
  <c r="Q650" i="8"/>
  <c r="R650" i="8"/>
  <c r="S650" i="8"/>
  <c r="T650" i="8"/>
  <c r="U650" i="8"/>
  <c r="V650" i="8"/>
  <c r="C651" i="8"/>
  <c r="D651" i="8"/>
  <c r="E651" i="8"/>
  <c r="F651" i="8"/>
  <c r="G651" i="8"/>
  <c r="H651" i="8"/>
  <c r="I651" i="8"/>
  <c r="J651" i="8"/>
  <c r="K651" i="8"/>
  <c r="L651" i="8"/>
  <c r="M651" i="8"/>
  <c r="N651" i="8"/>
  <c r="O651" i="8"/>
  <c r="P651" i="8"/>
  <c r="Q651" i="8"/>
  <c r="R651" i="8"/>
  <c r="S651" i="8"/>
  <c r="T651" i="8"/>
  <c r="U651" i="8"/>
  <c r="V651" i="8"/>
  <c r="C652" i="8"/>
  <c r="D652" i="8"/>
  <c r="E652" i="8"/>
  <c r="F652" i="8"/>
  <c r="G652" i="8"/>
  <c r="H652" i="8"/>
  <c r="I652" i="8"/>
  <c r="J652" i="8"/>
  <c r="K652" i="8"/>
  <c r="L652" i="8"/>
  <c r="M652" i="8"/>
  <c r="N652" i="8"/>
  <c r="O652" i="8"/>
  <c r="P652" i="8"/>
  <c r="Q652" i="8"/>
  <c r="R652" i="8"/>
  <c r="S652" i="8"/>
  <c r="T652" i="8"/>
  <c r="U652" i="8"/>
  <c r="V652" i="8"/>
  <c r="C653" i="8"/>
  <c r="D653" i="8"/>
  <c r="E653" i="8"/>
  <c r="F653" i="8"/>
  <c r="G653" i="8"/>
  <c r="H653" i="8"/>
  <c r="I653" i="8"/>
  <c r="J653" i="8"/>
  <c r="K653" i="8"/>
  <c r="L653" i="8"/>
  <c r="M653" i="8"/>
  <c r="N653" i="8"/>
  <c r="O653" i="8"/>
  <c r="P653" i="8"/>
  <c r="Q653" i="8"/>
  <c r="R653" i="8"/>
  <c r="S653" i="8"/>
  <c r="T653" i="8"/>
  <c r="U653" i="8"/>
  <c r="V653" i="8"/>
  <c r="C654" i="8"/>
  <c r="D654" i="8"/>
  <c r="E654" i="8"/>
  <c r="F654" i="8"/>
  <c r="G654" i="8"/>
  <c r="H654" i="8"/>
  <c r="I654" i="8"/>
  <c r="J654" i="8"/>
  <c r="K654" i="8"/>
  <c r="L654" i="8"/>
  <c r="M654" i="8"/>
  <c r="N654" i="8"/>
  <c r="O654" i="8"/>
  <c r="P654" i="8"/>
  <c r="Q654" i="8"/>
  <c r="R654" i="8"/>
  <c r="S654" i="8"/>
  <c r="T654" i="8"/>
  <c r="U654" i="8"/>
  <c r="V654" i="8"/>
  <c r="C655" i="8"/>
  <c r="D655" i="8"/>
  <c r="E655" i="8"/>
  <c r="F655" i="8"/>
  <c r="G655" i="8"/>
  <c r="H655" i="8"/>
  <c r="I655" i="8"/>
  <c r="J655" i="8"/>
  <c r="K655" i="8"/>
  <c r="L655" i="8"/>
  <c r="M655" i="8"/>
  <c r="N655" i="8"/>
  <c r="O655" i="8"/>
  <c r="P655" i="8"/>
  <c r="Q655" i="8"/>
  <c r="R655" i="8"/>
  <c r="S655" i="8"/>
  <c r="T655" i="8"/>
  <c r="U655" i="8"/>
  <c r="V655" i="8"/>
  <c r="C656" i="8"/>
  <c r="D656" i="8"/>
  <c r="E656" i="8"/>
  <c r="F656" i="8"/>
  <c r="G656" i="8"/>
  <c r="H656" i="8"/>
  <c r="I656" i="8"/>
  <c r="J656" i="8"/>
  <c r="K656" i="8"/>
  <c r="L656" i="8"/>
  <c r="M656" i="8"/>
  <c r="N656" i="8"/>
  <c r="O656" i="8"/>
  <c r="P656" i="8"/>
  <c r="Q656" i="8"/>
  <c r="R656" i="8"/>
  <c r="S656" i="8"/>
  <c r="T656" i="8"/>
  <c r="U656" i="8"/>
  <c r="V656" i="8"/>
  <c r="C657" i="8"/>
  <c r="D657" i="8"/>
  <c r="E657" i="8"/>
  <c r="F657" i="8"/>
  <c r="G657" i="8"/>
  <c r="H657" i="8"/>
  <c r="I657" i="8"/>
  <c r="J657" i="8"/>
  <c r="K657" i="8"/>
  <c r="L657" i="8"/>
  <c r="M657" i="8"/>
  <c r="N657" i="8"/>
  <c r="O657" i="8"/>
  <c r="P657" i="8"/>
  <c r="Q657" i="8"/>
  <c r="R657" i="8"/>
  <c r="S657" i="8"/>
  <c r="T657" i="8"/>
  <c r="U657" i="8"/>
  <c r="V657" i="8"/>
  <c r="C658" i="8"/>
  <c r="D658" i="8"/>
  <c r="E658" i="8"/>
  <c r="F658" i="8"/>
  <c r="G658" i="8"/>
  <c r="H658" i="8"/>
  <c r="I658" i="8"/>
  <c r="J658" i="8"/>
  <c r="K658" i="8"/>
  <c r="L658" i="8"/>
  <c r="M658" i="8"/>
  <c r="N658" i="8"/>
  <c r="O658" i="8"/>
  <c r="P658" i="8"/>
  <c r="Q658" i="8"/>
  <c r="R658" i="8"/>
  <c r="S658" i="8"/>
  <c r="T658" i="8"/>
  <c r="U658" i="8"/>
  <c r="V658" i="8"/>
  <c r="C659" i="8"/>
  <c r="D659" i="8"/>
  <c r="E659" i="8"/>
  <c r="F659" i="8"/>
  <c r="G659" i="8"/>
  <c r="H659" i="8"/>
  <c r="I659" i="8"/>
  <c r="J659" i="8"/>
  <c r="K659" i="8"/>
  <c r="L659" i="8"/>
  <c r="M659" i="8"/>
  <c r="N659" i="8"/>
  <c r="O659" i="8"/>
  <c r="P659" i="8"/>
  <c r="Q659" i="8"/>
  <c r="R659" i="8"/>
  <c r="S659" i="8"/>
  <c r="T659" i="8"/>
  <c r="U659" i="8"/>
  <c r="V659" i="8"/>
  <c r="C660" i="8"/>
  <c r="D660" i="8"/>
  <c r="E660" i="8"/>
  <c r="F660" i="8"/>
  <c r="G660" i="8"/>
  <c r="H660" i="8"/>
  <c r="I660" i="8"/>
  <c r="J660" i="8"/>
  <c r="K660" i="8"/>
  <c r="L660" i="8"/>
  <c r="M660" i="8"/>
  <c r="N660" i="8"/>
  <c r="O660" i="8"/>
  <c r="P660" i="8"/>
  <c r="Q660" i="8"/>
  <c r="R660" i="8"/>
  <c r="S660" i="8"/>
  <c r="T660" i="8"/>
  <c r="U660" i="8"/>
  <c r="V660" i="8"/>
  <c r="C661" i="8"/>
  <c r="D661" i="8"/>
  <c r="E661" i="8"/>
  <c r="F661" i="8"/>
  <c r="G661" i="8"/>
  <c r="H661" i="8"/>
  <c r="I661" i="8"/>
  <c r="J661" i="8"/>
  <c r="K661" i="8"/>
  <c r="L661" i="8"/>
  <c r="M661" i="8"/>
  <c r="N661" i="8"/>
  <c r="O661" i="8"/>
  <c r="P661" i="8"/>
  <c r="Q661" i="8"/>
  <c r="R661" i="8"/>
  <c r="S661" i="8"/>
  <c r="T661" i="8"/>
  <c r="U661" i="8"/>
  <c r="V661" i="8"/>
  <c r="C662" i="8"/>
  <c r="D662" i="8"/>
  <c r="E662" i="8"/>
  <c r="F662" i="8"/>
  <c r="G662" i="8"/>
  <c r="H662" i="8"/>
  <c r="I662" i="8"/>
  <c r="J662" i="8"/>
  <c r="K662" i="8"/>
  <c r="L662" i="8"/>
  <c r="M662" i="8"/>
  <c r="N662" i="8"/>
  <c r="O662" i="8"/>
  <c r="P662" i="8"/>
  <c r="Q662" i="8"/>
  <c r="R662" i="8"/>
  <c r="S662" i="8"/>
  <c r="T662" i="8"/>
  <c r="U662" i="8"/>
  <c r="V662" i="8"/>
  <c r="C663" i="8"/>
  <c r="D663" i="8"/>
  <c r="E663" i="8"/>
  <c r="F663" i="8"/>
  <c r="G663" i="8"/>
  <c r="H663" i="8"/>
  <c r="I663" i="8"/>
  <c r="J663" i="8"/>
  <c r="K663" i="8"/>
  <c r="L663" i="8"/>
  <c r="M663" i="8"/>
  <c r="N663" i="8"/>
  <c r="O663" i="8"/>
  <c r="P663" i="8"/>
  <c r="Q663" i="8"/>
  <c r="R663" i="8"/>
  <c r="S663" i="8"/>
  <c r="T663" i="8"/>
  <c r="U663" i="8"/>
  <c r="V663" i="8"/>
  <c r="C664" i="8"/>
  <c r="D664" i="8"/>
  <c r="E664" i="8"/>
  <c r="F664" i="8"/>
  <c r="G664" i="8"/>
  <c r="H664" i="8"/>
  <c r="I664" i="8"/>
  <c r="J664" i="8"/>
  <c r="K664" i="8"/>
  <c r="L664" i="8"/>
  <c r="M664" i="8"/>
  <c r="N664" i="8"/>
  <c r="O664" i="8"/>
  <c r="P664" i="8"/>
  <c r="Q664" i="8"/>
  <c r="R664" i="8"/>
  <c r="S664" i="8"/>
  <c r="T664" i="8"/>
  <c r="U664" i="8"/>
  <c r="V664" i="8"/>
  <c r="C665" i="8"/>
  <c r="D665" i="8"/>
  <c r="E665" i="8"/>
  <c r="F665" i="8"/>
  <c r="G665" i="8"/>
  <c r="H665" i="8"/>
  <c r="I665" i="8"/>
  <c r="J665" i="8"/>
  <c r="K665" i="8"/>
  <c r="L665" i="8"/>
  <c r="M665" i="8"/>
  <c r="N665" i="8"/>
  <c r="O665" i="8"/>
  <c r="P665" i="8"/>
  <c r="Q665" i="8"/>
  <c r="R665" i="8"/>
  <c r="S665" i="8"/>
  <c r="T665" i="8"/>
  <c r="U665" i="8"/>
  <c r="V665" i="8"/>
  <c r="C666" i="8"/>
  <c r="D666" i="8"/>
  <c r="E666" i="8"/>
  <c r="F666" i="8"/>
  <c r="G666" i="8"/>
  <c r="H666" i="8"/>
  <c r="I666" i="8"/>
  <c r="J666" i="8"/>
  <c r="K666" i="8"/>
  <c r="L666" i="8"/>
  <c r="M666" i="8"/>
  <c r="N666" i="8"/>
  <c r="O666" i="8"/>
  <c r="P666" i="8"/>
  <c r="Q666" i="8"/>
  <c r="R666" i="8"/>
  <c r="S666" i="8"/>
  <c r="T666" i="8"/>
  <c r="U666" i="8"/>
  <c r="V666" i="8"/>
  <c r="C667" i="8"/>
  <c r="D667" i="8"/>
  <c r="E667" i="8"/>
  <c r="F667" i="8"/>
  <c r="G667" i="8"/>
  <c r="H667" i="8"/>
  <c r="I667" i="8"/>
  <c r="J667" i="8"/>
  <c r="K667" i="8"/>
  <c r="L667" i="8"/>
  <c r="M667" i="8"/>
  <c r="N667" i="8"/>
  <c r="O667" i="8"/>
  <c r="P667" i="8"/>
  <c r="Q667" i="8"/>
  <c r="R667" i="8"/>
  <c r="S667" i="8"/>
  <c r="T667" i="8"/>
  <c r="U667" i="8"/>
  <c r="V667" i="8"/>
  <c r="C668" i="8"/>
  <c r="D668" i="8"/>
  <c r="E668" i="8"/>
  <c r="F668" i="8"/>
  <c r="G668" i="8"/>
  <c r="H668" i="8"/>
  <c r="I668" i="8"/>
  <c r="J668" i="8"/>
  <c r="K668" i="8"/>
  <c r="L668" i="8"/>
  <c r="M668" i="8"/>
  <c r="N668" i="8"/>
  <c r="O668" i="8"/>
  <c r="P668" i="8"/>
  <c r="Q668" i="8"/>
  <c r="R668" i="8"/>
  <c r="S668" i="8"/>
  <c r="T668" i="8"/>
  <c r="U668" i="8"/>
  <c r="V668" i="8"/>
  <c r="C669" i="8"/>
  <c r="D669" i="8"/>
  <c r="E669" i="8"/>
  <c r="F669" i="8"/>
  <c r="G669" i="8"/>
  <c r="H669" i="8"/>
  <c r="I669" i="8"/>
  <c r="J669" i="8"/>
  <c r="K669" i="8"/>
  <c r="L669" i="8"/>
  <c r="M669" i="8"/>
  <c r="N669" i="8"/>
  <c r="O669" i="8"/>
  <c r="P669" i="8"/>
  <c r="Q669" i="8"/>
  <c r="R669" i="8"/>
  <c r="S669" i="8"/>
  <c r="T669" i="8"/>
  <c r="U669" i="8"/>
  <c r="V669" i="8"/>
  <c r="C670" i="8"/>
  <c r="D670" i="8"/>
  <c r="E670" i="8"/>
  <c r="F670" i="8"/>
  <c r="G670" i="8"/>
  <c r="H670" i="8"/>
  <c r="I670" i="8"/>
  <c r="J670" i="8"/>
  <c r="K670" i="8"/>
  <c r="L670" i="8"/>
  <c r="M670" i="8"/>
  <c r="N670" i="8"/>
  <c r="O670" i="8"/>
  <c r="P670" i="8"/>
  <c r="Q670" i="8"/>
  <c r="R670" i="8"/>
  <c r="S670" i="8"/>
  <c r="T670" i="8"/>
  <c r="U670" i="8"/>
  <c r="V670" i="8"/>
  <c r="C671" i="8"/>
  <c r="D671" i="8"/>
  <c r="E671" i="8"/>
  <c r="F671" i="8"/>
  <c r="G671" i="8"/>
  <c r="H671" i="8"/>
  <c r="I671" i="8"/>
  <c r="J671" i="8"/>
  <c r="K671" i="8"/>
  <c r="L671" i="8"/>
  <c r="M671" i="8"/>
  <c r="N671" i="8"/>
  <c r="O671" i="8"/>
  <c r="P671" i="8"/>
  <c r="Q671" i="8"/>
  <c r="R671" i="8"/>
  <c r="S671" i="8"/>
  <c r="T671" i="8"/>
  <c r="U671" i="8"/>
  <c r="V671" i="8"/>
  <c r="C672" i="8"/>
  <c r="D672" i="8"/>
  <c r="E672" i="8"/>
  <c r="F672" i="8"/>
  <c r="G672" i="8"/>
  <c r="H672" i="8"/>
  <c r="I672" i="8"/>
  <c r="J672" i="8"/>
  <c r="K672" i="8"/>
  <c r="L672" i="8"/>
  <c r="M672" i="8"/>
  <c r="N672" i="8"/>
  <c r="O672" i="8"/>
  <c r="P672" i="8"/>
  <c r="Q672" i="8"/>
  <c r="R672" i="8"/>
  <c r="S672" i="8"/>
  <c r="T672" i="8"/>
  <c r="U672" i="8"/>
  <c r="V672" i="8"/>
  <c r="C673" i="8"/>
  <c r="D673" i="8"/>
  <c r="E673" i="8"/>
  <c r="F673" i="8"/>
  <c r="G673" i="8"/>
  <c r="H673" i="8"/>
  <c r="I673" i="8"/>
  <c r="J673" i="8"/>
  <c r="K673" i="8"/>
  <c r="L673" i="8"/>
  <c r="M673" i="8"/>
  <c r="N673" i="8"/>
  <c r="O673" i="8"/>
  <c r="P673" i="8"/>
  <c r="Q673" i="8"/>
  <c r="R673" i="8"/>
  <c r="S673" i="8"/>
  <c r="T673" i="8"/>
  <c r="U673" i="8"/>
  <c r="V673" i="8"/>
  <c r="C674" i="8"/>
  <c r="D674" i="8"/>
  <c r="E674" i="8"/>
  <c r="F674" i="8"/>
  <c r="G674" i="8"/>
  <c r="H674" i="8"/>
  <c r="I674" i="8"/>
  <c r="J674" i="8"/>
  <c r="K674" i="8"/>
  <c r="L674" i="8"/>
  <c r="M674" i="8"/>
  <c r="N674" i="8"/>
  <c r="O674" i="8"/>
  <c r="P674" i="8"/>
  <c r="Q674" i="8"/>
  <c r="R674" i="8"/>
  <c r="S674" i="8"/>
  <c r="T674" i="8"/>
  <c r="U674" i="8"/>
  <c r="V674" i="8"/>
  <c r="C675" i="8"/>
  <c r="D675" i="8"/>
  <c r="E675" i="8"/>
  <c r="F675" i="8"/>
  <c r="G675" i="8"/>
  <c r="H675" i="8"/>
  <c r="I675" i="8"/>
  <c r="J675" i="8"/>
  <c r="K675" i="8"/>
  <c r="L675" i="8"/>
  <c r="M675" i="8"/>
  <c r="N675" i="8"/>
  <c r="O675" i="8"/>
  <c r="P675" i="8"/>
  <c r="Q675" i="8"/>
  <c r="R675" i="8"/>
  <c r="S675" i="8"/>
  <c r="T675" i="8"/>
  <c r="U675" i="8"/>
  <c r="V675" i="8"/>
  <c r="C676" i="8"/>
  <c r="D676" i="8"/>
  <c r="E676" i="8"/>
  <c r="F676" i="8"/>
  <c r="G676" i="8"/>
  <c r="H676" i="8"/>
  <c r="I676" i="8"/>
  <c r="J676" i="8"/>
  <c r="K676" i="8"/>
  <c r="L676" i="8"/>
  <c r="M676" i="8"/>
  <c r="N676" i="8"/>
  <c r="O676" i="8"/>
  <c r="P676" i="8"/>
  <c r="Q676" i="8"/>
  <c r="R676" i="8"/>
  <c r="S676" i="8"/>
  <c r="T676" i="8"/>
  <c r="U676" i="8"/>
  <c r="V676" i="8"/>
  <c r="C677" i="8"/>
  <c r="D677" i="8"/>
  <c r="E677" i="8"/>
  <c r="F677" i="8"/>
  <c r="G677" i="8"/>
  <c r="H677" i="8"/>
  <c r="I677" i="8"/>
  <c r="J677" i="8"/>
  <c r="K677" i="8"/>
  <c r="L677" i="8"/>
  <c r="M677" i="8"/>
  <c r="N677" i="8"/>
  <c r="O677" i="8"/>
  <c r="P677" i="8"/>
  <c r="Q677" i="8"/>
  <c r="R677" i="8"/>
  <c r="S677" i="8"/>
  <c r="T677" i="8"/>
  <c r="U677" i="8"/>
  <c r="V677" i="8"/>
  <c r="C678" i="8"/>
  <c r="D678" i="8"/>
  <c r="E678" i="8"/>
  <c r="F678" i="8"/>
  <c r="G678" i="8"/>
  <c r="H678" i="8"/>
  <c r="I678" i="8"/>
  <c r="J678" i="8"/>
  <c r="K678" i="8"/>
  <c r="L678" i="8"/>
  <c r="M678" i="8"/>
  <c r="N678" i="8"/>
  <c r="O678" i="8"/>
  <c r="P678" i="8"/>
  <c r="Q678" i="8"/>
  <c r="R678" i="8"/>
  <c r="S678" i="8"/>
  <c r="T678" i="8"/>
  <c r="U678" i="8"/>
  <c r="V678" i="8"/>
  <c r="C679" i="8"/>
  <c r="D679" i="8"/>
  <c r="E679" i="8"/>
  <c r="F679" i="8"/>
  <c r="G679" i="8"/>
  <c r="H679" i="8"/>
  <c r="I679" i="8"/>
  <c r="J679" i="8"/>
  <c r="K679" i="8"/>
  <c r="L679" i="8"/>
  <c r="M679" i="8"/>
  <c r="N679" i="8"/>
  <c r="O679" i="8"/>
  <c r="P679" i="8"/>
  <c r="Q679" i="8"/>
  <c r="R679" i="8"/>
  <c r="S679" i="8"/>
  <c r="T679" i="8"/>
  <c r="U679" i="8"/>
  <c r="V679" i="8"/>
  <c r="C680" i="8"/>
  <c r="D680" i="8"/>
  <c r="E680" i="8"/>
  <c r="F680" i="8"/>
  <c r="G680" i="8"/>
  <c r="H680" i="8"/>
  <c r="I680" i="8"/>
  <c r="J680" i="8"/>
  <c r="K680" i="8"/>
  <c r="L680" i="8"/>
  <c r="M680" i="8"/>
  <c r="N680" i="8"/>
  <c r="O680" i="8"/>
  <c r="P680" i="8"/>
  <c r="Q680" i="8"/>
  <c r="R680" i="8"/>
  <c r="S680" i="8"/>
  <c r="T680" i="8"/>
  <c r="U680" i="8"/>
  <c r="V680" i="8"/>
  <c r="C681" i="8"/>
  <c r="D681" i="8"/>
  <c r="E681" i="8"/>
  <c r="F681" i="8"/>
  <c r="G681" i="8"/>
  <c r="H681" i="8"/>
  <c r="I681" i="8"/>
  <c r="J681" i="8"/>
  <c r="K681" i="8"/>
  <c r="L681" i="8"/>
  <c r="M681" i="8"/>
  <c r="N681" i="8"/>
  <c r="O681" i="8"/>
  <c r="P681" i="8"/>
  <c r="Q681" i="8"/>
  <c r="R681" i="8"/>
  <c r="S681" i="8"/>
  <c r="T681" i="8"/>
  <c r="U681" i="8"/>
  <c r="V681" i="8"/>
  <c r="C682" i="8"/>
  <c r="D682" i="8"/>
  <c r="E682" i="8"/>
  <c r="F682" i="8"/>
  <c r="G682" i="8"/>
  <c r="H682" i="8"/>
  <c r="I682" i="8"/>
  <c r="J682" i="8"/>
  <c r="K682" i="8"/>
  <c r="L682" i="8"/>
  <c r="M682" i="8"/>
  <c r="N682" i="8"/>
  <c r="O682" i="8"/>
  <c r="P682" i="8"/>
  <c r="Q682" i="8"/>
  <c r="R682" i="8"/>
  <c r="S682" i="8"/>
  <c r="T682" i="8"/>
  <c r="U682" i="8"/>
  <c r="V682" i="8"/>
  <c r="C683" i="8"/>
  <c r="D683" i="8"/>
  <c r="E683" i="8"/>
  <c r="F683" i="8"/>
  <c r="G683" i="8"/>
  <c r="H683" i="8"/>
  <c r="I683" i="8"/>
  <c r="J683" i="8"/>
  <c r="K683" i="8"/>
  <c r="L683" i="8"/>
  <c r="M683" i="8"/>
  <c r="N683" i="8"/>
  <c r="O683" i="8"/>
  <c r="P683" i="8"/>
  <c r="Q683" i="8"/>
  <c r="R683" i="8"/>
  <c r="S683" i="8"/>
  <c r="T683" i="8"/>
  <c r="U683" i="8"/>
  <c r="V683" i="8"/>
  <c r="C684" i="8"/>
  <c r="D684" i="8"/>
  <c r="E684" i="8"/>
  <c r="F684" i="8"/>
  <c r="G684" i="8"/>
  <c r="H684" i="8"/>
  <c r="I684" i="8"/>
  <c r="J684" i="8"/>
  <c r="K684" i="8"/>
  <c r="L684" i="8"/>
  <c r="M684" i="8"/>
  <c r="N684" i="8"/>
  <c r="O684" i="8"/>
  <c r="P684" i="8"/>
  <c r="Q684" i="8"/>
  <c r="R684" i="8"/>
  <c r="S684" i="8"/>
  <c r="T684" i="8"/>
  <c r="U684" i="8"/>
  <c r="V684" i="8"/>
  <c r="C685" i="8"/>
  <c r="D685" i="8"/>
  <c r="E685" i="8"/>
  <c r="F685" i="8"/>
  <c r="G685" i="8"/>
  <c r="H685" i="8"/>
  <c r="I685" i="8"/>
  <c r="J685" i="8"/>
  <c r="K685" i="8"/>
  <c r="L685" i="8"/>
  <c r="M685" i="8"/>
  <c r="N685" i="8"/>
  <c r="O685" i="8"/>
  <c r="P685" i="8"/>
  <c r="Q685" i="8"/>
  <c r="R685" i="8"/>
  <c r="S685" i="8"/>
  <c r="T685" i="8"/>
  <c r="U685" i="8"/>
  <c r="V685" i="8"/>
  <c r="C686" i="8"/>
  <c r="D686" i="8"/>
  <c r="E686" i="8"/>
  <c r="F686" i="8"/>
  <c r="G686" i="8"/>
  <c r="H686" i="8"/>
  <c r="I686" i="8"/>
  <c r="J686" i="8"/>
  <c r="K686" i="8"/>
  <c r="L686" i="8"/>
  <c r="M686" i="8"/>
  <c r="N686" i="8"/>
  <c r="O686" i="8"/>
  <c r="P686" i="8"/>
  <c r="Q686" i="8"/>
  <c r="R686" i="8"/>
  <c r="S686" i="8"/>
  <c r="T686" i="8"/>
  <c r="U686" i="8"/>
  <c r="V686" i="8"/>
  <c r="C687" i="8"/>
  <c r="D687" i="8"/>
  <c r="E687" i="8"/>
  <c r="F687" i="8"/>
  <c r="G687" i="8"/>
  <c r="H687" i="8"/>
  <c r="I687" i="8"/>
  <c r="J687" i="8"/>
  <c r="K687" i="8"/>
  <c r="L687" i="8"/>
  <c r="M687" i="8"/>
  <c r="N687" i="8"/>
  <c r="O687" i="8"/>
  <c r="P687" i="8"/>
  <c r="Q687" i="8"/>
  <c r="R687" i="8"/>
  <c r="S687" i="8"/>
  <c r="T687" i="8"/>
  <c r="U687" i="8"/>
  <c r="V687" i="8"/>
  <c r="C688" i="8"/>
  <c r="D688" i="8"/>
  <c r="E688" i="8"/>
  <c r="F688" i="8"/>
  <c r="G688" i="8"/>
  <c r="H688" i="8"/>
  <c r="I688" i="8"/>
  <c r="J688" i="8"/>
  <c r="K688" i="8"/>
  <c r="L688" i="8"/>
  <c r="M688" i="8"/>
  <c r="N688" i="8"/>
  <c r="O688" i="8"/>
  <c r="P688" i="8"/>
  <c r="Q688" i="8"/>
  <c r="R688" i="8"/>
  <c r="S688" i="8"/>
  <c r="T688" i="8"/>
  <c r="U688" i="8"/>
  <c r="V688" i="8"/>
  <c r="C689" i="8"/>
  <c r="D689" i="8"/>
  <c r="E689" i="8"/>
  <c r="F689" i="8"/>
  <c r="G689" i="8"/>
  <c r="H689" i="8"/>
  <c r="I689" i="8"/>
  <c r="J689" i="8"/>
  <c r="K689" i="8"/>
  <c r="L689" i="8"/>
  <c r="M689" i="8"/>
  <c r="N689" i="8"/>
  <c r="O689" i="8"/>
  <c r="P689" i="8"/>
  <c r="Q689" i="8"/>
  <c r="R689" i="8"/>
  <c r="S689" i="8"/>
  <c r="T689" i="8"/>
  <c r="U689" i="8"/>
  <c r="V689" i="8"/>
  <c r="C690" i="8"/>
  <c r="D690" i="8"/>
  <c r="E690" i="8"/>
  <c r="F690" i="8"/>
  <c r="G690" i="8"/>
  <c r="H690" i="8"/>
  <c r="I690" i="8"/>
  <c r="J690" i="8"/>
  <c r="K690" i="8"/>
  <c r="L690" i="8"/>
  <c r="M690" i="8"/>
  <c r="N690" i="8"/>
  <c r="O690" i="8"/>
  <c r="P690" i="8"/>
  <c r="Q690" i="8"/>
  <c r="R690" i="8"/>
  <c r="S690" i="8"/>
  <c r="T690" i="8"/>
  <c r="U690" i="8"/>
  <c r="V690" i="8"/>
  <c r="C691" i="8"/>
  <c r="D691" i="8"/>
  <c r="E691" i="8"/>
  <c r="F691" i="8"/>
  <c r="G691" i="8"/>
  <c r="H691" i="8"/>
  <c r="I691" i="8"/>
  <c r="J691" i="8"/>
  <c r="K691" i="8"/>
  <c r="L691" i="8"/>
  <c r="M691" i="8"/>
  <c r="N691" i="8"/>
  <c r="O691" i="8"/>
  <c r="P691" i="8"/>
  <c r="Q691" i="8"/>
  <c r="R691" i="8"/>
  <c r="S691" i="8"/>
  <c r="T691" i="8"/>
  <c r="U691" i="8"/>
  <c r="V691" i="8"/>
  <c r="C692" i="8"/>
  <c r="D692" i="8"/>
  <c r="E692" i="8"/>
  <c r="F692" i="8"/>
  <c r="G692" i="8"/>
  <c r="H692" i="8"/>
  <c r="I692" i="8"/>
  <c r="J692" i="8"/>
  <c r="K692" i="8"/>
  <c r="L692" i="8"/>
  <c r="M692" i="8"/>
  <c r="N692" i="8"/>
  <c r="O692" i="8"/>
  <c r="P692" i="8"/>
  <c r="Q692" i="8"/>
  <c r="R692" i="8"/>
  <c r="S692" i="8"/>
  <c r="T692" i="8"/>
  <c r="U692" i="8"/>
  <c r="V692" i="8"/>
  <c r="C693" i="8"/>
  <c r="D693" i="8"/>
  <c r="E693" i="8"/>
  <c r="F693" i="8"/>
  <c r="G693" i="8"/>
  <c r="H693" i="8"/>
  <c r="I693" i="8"/>
  <c r="J693" i="8"/>
  <c r="K693" i="8"/>
  <c r="L693" i="8"/>
  <c r="M693" i="8"/>
  <c r="N693" i="8"/>
  <c r="O693" i="8"/>
  <c r="P693" i="8"/>
  <c r="Q693" i="8"/>
  <c r="R693" i="8"/>
  <c r="S693" i="8"/>
  <c r="T693" i="8"/>
  <c r="U693" i="8"/>
  <c r="V693" i="8"/>
  <c r="C694" i="8"/>
  <c r="D694" i="8"/>
  <c r="E694" i="8"/>
  <c r="F694" i="8"/>
  <c r="G694" i="8"/>
  <c r="H694" i="8"/>
  <c r="I694" i="8"/>
  <c r="J694" i="8"/>
  <c r="K694" i="8"/>
  <c r="L694" i="8"/>
  <c r="M694" i="8"/>
  <c r="N694" i="8"/>
  <c r="O694" i="8"/>
  <c r="P694" i="8"/>
  <c r="Q694" i="8"/>
  <c r="R694" i="8"/>
  <c r="S694" i="8"/>
  <c r="T694" i="8"/>
  <c r="U694" i="8"/>
  <c r="V694" i="8"/>
  <c r="C695" i="8"/>
  <c r="D695" i="8"/>
  <c r="E695" i="8"/>
  <c r="F695" i="8"/>
  <c r="G695" i="8"/>
  <c r="H695" i="8"/>
  <c r="I695" i="8"/>
  <c r="J695" i="8"/>
  <c r="K695" i="8"/>
  <c r="L695" i="8"/>
  <c r="M695" i="8"/>
  <c r="N695" i="8"/>
  <c r="O695" i="8"/>
  <c r="P695" i="8"/>
  <c r="Q695" i="8"/>
  <c r="R695" i="8"/>
  <c r="S695" i="8"/>
  <c r="T695" i="8"/>
  <c r="U695" i="8"/>
  <c r="V695" i="8"/>
  <c r="C696" i="8"/>
  <c r="D696" i="8"/>
  <c r="E696" i="8"/>
  <c r="F696" i="8"/>
  <c r="G696" i="8"/>
  <c r="H696" i="8"/>
  <c r="I696" i="8"/>
  <c r="J696" i="8"/>
  <c r="K696" i="8"/>
  <c r="L696" i="8"/>
  <c r="M696" i="8"/>
  <c r="N696" i="8"/>
  <c r="O696" i="8"/>
  <c r="P696" i="8"/>
  <c r="Q696" i="8"/>
  <c r="R696" i="8"/>
  <c r="S696" i="8"/>
  <c r="T696" i="8"/>
  <c r="U696" i="8"/>
  <c r="V696" i="8"/>
  <c r="C697" i="8"/>
  <c r="D697" i="8"/>
  <c r="E697" i="8"/>
  <c r="F697" i="8"/>
  <c r="G697" i="8"/>
  <c r="H697" i="8"/>
  <c r="I697" i="8"/>
  <c r="J697" i="8"/>
  <c r="K697" i="8"/>
  <c r="L697" i="8"/>
  <c r="M697" i="8"/>
  <c r="N697" i="8"/>
  <c r="O697" i="8"/>
  <c r="P697" i="8"/>
  <c r="Q697" i="8"/>
  <c r="R697" i="8"/>
  <c r="S697" i="8"/>
  <c r="T697" i="8"/>
  <c r="U697" i="8"/>
  <c r="V697" i="8"/>
  <c r="C698" i="8"/>
  <c r="D698" i="8"/>
  <c r="E698" i="8"/>
  <c r="F698" i="8"/>
  <c r="G698" i="8"/>
  <c r="H698" i="8"/>
  <c r="I698" i="8"/>
  <c r="J698" i="8"/>
  <c r="K698" i="8"/>
  <c r="L698" i="8"/>
  <c r="M698" i="8"/>
  <c r="N698" i="8"/>
  <c r="O698" i="8"/>
  <c r="P698" i="8"/>
  <c r="Q698" i="8"/>
  <c r="R698" i="8"/>
  <c r="S698" i="8"/>
  <c r="T698" i="8"/>
  <c r="U698" i="8"/>
  <c r="V698" i="8"/>
  <c r="C699" i="8"/>
  <c r="D699" i="8"/>
  <c r="E699" i="8"/>
  <c r="F699" i="8"/>
  <c r="G699" i="8"/>
  <c r="H699" i="8"/>
  <c r="I699" i="8"/>
  <c r="J699" i="8"/>
  <c r="K699" i="8"/>
  <c r="L699" i="8"/>
  <c r="M699" i="8"/>
  <c r="N699" i="8"/>
  <c r="O699" i="8"/>
  <c r="P699" i="8"/>
  <c r="Q699" i="8"/>
  <c r="R699" i="8"/>
  <c r="S699" i="8"/>
  <c r="T699" i="8"/>
  <c r="U699" i="8"/>
  <c r="V699" i="8"/>
  <c r="C700" i="8"/>
  <c r="D700" i="8"/>
  <c r="E700" i="8"/>
  <c r="F700" i="8"/>
  <c r="G700" i="8"/>
  <c r="H700" i="8"/>
  <c r="I700" i="8"/>
  <c r="J700" i="8"/>
  <c r="K700" i="8"/>
  <c r="L700" i="8"/>
  <c r="M700" i="8"/>
  <c r="N700" i="8"/>
  <c r="O700" i="8"/>
  <c r="P700" i="8"/>
  <c r="Q700" i="8"/>
  <c r="R700" i="8"/>
  <c r="S700" i="8"/>
  <c r="T700" i="8"/>
  <c r="U700" i="8"/>
  <c r="V700" i="8"/>
  <c r="C701" i="8"/>
  <c r="D701" i="8"/>
  <c r="E701" i="8"/>
  <c r="F701" i="8"/>
  <c r="G701" i="8"/>
  <c r="H701" i="8"/>
  <c r="I701" i="8"/>
  <c r="J701" i="8"/>
  <c r="K701" i="8"/>
  <c r="L701" i="8"/>
  <c r="M701" i="8"/>
  <c r="N701" i="8"/>
  <c r="O701" i="8"/>
  <c r="P701" i="8"/>
  <c r="Q701" i="8"/>
  <c r="R701" i="8"/>
  <c r="S701" i="8"/>
  <c r="T701" i="8"/>
  <c r="U701" i="8"/>
  <c r="V701" i="8"/>
  <c r="C702" i="8"/>
  <c r="D702" i="8"/>
  <c r="E702" i="8"/>
  <c r="F702" i="8"/>
  <c r="G702" i="8"/>
  <c r="H702" i="8"/>
  <c r="I702" i="8"/>
  <c r="J702" i="8"/>
  <c r="K702" i="8"/>
  <c r="L702" i="8"/>
  <c r="M702" i="8"/>
  <c r="N702" i="8"/>
  <c r="O702" i="8"/>
  <c r="P702" i="8"/>
  <c r="Q702" i="8"/>
  <c r="R702" i="8"/>
  <c r="S702" i="8"/>
  <c r="T702" i="8"/>
  <c r="U702" i="8"/>
  <c r="V702" i="8"/>
  <c r="C703" i="8"/>
  <c r="D703" i="8"/>
  <c r="E703" i="8"/>
  <c r="F703" i="8"/>
  <c r="G703" i="8"/>
  <c r="H703" i="8"/>
  <c r="I703" i="8"/>
  <c r="J703" i="8"/>
  <c r="K703" i="8"/>
  <c r="L703" i="8"/>
  <c r="M703" i="8"/>
  <c r="N703" i="8"/>
  <c r="O703" i="8"/>
  <c r="P703" i="8"/>
  <c r="Q703" i="8"/>
  <c r="R703" i="8"/>
  <c r="S703" i="8"/>
  <c r="T703" i="8"/>
  <c r="U703" i="8"/>
  <c r="V703" i="8"/>
  <c r="C704" i="8"/>
  <c r="D704" i="8"/>
  <c r="E704" i="8"/>
  <c r="F704" i="8"/>
  <c r="G704" i="8"/>
  <c r="H704" i="8"/>
  <c r="I704" i="8"/>
  <c r="J704" i="8"/>
  <c r="K704" i="8"/>
  <c r="L704" i="8"/>
  <c r="M704" i="8"/>
  <c r="N704" i="8"/>
  <c r="O704" i="8"/>
  <c r="P704" i="8"/>
  <c r="Q704" i="8"/>
  <c r="R704" i="8"/>
  <c r="S704" i="8"/>
  <c r="T704" i="8"/>
  <c r="U704" i="8"/>
  <c r="V704" i="8"/>
  <c r="C705" i="8"/>
  <c r="D705" i="8"/>
  <c r="E705" i="8"/>
  <c r="F705" i="8"/>
  <c r="G705" i="8"/>
  <c r="H705" i="8"/>
  <c r="I705" i="8"/>
  <c r="J705" i="8"/>
  <c r="K705" i="8"/>
  <c r="L705" i="8"/>
  <c r="M705" i="8"/>
  <c r="N705" i="8"/>
  <c r="O705" i="8"/>
  <c r="P705" i="8"/>
  <c r="Q705" i="8"/>
  <c r="R705" i="8"/>
  <c r="S705" i="8"/>
  <c r="T705" i="8"/>
  <c r="U705" i="8"/>
  <c r="V705" i="8"/>
  <c r="C706" i="8"/>
  <c r="D706" i="8"/>
  <c r="E706" i="8"/>
  <c r="F706" i="8"/>
  <c r="G706" i="8"/>
  <c r="H706" i="8"/>
  <c r="I706" i="8"/>
  <c r="J706" i="8"/>
  <c r="K706" i="8"/>
  <c r="L706" i="8"/>
  <c r="M706" i="8"/>
  <c r="N706" i="8"/>
  <c r="O706" i="8"/>
  <c r="P706" i="8"/>
  <c r="Q706" i="8"/>
  <c r="R706" i="8"/>
  <c r="S706" i="8"/>
  <c r="T706" i="8"/>
  <c r="U706" i="8"/>
  <c r="V706" i="8"/>
  <c r="C707" i="8"/>
  <c r="D707" i="8"/>
  <c r="E707" i="8"/>
  <c r="F707" i="8"/>
  <c r="G707" i="8"/>
  <c r="H707" i="8"/>
  <c r="I707" i="8"/>
  <c r="J707" i="8"/>
  <c r="K707" i="8"/>
  <c r="L707" i="8"/>
  <c r="M707" i="8"/>
  <c r="N707" i="8"/>
  <c r="O707" i="8"/>
  <c r="P707" i="8"/>
  <c r="Q707" i="8"/>
  <c r="R707" i="8"/>
  <c r="S707" i="8"/>
  <c r="T707" i="8"/>
  <c r="U707" i="8"/>
  <c r="V707" i="8"/>
  <c r="C708" i="8"/>
  <c r="D708" i="8"/>
  <c r="E708" i="8"/>
  <c r="F708" i="8"/>
  <c r="G708" i="8"/>
  <c r="H708" i="8"/>
  <c r="I708" i="8"/>
  <c r="J708" i="8"/>
  <c r="K708" i="8"/>
  <c r="L708" i="8"/>
  <c r="M708" i="8"/>
  <c r="N708" i="8"/>
  <c r="O708" i="8"/>
  <c r="P708" i="8"/>
  <c r="Q708" i="8"/>
  <c r="R708" i="8"/>
  <c r="S708" i="8"/>
  <c r="T708" i="8"/>
  <c r="U708" i="8"/>
  <c r="V708" i="8"/>
  <c r="C709" i="8"/>
  <c r="D709" i="8"/>
  <c r="E709" i="8"/>
  <c r="F709" i="8"/>
  <c r="G709" i="8"/>
  <c r="H709" i="8"/>
  <c r="I709" i="8"/>
  <c r="J709" i="8"/>
  <c r="K709" i="8"/>
  <c r="L709" i="8"/>
  <c r="M709" i="8"/>
  <c r="N709" i="8"/>
  <c r="O709" i="8"/>
  <c r="P709" i="8"/>
  <c r="Q709" i="8"/>
  <c r="R709" i="8"/>
  <c r="S709" i="8"/>
  <c r="T709" i="8"/>
  <c r="U709" i="8"/>
  <c r="V709" i="8"/>
  <c r="C710" i="8"/>
  <c r="D710" i="8"/>
  <c r="E710" i="8"/>
  <c r="F710" i="8"/>
  <c r="G710" i="8"/>
  <c r="H710" i="8"/>
  <c r="I710" i="8"/>
  <c r="J710" i="8"/>
  <c r="K710" i="8"/>
  <c r="L710" i="8"/>
  <c r="M710" i="8"/>
  <c r="N710" i="8"/>
  <c r="O710" i="8"/>
  <c r="P710" i="8"/>
  <c r="Q710" i="8"/>
  <c r="R710" i="8"/>
  <c r="S710" i="8"/>
  <c r="T710" i="8"/>
  <c r="U710" i="8"/>
  <c r="V710" i="8"/>
  <c r="C711" i="8"/>
  <c r="D711" i="8"/>
  <c r="E711" i="8"/>
  <c r="F711" i="8"/>
  <c r="G711" i="8"/>
  <c r="H711" i="8"/>
  <c r="I711" i="8"/>
  <c r="J711" i="8"/>
  <c r="K711" i="8"/>
  <c r="L711" i="8"/>
  <c r="M711" i="8"/>
  <c r="N711" i="8"/>
  <c r="O711" i="8"/>
  <c r="P711" i="8"/>
  <c r="Q711" i="8"/>
  <c r="R711" i="8"/>
  <c r="S711" i="8"/>
  <c r="T711" i="8"/>
  <c r="U711" i="8"/>
  <c r="V711" i="8"/>
  <c r="C712" i="8"/>
  <c r="D712" i="8"/>
  <c r="E712" i="8"/>
  <c r="F712" i="8"/>
  <c r="G712" i="8"/>
  <c r="H712" i="8"/>
  <c r="I712" i="8"/>
  <c r="J712" i="8"/>
  <c r="K712" i="8"/>
  <c r="L712" i="8"/>
  <c r="M712" i="8"/>
  <c r="N712" i="8"/>
  <c r="O712" i="8"/>
  <c r="P712" i="8"/>
  <c r="Q712" i="8"/>
  <c r="R712" i="8"/>
  <c r="S712" i="8"/>
  <c r="T712" i="8"/>
  <c r="U712" i="8"/>
  <c r="V712" i="8"/>
  <c r="C713" i="8"/>
  <c r="D713" i="8"/>
  <c r="E713" i="8"/>
  <c r="F713" i="8"/>
  <c r="G713" i="8"/>
  <c r="H713" i="8"/>
  <c r="I713" i="8"/>
  <c r="J713" i="8"/>
  <c r="K713" i="8"/>
  <c r="L713" i="8"/>
  <c r="M713" i="8"/>
  <c r="N713" i="8"/>
  <c r="O713" i="8"/>
  <c r="P713" i="8"/>
  <c r="Q713" i="8"/>
  <c r="R713" i="8"/>
  <c r="S713" i="8"/>
  <c r="T713" i="8"/>
  <c r="U713" i="8"/>
  <c r="V713" i="8"/>
  <c r="C714" i="8"/>
  <c r="D714" i="8"/>
  <c r="E714" i="8"/>
  <c r="F714" i="8"/>
  <c r="G714" i="8"/>
  <c r="H714" i="8"/>
  <c r="I714" i="8"/>
  <c r="J714" i="8"/>
  <c r="K714" i="8"/>
  <c r="L714" i="8"/>
  <c r="M714" i="8"/>
  <c r="N714" i="8"/>
  <c r="O714" i="8"/>
  <c r="P714" i="8"/>
  <c r="Q714" i="8"/>
  <c r="R714" i="8"/>
  <c r="S714" i="8"/>
  <c r="T714" i="8"/>
  <c r="U714" i="8"/>
  <c r="V714" i="8"/>
  <c r="C715" i="8"/>
  <c r="D715" i="8"/>
  <c r="E715" i="8"/>
  <c r="F715" i="8"/>
  <c r="G715" i="8"/>
  <c r="H715" i="8"/>
  <c r="I715" i="8"/>
  <c r="J715" i="8"/>
  <c r="K715" i="8"/>
  <c r="L715" i="8"/>
  <c r="M715" i="8"/>
  <c r="N715" i="8"/>
  <c r="O715" i="8"/>
  <c r="P715" i="8"/>
  <c r="Q715" i="8"/>
  <c r="R715" i="8"/>
  <c r="S715" i="8"/>
  <c r="T715" i="8"/>
  <c r="U715" i="8"/>
  <c r="V715" i="8"/>
  <c r="C716" i="8"/>
  <c r="D716" i="8"/>
  <c r="E716" i="8"/>
  <c r="F716" i="8"/>
  <c r="G716" i="8"/>
  <c r="H716" i="8"/>
  <c r="I716" i="8"/>
  <c r="J716" i="8"/>
  <c r="K716" i="8"/>
  <c r="L716" i="8"/>
  <c r="M716" i="8"/>
  <c r="N716" i="8"/>
  <c r="O716" i="8"/>
  <c r="P716" i="8"/>
  <c r="Q716" i="8"/>
  <c r="R716" i="8"/>
  <c r="S716" i="8"/>
  <c r="T716" i="8"/>
  <c r="U716" i="8"/>
  <c r="V716" i="8"/>
  <c r="C717" i="8"/>
  <c r="D717" i="8"/>
  <c r="E717" i="8"/>
  <c r="F717" i="8"/>
  <c r="G717" i="8"/>
  <c r="H717" i="8"/>
  <c r="I717" i="8"/>
  <c r="J717" i="8"/>
  <c r="K717" i="8"/>
  <c r="L717" i="8"/>
  <c r="M717" i="8"/>
  <c r="N717" i="8"/>
  <c r="O717" i="8"/>
  <c r="P717" i="8"/>
  <c r="Q717" i="8"/>
  <c r="R717" i="8"/>
  <c r="S717" i="8"/>
  <c r="T717" i="8"/>
  <c r="U717" i="8"/>
  <c r="V717" i="8"/>
  <c r="C718" i="8"/>
  <c r="D718" i="8"/>
  <c r="E718" i="8"/>
  <c r="F718" i="8"/>
  <c r="G718" i="8"/>
  <c r="H718" i="8"/>
  <c r="I718" i="8"/>
  <c r="J718" i="8"/>
  <c r="K718" i="8"/>
  <c r="L718" i="8"/>
  <c r="M718" i="8"/>
  <c r="N718" i="8"/>
  <c r="O718" i="8"/>
  <c r="P718" i="8"/>
  <c r="Q718" i="8"/>
  <c r="R718" i="8"/>
  <c r="S718" i="8"/>
  <c r="T718" i="8"/>
  <c r="U718" i="8"/>
  <c r="V718" i="8"/>
  <c r="C719" i="8"/>
  <c r="D719" i="8"/>
  <c r="E719" i="8"/>
  <c r="F719" i="8"/>
  <c r="G719" i="8"/>
  <c r="H719" i="8"/>
  <c r="I719" i="8"/>
  <c r="J719" i="8"/>
  <c r="K719" i="8"/>
  <c r="L719" i="8"/>
  <c r="M719" i="8"/>
  <c r="N719" i="8"/>
  <c r="O719" i="8"/>
  <c r="P719" i="8"/>
  <c r="Q719" i="8"/>
  <c r="R719" i="8"/>
  <c r="S719" i="8"/>
  <c r="T719" i="8"/>
  <c r="U719" i="8"/>
  <c r="V719" i="8"/>
  <c r="C720" i="8"/>
  <c r="D720" i="8"/>
  <c r="E720" i="8"/>
  <c r="F720" i="8"/>
  <c r="G720" i="8"/>
  <c r="H720" i="8"/>
  <c r="I720" i="8"/>
  <c r="J720" i="8"/>
  <c r="K720" i="8"/>
  <c r="L720" i="8"/>
  <c r="M720" i="8"/>
  <c r="N720" i="8"/>
  <c r="O720" i="8"/>
  <c r="P720" i="8"/>
  <c r="Q720" i="8"/>
  <c r="R720" i="8"/>
  <c r="S720" i="8"/>
  <c r="T720" i="8"/>
  <c r="U720" i="8"/>
  <c r="V720" i="8"/>
  <c r="C721" i="8"/>
  <c r="D721" i="8"/>
  <c r="E721" i="8"/>
  <c r="F721" i="8"/>
  <c r="G721" i="8"/>
  <c r="H721" i="8"/>
  <c r="I721" i="8"/>
  <c r="J721" i="8"/>
  <c r="K721" i="8"/>
  <c r="L721" i="8"/>
  <c r="M721" i="8"/>
  <c r="N721" i="8"/>
  <c r="O721" i="8"/>
  <c r="P721" i="8"/>
  <c r="Q721" i="8"/>
  <c r="R721" i="8"/>
  <c r="S721" i="8"/>
  <c r="T721" i="8"/>
  <c r="U721" i="8"/>
  <c r="V721" i="8"/>
  <c r="C722" i="8"/>
  <c r="D722" i="8"/>
  <c r="E722" i="8"/>
  <c r="F722" i="8"/>
  <c r="G722" i="8"/>
  <c r="H722" i="8"/>
  <c r="I722" i="8"/>
  <c r="J722" i="8"/>
  <c r="K722" i="8"/>
  <c r="L722" i="8"/>
  <c r="M722" i="8"/>
  <c r="N722" i="8"/>
  <c r="O722" i="8"/>
  <c r="P722" i="8"/>
  <c r="Q722" i="8"/>
  <c r="R722" i="8"/>
  <c r="S722" i="8"/>
  <c r="T722" i="8"/>
  <c r="U722" i="8"/>
  <c r="V722" i="8"/>
  <c r="C723" i="8"/>
  <c r="D723" i="8"/>
  <c r="E723" i="8"/>
  <c r="F723" i="8"/>
  <c r="G723" i="8"/>
  <c r="H723" i="8"/>
  <c r="I723" i="8"/>
  <c r="J723" i="8"/>
  <c r="K723" i="8"/>
  <c r="L723" i="8"/>
  <c r="M723" i="8"/>
  <c r="N723" i="8"/>
  <c r="O723" i="8"/>
  <c r="P723" i="8"/>
  <c r="Q723" i="8"/>
  <c r="R723" i="8"/>
  <c r="S723" i="8"/>
  <c r="T723" i="8"/>
  <c r="U723" i="8"/>
  <c r="V723" i="8"/>
  <c r="C724" i="8"/>
  <c r="D724" i="8"/>
  <c r="E724" i="8"/>
  <c r="F724" i="8"/>
  <c r="G724" i="8"/>
  <c r="H724" i="8"/>
  <c r="I724" i="8"/>
  <c r="J724" i="8"/>
  <c r="K724" i="8"/>
  <c r="L724" i="8"/>
  <c r="M724" i="8"/>
  <c r="N724" i="8"/>
  <c r="O724" i="8"/>
  <c r="P724" i="8"/>
  <c r="Q724" i="8"/>
  <c r="R724" i="8"/>
  <c r="S724" i="8"/>
  <c r="T724" i="8"/>
  <c r="U724" i="8"/>
  <c r="V724" i="8"/>
  <c r="C725" i="8"/>
  <c r="D725" i="8"/>
  <c r="E725" i="8"/>
  <c r="F725" i="8"/>
  <c r="G725" i="8"/>
  <c r="H725" i="8"/>
  <c r="I725" i="8"/>
  <c r="J725" i="8"/>
  <c r="K725" i="8"/>
  <c r="L725" i="8"/>
  <c r="M725" i="8"/>
  <c r="N725" i="8"/>
  <c r="O725" i="8"/>
  <c r="P725" i="8"/>
  <c r="Q725" i="8"/>
  <c r="R725" i="8"/>
  <c r="S725" i="8"/>
  <c r="T725" i="8"/>
  <c r="U725" i="8"/>
  <c r="V725" i="8"/>
  <c r="C726" i="8"/>
  <c r="D726" i="8"/>
  <c r="E726" i="8"/>
  <c r="F726" i="8"/>
  <c r="G726" i="8"/>
  <c r="H726" i="8"/>
  <c r="I726" i="8"/>
  <c r="J726" i="8"/>
  <c r="K726" i="8"/>
  <c r="L726" i="8"/>
  <c r="M726" i="8"/>
  <c r="N726" i="8"/>
  <c r="O726" i="8"/>
  <c r="P726" i="8"/>
  <c r="Q726" i="8"/>
  <c r="R726" i="8"/>
  <c r="S726" i="8"/>
  <c r="T726" i="8"/>
  <c r="U726" i="8"/>
  <c r="V726" i="8"/>
  <c r="C727" i="8"/>
  <c r="D727" i="8"/>
  <c r="E727" i="8"/>
  <c r="F727" i="8"/>
  <c r="G727" i="8"/>
  <c r="H727" i="8"/>
  <c r="I727" i="8"/>
  <c r="J727" i="8"/>
  <c r="K727" i="8"/>
  <c r="L727" i="8"/>
  <c r="M727" i="8"/>
  <c r="N727" i="8"/>
  <c r="O727" i="8"/>
  <c r="P727" i="8"/>
  <c r="Q727" i="8"/>
  <c r="R727" i="8"/>
  <c r="S727" i="8"/>
  <c r="T727" i="8"/>
  <c r="U727" i="8"/>
  <c r="V727" i="8"/>
  <c r="C728" i="8"/>
  <c r="D728" i="8"/>
  <c r="E728" i="8"/>
  <c r="F728" i="8"/>
  <c r="G728" i="8"/>
  <c r="H728" i="8"/>
  <c r="I728" i="8"/>
  <c r="J728" i="8"/>
  <c r="K728" i="8"/>
  <c r="L728" i="8"/>
  <c r="M728" i="8"/>
  <c r="N728" i="8"/>
  <c r="O728" i="8"/>
  <c r="P728" i="8"/>
  <c r="Q728" i="8"/>
  <c r="R728" i="8"/>
  <c r="S728" i="8"/>
  <c r="T728" i="8"/>
  <c r="U728" i="8"/>
  <c r="V728" i="8"/>
  <c r="C729" i="8"/>
  <c r="D729" i="8"/>
  <c r="E729" i="8"/>
  <c r="F729" i="8"/>
  <c r="G729" i="8"/>
  <c r="H729" i="8"/>
  <c r="I729" i="8"/>
  <c r="J729" i="8"/>
  <c r="K729" i="8"/>
  <c r="L729" i="8"/>
  <c r="M729" i="8"/>
  <c r="N729" i="8"/>
  <c r="O729" i="8"/>
  <c r="P729" i="8"/>
  <c r="Q729" i="8"/>
  <c r="R729" i="8"/>
  <c r="S729" i="8"/>
  <c r="T729" i="8"/>
  <c r="U729" i="8"/>
  <c r="V729" i="8"/>
  <c r="C730" i="8"/>
  <c r="D730" i="8"/>
  <c r="E730" i="8"/>
  <c r="F730" i="8"/>
  <c r="G730" i="8"/>
  <c r="H730" i="8"/>
  <c r="I730" i="8"/>
  <c r="J730" i="8"/>
  <c r="K730" i="8"/>
  <c r="L730" i="8"/>
  <c r="M730" i="8"/>
  <c r="N730" i="8"/>
  <c r="O730" i="8"/>
  <c r="P730" i="8"/>
  <c r="Q730" i="8"/>
  <c r="R730" i="8"/>
  <c r="S730" i="8"/>
  <c r="T730" i="8"/>
  <c r="U730" i="8"/>
  <c r="V730" i="8"/>
  <c r="C731" i="8"/>
  <c r="D731" i="8"/>
  <c r="E731" i="8"/>
  <c r="F731" i="8"/>
  <c r="G731" i="8"/>
  <c r="H731" i="8"/>
  <c r="I731" i="8"/>
  <c r="J731" i="8"/>
  <c r="K731" i="8"/>
  <c r="L731" i="8"/>
  <c r="M731" i="8"/>
  <c r="N731" i="8"/>
  <c r="O731" i="8"/>
  <c r="P731" i="8"/>
  <c r="Q731" i="8"/>
  <c r="R731" i="8"/>
  <c r="S731" i="8"/>
  <c r="T731" i="8"/>
  <c r="U731" i="8"/>
  <c r="V731" i="8"/>
  <c r="C732" i="8"/>
  <c r="D732" i="8"/>
  <c r="E732" i="8"/>
  <c r="F732" i="8"/>
  <c r="G732" i="8"/>
  <c r="H732" i="8"/>
  <c r="I732" i="8"/>
  <c r="J732" i="8"/>
  <c r="K732" i="8"/>
  <c r="L732" i="8"/>
  <c r="M732" i="8"/>
  <c r="N732" i="8"/>
  <c r="O732" i="8"/>
  <c r="P732" i="8"/>
  <c r="Q732" i="8"/>
  <c r="R732" i="8"/>
  <c r="S732" i="8"/>
  <c r="T732" i="8"/>
  <c r="U732" i="8"/>
  <c r="V732" i="8"/>
  <c r="C733" i="8"/>
  <c r="D733" i="8"/>
  <c r="E733" i="8"/>
  <c r="F733" i="8"/>
  <c r="G733" i="8"/>
  <c r="H733" i="8"/>
  <c r="I733" i="8"/>
  <c r="J733" i="8"/>
  <c r="K733" i="8"/>
  <c r="L733" i="8"/>
  <c r="M733" i="8"/>
  <c r="N733" i="8"/>
  <c r="O733" i="8"/>
  <c r="P733" i="8"/>
  <c r="Q733" i="8"/>
  <c r="R733" i="8"/>
  <c r="S733" i="8"/>
  <c r="T733" i="8"/>
  <c r="U733" i="8"/>
  <c r="V733" i="8"/>
  <c r="C734" i="8"/>
  <c r="D734" i="8"/>
  <c r="E734" i="8"/>
  <c r="F734" i="8"/>
  <c r="G734" i="8"/>
  <c r="H734" i="8"/>
  <c r="I734" i="8"/>
  <c r="J734" i="8"/>
  <c r="K734" i="8"/>
  <c r="L734" i="8"/>
  <c r="M734" i="8"/>
  <c r="N734" i="8"/>
  <c r="O734" i="8"/>
  <c r="P734" i="8"/>
  <c r="Q734" i="8"/>
  <c r="R734" i="8"/>
  <c r="S734" i="8"/>
  <c r="T734" i="8"/>
  <c r="U734" i="8"/>
  <c r="V734" i="8"/>
  <c r="C735" i="8"/>
  <c r="D735" i="8"/>
  <c r="E735" i="8"/>
  <c r="F735" i="8"/>
  <c r="G735" i="8"/>
  <c r="H735" i="8"/>
  <c r="I735" i="8"/>
  <c r="J735" i="8"/>
  <c r="K735" i="8"/>
  <c r="L735" i="8"/>
  <c r="M735" i="8"/>
  <c r="N735" i="8"/>
  <c r="O735" i="8"/>
  <c r="P735" i="8"/>
  <c r="Q735" i="8"/>
  <c r="R735" i="8"/>
  <c r="S735" i="8"/>
  <c r="T735" i="8"/>
  <c r="U735" i="8"/>
  <c r="V735" i="8"/>
  <c r="C736" i="8"/>
  <c r="D736" i="8"/>
  <c r="E736" i="8"/>
  <c r="F736" i="8"/>
  <c r="G736" i="8"/>
  <c r="H736" i="8"/>
  <c r="I736" i="8"/>
  <c r="J736" i="8"/>
  <c r="K736" i="8"/>
  <c r="L736" i="8"/>
  <c r="M736" i="8"/>
  <c r="N736" i="8"/>
  <c r="O736" i="8"/>
  <c r="P736" i="8"/>
  <c r="Q736" i="8"/>
  <c r="R736" i="8"/>
  <c r="S736" i="8"/>
  <c r="T736" i="8"/>
  <c r="U736" i="8"/>
  <c r="V736" i="8"/>
  <c r="C737" i="8"/>
  <c r="D737" i="8"/>
  <c r="E737" i="8"/>
  <c r="F737" i="8"/>
  <c r="G737" i="8"/>
  <c r="H737" i="8"/>
  <c r="I737" i="8"/>
  <c r="J737" i="8"/>
  <c r="K737" i="8"/>
  <c r="L737" i="8"/>
  <c r="M737" i="8"/>
  <c r="N737" i="8"/>
  <c r="O737" i="8"/>
  <c r="P737" i="8"/>
  <c r="Q737" i="8"/>
  <c r="R737" i="8"/>
  <c r="S737" i="8"/>
  <c r="T737" i="8"/>
  <c r="U737" i="8"/>
  <c r="V737" i="8"/>
  <c r="C738" i="8"/>
  <c r="D738" i="8"/>
  <c r="E738" i="8"/>
  <c r="F738" i="8"/>
  <c r="G738" i="8"/>
  <c r="H738" i="8"/>
  <c r="I738" i="8"/>
  <c r="J738" i="8"/>
  <c r="K738" i="8"/>
  <c r="L738" i="8"/>
  <c r="M738" i="8"/>
  <c r="N738" i="8"/>
  <c r="O738" i="8"/>
  <c r="P738" i="8"/>
  <c r="Q738" i="8"/>
  <c r="R738" i="8"/>
  <c r="S738" i="8"/>
  <c r="T738" i="8"/>
  <c r="U738" i="8"/>
  <c r="V738" i="8"/>
  <c r="C739" i="8"/>
  <c r="D739" i="8"/>
  <c r="E739" i="8"/>
  <c r="F739" i="8"/>
  <c r="G739" i="8"/>
  <c r="H739" i="8"/>
  <c r="I739" i="8"/>
  <c r="J739" i="8"/>
  <c r="K739" i="8"/>
  <c r="L739" i="8"/>
  <c r="M739" i="8"/>
  <c r="N739" i="8"/>
  <c r="O739" i="8"/>
  <c r="P739" i="8"/>
  <c r="Q739" i="8"/>
  <c r="R739" i="8"/>
  <c r="S739" i="8"/>
  <c r="T739" i="8"/>
  <c r="U739" i="8"/>
  <c r="V739" i="8"/>
  <c r="C740" i="8"/>
  <c r="D740" i="8"/>
  <c r="E740" i="8"/>
  <c r="F740" i="8"/>
  <c r="G740" i="8"/>
  <c r="H740" i="8"/>
  <c r="I740" i="8"/>
  <c r="J740" i="8"/>
  <c r="K740" i="8"/>
  <c r="L740" i="8"/>
  <c r="M740" i="8"/>
  <c r="N740" i="8"/>
  <c r="O740" i="8"/>
  <c r="P740" i="8"/>
  <c r="Q740" i="8"/>
  <c r="R740" i="8"/>
  <c r="S740" i="8"/>
  <c r="T740" i="8"/>
  <c r="U740" i="8"/>
  <c r="V740" i="8"/>
  <c r="C741" i="8"/>
  <c r="D741" i="8"/>
  <c r="E741" i="8"/>
  <c r="F741" i="8"/>
  <c r="G741" i="8"/>
  <c r="H741" i="8"/>
  <c r="I741" i="8"/>
  <c r="J741" i="8"/>
  <c r="K741" i="8"/>
  <c r="L741" i="8"/>
  <c r="M741" i="8"/>
  <c r="N741" i="8"/>
  <c r="O741" i="8"/>
  <c r="P741" i="8"/>
  <c r="Q741" i="8"/>
  <c r="R741" i="8"/>
  <c r="S741" i="8"/>
  <c r="T741" i="8"/>
  <c r="U741" i="8"/>
  <c r="V741" i="8"/>
  <c r="C742" i="8"/>
  <c r="D742" i="8"/>
  <c r="E742" i="8"/>
  <c r="F742" i="8"/>
  <c r="G742" i="8"/>
  <c r="H742" i="8"/>
  <c r="I742" i="8"/>
  <c r="J742" i="8"/>
  <c r="K742" i="8"/>
  <c r="L742" i="8"/>
  <c r="M742" i="8"/>
  <c r="N742" i="8"/>
  <c r="O742" i="8"/>
  <c r="P742" i="8"/>
  <c r="Q742" i="8"/>
  <c r="R742" i="8"/>
  <c r="S742" i="8"/>
  <c r="T742" i="8"/>
  <c r="U742" i="8"/>
  <c r="V742" i="8"/>
  <c r="C743" i="8"/>
  <c r="D743" i="8"/>
  <c r="E743" i="8"/>
  <c r="F743" i="8"/>
  <c r="G743" i="8"/>
  <c r="H743" i="8"/>
  <c r="I743" i="8"/>
  <c r="J743" i="8"/>
  <c r="K743" i="8"/>
  <c r="L743" i="8"/>
  <c r="M743" i="8"/>
  <c r="N743" i="8"/>
  <c r="O743" i="8"/>
  <c r="P743" i="8"/>
  <c r="Q743" i="8"/>
  <c r="R743" i="8"/>
  <c r="S743" i="8"/>
  <c r="T743" i="8"/>
  <c r="U743" i="8"/>
  <c r="V743" i="8"/>
  <c r="C744" i="8"/>
  <c r="D744" i="8"/>
  <c r="E744" i="8"/>
  <c r="F744" i="8"/>
  <c r="G744" i="8"/>
  <c r="H744" i="8"/>
  <c r="I744" i="8"/>
  <c r="J744" i="8"/>
  <c r="K744" i="8"/>
  <c r="L744" i="8"/>
  <c r="M744" i="8"/>
  <c r="N744" i="8"/>
  <c r="O744" i="8"/>
  <c r="P744" i="8"/>
  <c r="Q744" i="8"/>
  <c r="R744" i="8"/>
  <c r="S744" i="8"/>
  <c r="T744" i="8"/>
  <c r="U744" i="8"/>
  <c r="V744" i="8"/>
  <c r="C745" i="8"/>
  <c r="D745" i="8"/>
  <c r="E745" i="8"/>
  <c r="F745" i="8"/>
  <c r="G745" i="8"/>
  <c r="H745" i="8"/>
  <c r="I745" i="8"/>
  <c r="J745" i="8"/>
  <c r="K745" i="8"/>
  <c r="L745" i="8"/>
  <c r="M745" i="8"/>
  <c r="N745" i="8"/>
  <c r="O745" i="8"/>
  <c r="P745" i="8"/>
  <c r="Q745" i="8"/>
  <c r="R745" i="8"/>
  <c r="S745" i="8"/>
  <c r="T745" i="8"/>
  <c r="U745" i="8"/>
  <c r="V745" i="8"/>
  <c r="C746" i="8"/>
  <c r="D746" i="8"/>
  <c r="E746" i="8"/>
  <c r="F746" i="8"/>
  <c r="G746" i="8"/>
  <c r="H746" i="8"/>
  <c r="I746" i="8"/>
  <c r="J746" i="8"/>
  <c r="K746" i="8"/>
  <c r="L746" i="8"/>
  <c r="M746" i="8"/>
  <c r="N746" i="8"/>
  <c r="O746" i="8"/>
  <c r="P746" i="8"/>
  <c r="Q746" i="8"/>
  <c r="R746" i="8"/>
  <c r="S746" i="8"/>
  <c r="T746" i="8"/>
  <c r="U746" i="8"/>
  <c r="V746" i="8"/>
  <c r="C747" i="8"/>
  <c r="D747" i="8"/>
  <c r="E747" i="8"/>
  <c r="F747" i="8"/>
  <c r="G747" i="8"/>
  <c r="H747" i="8"/>
  <c r="I747" i="8"/>
  <c r="J747" i="8"/>
  <c r="K747" i="8"/>
  <c r="L747" i="8"/>
  <c r="M747" i="8"/>
  <c r="N747" i="8"/>
  <c r="O747" i="8"/>
  <c r="P747" i="8"/>
  <c r="Q747" i="8"/>
  <c r="R747" i="8"/>
  <c r="S747" i="8"/>
  <c r="T747" i="8"/>
  <c r="U747" i="8"/>
  <c r="V747" i="8"/>
  <c r="C748" i="8"/>
  <c r="D748" i="8"/>
  <c r="E748" i="8"/>
  <c r="F748" i="8"/>
  <c r="G748" i="8"/>
  <c r="H748" i="8"/>
  <c r="I748" i="8"/>
  <c r="J748" i="8"/>
  <c r="K748" i="8"/>
  <c r="L748" i="8"/>
  <c r="M748" i="8"/>
  <c r="N748" i="8"/>
  <c r="O748" i="8"/>
  <c r="P748" i="8"/>
  <c r="Q748" i="8"/>
  <c r="R748" i="8"/>
  <c r="S748" i="8"/>
  <c r="T748" i="8"/>
  <c r="U748" i="8"/>
  <c r="V748" i="8"/>
  <c r="C749" i="8"/>
  <c r="D749" i="8"/>
  <c r="E749" i="8"/>
  <c r="F749" i="8"/>
  <c r="G749" i="8"/>
  <c r="H749" i="8"/>
  <c r="I749" i="8"/>
  <c r="J749" i="8"/>
  <c r="K749" i="8"/>
  <c r="L749" i="8"/>
  <c r="M749" i="8"/>
  <c r="N749" i="8"/>
  <c r="O749" i="8"/>
  <c r="P749" i="8"/>
  <c r="Q749" i="8"/>
  <c r="R749" i="8"/>
  <c r="S749" i="8"/>
  <c r="T749" i="8"/>
  <c r="U749" i="8"/>
  <c r="V749" i="8"/>
  <c r="C750" i="8"/>
  <c r="D750" i="8"/>
  <c r="E750" i="8"/>
  <c r="F750" i="8"/>
  <c r="G750" i="8"/>
  <c r="H750" i="8"/>
  <c r="I750" i="8"/>
  <c r="J750" i="8"/>
  <c r="K750" i="8"/>
  <c r="L750" i="8"/>
  <c r="M750" i="8"/>
  <c r="N750" i="8"/>
  <c r="O750" i="8"/>
  <c r="P750" i="8"/>
  <c r="Q750" i="8"/>
  <c r="R750" i="8"/>
  <c r="S750" i="8"/>
  <c r="T750" i="8"/>
  <c r="U750" i="8"/>
  <c r="V750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3" i="8"/>
  <c r="O2" i="5" l="1"/>
  <c r="O3" i="5" l="1"/>
  <c r="O4" i="5" s="1"/>
  <c r="O5" i="5" s="1"/>
  <c r="O6" i="5" s="1"/>
  <c r="O7" i="5" s="1"/>
  <c r="O8" i="5" s="1"/>
  <c r="O9" i="5" s="1"/>
  <c r="O10" i="5" s="1"/>
  <c r="O11" i="5" s="1"/>
  <c r="O12" i="5" s="1"/>
  <c r="O13" i="5" s="1"/>
  <c r="O14" i="5" s="1"/>
  <c r="O15" i="5" s="1"/>
  <c r="O16" i="5" s="1"/>
  <c r="O17" i="5" s="1"/>
  <c r="O18" i="5" s="1"/>
  <c r="O19" i="5" s="1"/>
  <c r="O20" i="5" s="1"/>
  <c r="O21" i="5" s="1"/>
</calcChain>
</file>

<file path=xl/sharedStrings.xml><?xml version="1.0" encoding="utf-8"?>
<sst xmlns="http://schemas.openxmlformats.org/spreadsheetml/2006/main" count="1737" uniqueCount="251">
  <si>
    <t>Data</t>
  </si>
  <si>
    <t>BRAX11</t>
  </si>
  <si>
    <t>VALE3</t>
  </si>
  <si>
    <t>PETR4</t>
  </si>
  <si>
    <t>ITUB4</t>
  </si>
  <si>
    <t>PETR3</t>
  </si>
  <si>
    <t>WEGE3</t>
  </si>
  <si>
    <t>BBAS3</t>
  </si>
  <si>
    <t>ELET3</t>
  </si>
  <si>
    <t>SBSP3</t>
  </si>
  <si>
    <t>BBDC4</t>
  </si>
  <si>
    <t>B3SA3</t>
  </si>
  <si>
    <t>ABEV3</t>
  </si>
  <si>
    <t>ITSA4</t>
  </si>
  <si>
    <t>SUZB3</t>
  </si>
  <si>
    <t>BPAC11</t>
  </si>
  <si>
    <t>EQTL3</t>
  </si>
  <si>
    <t>PRIO3</t>
  </si>
  <si>
    <t>RENT3</t>
  </si>
  <si>
    <t>RDOR3</t>
  </si>
  <si>
    <t>RADL3</t>
  </si>
  <si>
    <t>BBSE3</t>
  </si>
  <si>
    <t>Ticker</t>
  </si>
  <si>
    <t>Name</t>
  </si>
  <si>
    <t>Sector</t>
  </si>
  <si>
    <t>Asset Class</t>
  </si>
  <si>
    <t>Market Value</t>
  </si>
  <si>
    <t>Weight (%)</t>
  </si>
  <si>
    <t>Notional Value</t>
  </si>
  <si>
    <t>Shares</t>
  </si>
  <si>
    <t>Price</t>
  </si>
  <si>
    <t>Location</t>
  </si>
  <si>
    <t>Exchange</t>
  </si>
  <si>
    <t>Currency</t>
  </si>
  <si>
    <t>FX Rate</t>
  </si>
  <si>
    <t>Market Currency</t>
  </si>
  <si>
    <t>CIA VALE DO RIO DOCE SH</t>
  </si>
  <si>
    <t>Materiais</t>
  </si>
  <si>
    <t>Renda VariÃ¡vel</t>
  </si>
  <si>
    <t>Brasil</t>
  </si>
  <si>
    <t>XBSP</t>
  </si>
  <si>
    <t>BRL</t>
  </si>
  <si>
    <t>PETROLEO BRASILEIRO PREF SA</t>
  </si>
  <si>
    <t>Energia</t>
  </si>
  <si>
    <t>ITAU UNIBANCO HOLDING PREF SA</t>
  </si>
  <si>
    <t>Produtos financeiros</t>
  </si>
  <si>
    <t>PETROLEO BRASILEIRO SA PETROBRAS</t>
  </si>
  <si>
    <t>WEG SA</t>
  </si>
  <si>
    <t>Bens Industriais</t>
  </si>
  <si>
    <t>BANCO DO BRASIL SA</t>
  </si>
  <si>
    <t>CENTRAIS ELETR BRAS-ELETROBRAS</t>
  </si>
  <si>
    <t>ServiÃ§os pÃºblicos</t>
  </si>
  <si>
    <t>COMPANHIA DE SANEAMENTO BASICO DE</t>
  </si>
  <si>
    <t>BANCO BRADESCO PREF SA</t>
  </si>
  <si>
    <t>B3 BRASIL BOLSA BALCAO SA</t>
  </si>
  <si>
    <t>AMBEV SA</t>
  </si>
  <si>
    <t>Bens de primeira necessidade</t>
  </si>
  <si>
    <t>ITAUSA INVESTIMENTOS ITAU PREF SA</t>
  </si>
  <si>
    <t>SUZANO SA</t>
  </si>
  <si>
    <t>BCO BTG PACTUAL UNT SA</t>
  </si>
  <si>
    <t>EQUATORIAL SA</t>
  </si>
  <si>
    <t>PETRO RIO SA</t>
  </si>
  <si>
    <t>LOCALIZA RENT A CAR SA</t>
  </si>
  <si>
    <t>REDE DOR SAO LUIZ SA</t>
  </si>
  <si>
    <t>Cuidados de saÃºde</t>
  </si>
  <si>
    <t>RAIA DROGASIL</t>
  </si>
  <si>
    <t>BB SEGURIDADE SA</t>
  </si>
  <si>
    <t>JBSS3</t>
  </si>
  <si>
    <t>JBS SA</t>
  </si>
  <si>
    <t>EMBR3</t>
  </si>
  <si>
    <t>EMBRAER SA</t>
  </si>
  <si>
    <t>GGBR4</t>
  </si>
  <si>
    <t>GERDAU PREF SA</t>
  </si>
  <si>
    <t>RAIL3</t>
  </si>
  <si>
    <t>RUMO SA</t>
  </si>
  <si>
    <t>BRFS3</t>
  </si>
  <si>
    <t>BRF BRASIL FOODS SA</t>
  </si>
  <si>
    <t>CMIG4</t>
  </si>
  <si>
    <t>CIA ENERGETICA DE MINAS GERAIS PRE</t>
  </si>
  <si>
    <t>VIVT3</t>
  </si>
  <si>
    <t>TELEFONICA BRASIL SA</t>
  </si>
  <si>
    <t>ComunicaÃ§Ã£o</t>
  </si>
  <si>
    <t>ENEV3</t>
  </si>
  <si>
    <t>ENEVA SA</t>
  </si>
  <si>
    <t>VBBR3</t>
  </si>
  <si>
    <t>VIBRA ENERGIA SA</t>
  </si>
  <si>
    <t>Consumo discricionÃ¡rio</t>
  </si>
  <si>
    <t>KLBN11</t>
  </si>
  <si>
    <t>KLABIN UNITS SA</t>
  </si>
  <si>
    <t>UGPA3</t>
  </si>
  <si>
    <t>ULTRAPAR PARTICIPOES SA</t>
  </si>
  <si>
    <t>BBDC3</t>
  </si>
  <si>
    <t>BANCO BRADESCO SA</t>
  </si>
  <si>
    <t>CPLE6</t>
  </si>
  <si>
    <t>CIA PARANAENSE DE ENERGIA COPEL PR</t>
  </si>
  <si>
    <t>TOTS3</t>
  </si>
  <si>
    <t>TOTVS SA</t>
  </si>
  <si>
    <t>Tecnologia de informaÃ§Ã£o</t>
  </si>
  <si>
    <t>LREN3</t>
  </si>
  <si>
    <t>LOJAS RENNER SA</t>
  </si>
  <si>
    <t>ENGI11</t>
  </si>
  <si>
    <t>ENERGISA UNITS SA</t>
  </si>
  <si>
    <t>TIMS3</t>
  </si>
  <si>
    <t>TIM SA</t>
  </si>
  <si>
    <t>STBP3</t>
  </si>
  <si>
    <t>SANTOS BRASIL PARTICIPACOES SA</t>
  </si>
  <si>
    <t>BRAV3</t>
  </si>
  <si>
    <t>BRAVA ENERGIA SA</t>
  </si>
  <si>
    <t>NTCO3</t>
  </si>
  <si>
    <t>NATURA CO HOLDING SA</t>
  </si>
  <si>
    <t>CPLE3</t>
  </si>
  <si>
    <t>CIA PARANAENSE DE ENERGIA COPEL</t>
  </si>
  <si>
    <t>HAPV3</t>
  </si>
  <si>
    <t>HAPVIDA PARTICIPACOES E INVESTIMEN</t>
  </si>
  <si>
    <t>ELET6</t>
  </si>
  <si>
    <t>CENTRAIS ELETR BRAS-ELETROBRAS PRE</t>
  </si>
  <si>
    <t>CCRO3</t>
  </si>
  <si>
    <t>COMPANHIA CONCESSOES RODOVIARIAS S</t>
  </si>
  <si>
    <t>CSAN3</t>
  </si>
  <si>
    <t>COSAN INDUSTRIA E COMERCIO SA</t>
  </si>
  <si>
    <t>ISAE4</t>
  </si>
  <si>
    <t>ISA ENERGIA BRASIL PREF SA</t>
  </si>
  <si>
    <t>ALOS3</t>
  </si>
  <si>
    <t>ALLOS SA</t>
  </si>
  <si>
    <t>ImobiliÃ¡rio</t>
  </si>
  <si>
    <t>EGIE3</t>
  </si>
  <si>
    <t>ENGIE BRASIL ENERGIA SA</t>
  </si>
  <si>
    <t>SANB11</t>
  </si>
  <si>
    <t>BANCO SANTANDER BRASIL UNITS SA</t>
  </si>
  <si>
    <t>ASAI3</t>
  </si>
  <si>
    <t>SENDAS DISTRIBUIDORA SA</t>
  </si>
  <si>
    <t>HYPE3</t>
  </si>
  <si>
    <t>HYPERMARCAS SA</t>
  </si>
  <si>
    <t>CXSE3</t>
  </si>
  <si>
    <t>CAIXA SEGURIDADE PARTICIPACOES SA</t>
  </si>
  <si>
    <t>TAEE11</t>
  </si>
  <si>
    <t>TRANSMISSORA ALIANCA ENERGIA ELETR</t>
  </si>
  <si>
    <t>GOAU4</t>
  </si>
  <si>
    <t>METALURGICA GERDAU PREF SA</t>
  </si>
  <si>
    <t>MULT3</t>
  </si>
  <si>
    <t>MULTIPLAN EMPREENDIMENTOS IMOBILIA</t>
  </si>
  <si>
    <t>PSSA3</t>
  </si>
  <si>
    <t>PORTO SEGURO SA</t>
  </si>
  <si>
    <t>CSNA3</t>
  </si>
  <si>
    <t>COMPANHIA SIDERURGICA NACIONAL SA</t>
  </si>
  <si>
    <t>CPFE3</t>
  </si>
  <si>
    <t>CPFL ENERGIA SA</t>
  </si>
  <si>
    <t>CMIN3</t>
  </si>
  <si>
    <t>CSN MINERACAO SA</t>
  </si>
  <si>
    <t>SMFT3</t>
  </si>
  <si>
    <t>SMARTFIT ESCOLA DE GINASTICA E DAN</t>
  </si>
  <si>
    <t>FLRY3</t>
  </si>
  <si>
    <t>FLEURY SA</t>
  </si>
  <si>
    <t>GGPS3</t>
  </si>
  <si>
    <t>GPS PARTICIPACOES E EMPREENDIMENTO</t>
  </si>
  <si>
    <t>AMBP3</t>
  </si>
  <si>
    <t>AMBIPAR PARTICIPACOES E EMPREEND S</t>
  </si>
  <si>
    <t>MRFG3</t>
  </si>
  <si>
    <t>MARFRIG GLOBAL FOODS SA</t>
  </si>
  <si>
    <t>POMO4</t>
  </si>
  <si>
    <t>MARCOPOLO PREF SA</t>
  </si>
  <si>
    <t>CYRE3</t>
  </si>
  <si>
    <t>CYRELA BRAZIL REALTY SA</t>
  </si>
  <si>
    <t>RECV3</t>
  </si>
  <si>
    <t>PETRORECONCAVO SA</t>
  </si>
  <si>
    <t>BRAP4</t>
  </si>
  <si>
    <t>BRADESPAR PREF SA</t>
  </si>
  <si>
    <t>CSMG3</t>
  </si>
  <si>
    <t>COMPANHIA DE SANEAMENTO DE MINAS G</t>
  </si>
  <si>
    <t>AZZA3</t>
  </si>
  <si>
    <t>AZZAS SA</t>
  </si>
  <si>
    <t>IGTI11</t>
  </si>
  <si>
    <t>IGUATEMI UNIT SA</t>
  </si>
  <si>
    <t>IRBR3</t>
  </si>
  <si>
    <t>IRB BRASIL RESSEGUROS SA</t>
  </si>
  <si>
    <t>SLCE3</t>
  </si>
  <si>
    <t>SLC AGRICOLA SA</t>
  </si>
  <si>
    <t>SMTO3</t>
  </si>
  <si>
    <t>SAO MARTINHO SA</t>
  </si>
  <si>
    <t>BRKM5</t>
  </si>
  <si>
    <t>BRASKEM PREF CLASS A SA</t>
  </si>
  <si>
    <t>GMAT3</t>
  </si>
  <si>
    <t>GRUPO MATEUS SA</t>
  </si>
  <si>
    <t>DIRR3</t>
  </si>
  <si>
    <t>DIRECIONAL ENGENHARIA SA</t>
  </si>
  <si>
    <t>CRFB3</t>
  </si>
  <si>
    <t>ATACADAO CARREFOUR SA</t>
  </si>
  <si>
    <t>USIM5</t>
  </si>
  <si>
    <t>USINAS SIDERURGICAS DE MINAS GERAI</t>
  </si>
  <si>
    <t>RAIZ4</t>
  </si>
  <si>
    <t>RAIZEN PRF SA</t>
  </si>
  <si>
    <t>AURE3</t>
  </si>
  <si>
    <t>AUREN ENERGIA SA</t>
  </si>
  <si>
    <t>YDUQ3</t>
  </si>
  <si>
    <t>YDUQS PARTICIPACOES SA</t>
  </si>
  <si>
    <t>VIVA3</t>
  </si>
  <si>
    <t>VIVARA PARTICIPACOES SA</t>
  </si>
  <si>
    <t>CURY3</t>
  </si>
  <si>
    <t>CURY CONSTRTUTORA E INCORPORADORA</t>
  </si>
  <si>
    <t>VAMO3</t>
  </si>
  <si>
    <t>VAMOS LOCACAO DE CAMINHOES MAQUINA</t>
  </si>
  <si>
    <t>MGLU3</t>
  </si>
  <si>
    <t>MAGAZINE LUIZA SA</t>
  </si>
  <si>
    <t>COGN3</t>
  </si>
  <si>
    <t>COGNA EDUCACAO SA</t>
  </si>
  <si>
    <t>MRVE3</t>
  </si>
  <si>
    <t>MRV ENGENHARIA E PARTICIPACOES SA</t>
  </si>
  <si>
    <t>DXCO3</t>
  </si>
  <si>
    <t>DEXCO SA</t>
  </si>
  <si>
    <t>TEND3</t>
  </si>
  <si>
    <t>CONSTRUTORA TENDA</t>
  </si>
  <si>
    <t>ECOR3</t>
  </si>
  <si>
    <t>ECORODOVIAS INFRAESTRUTURA E LOGIS</t>
  </si>
  <si>
    <t>LWSA3</t>
  </si>
  <si>
    <t>LWSA SA</t>
  </si>
  <si>
    <t>BEEF3</t>
  </si>
  <si>
    <t>MINERVA SA</t>
  </si>
  <si>
    <t>PETZ3</t>
  </si>
  <si>
    <t>PET CENTER COMERCIO E PARTCIPACOES</t>
  </si>
  <si>
    <t>AZUL4</t>
  </si>
  <si>
    <t>AZUL PREF SA</t>
  </si>
  <si>
    <t>ALPA4</t>
  </si>
  <si>
    <t>SAO PAULO ALPARGATAS PREF SA</t>
  </si>
  <si>
    <t>EZTC3</t>
  </si>
  <si>
    <t>EZ TEC EMPREENDIMENTOS E PARTICIPA</t>
  </si>
  <si>
    <t>PCAR3</t>
  </si>
  <si>
    <t>COMPANHIA BRASILEIRA DE DISTRIBUIC</t>
  </si>
  <si>
    <t>CVCB3</t>
  </si>
  <si>
    <t>CVC BRASIL OPERADORA E AGENCIA DE</t>
  </si>
  <si>
    <t>MOVI3</t>
  </si>
  <si>
    <t>MOVIDA PARTICIPACOES SA</t>
  </si>
  <si>
    <t>AMOB3</t>
  </si>
  <si>
    <t>AUTOMOB PARTICIPACOES SA</t>
  </si>
  <si>
    <t>-</t>
  </si>
  <si>
    <t>KLBN4</t>
  </si>
  <si>
    <t>KLABIN SA PREF</t>
  </si>
  <si>
    <t>Frequencia</t>
  </si>
  <si>
    <t>Percentual proporcionalizando pra 100</t>
  </si>
  <si>
    <t>Mineração</t>
  </si>
  <si>
    <t>Petroleo, Gás e Biocombustíveis</t>
  </si>
  <si>
    <t>Máquinas e Equipamentos</t>
  </si>
  <si>
    <t>Energia Elétrica</t>
  </si>
  <si>
    <t>Água e Saneamento</t>
  </si>
  <si>
    <t>Serviços Financeiros Diversos</t>
  </si>
  <si>
    <t>Intermediários Financeiros</t>
  </si>
  <si>
    <t>Bebidas</t>
  </si>
  <si>
    <t>Alimentos Processados</t>
  </si>
  <si>
    <t>Material Aeronáutico e de DefesaTransporte</t>
  </si>
  <si>
    <t>Papel e Celulose</t>
  </si>
  <si>
    <t>Aluguel de Carros</t>
  </si>
  <si>
    <t>Serv. Méd. Hospit. Análises e Diagnósticos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</si>
</sst>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4" fontId="0" fillId="0" borderId="0" xfId="0" applyNumberFormat="1"/>
    <xf numFmtId="2" fontId="0" fillId="0" borderId="0" xfId="0" applyNumberFormat="1"/>
    <xf numFmtId="14" fontId="0" fillId="0" borderId="0" xfId="0" applyNumberFormat="1"/>
    <xf numFmtId="164" fontId="0" fillId="0" borderId="0" xfId="2" applyNumberFormat="1" applyFont="1"/>
    <xf numFmtId="0" fontId="2" fillId="0" borderId="0" xfId="0" applyFont="1"/>
    <xf numFmtId="164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22467-3A42-3141-B64A-3CCA055EFC54}">
  <dimension ref="A1:N171"/>
  <sheetViews>
    <sheetView showGridLines="0" workbookViewId="0">
      <selection activeCell="C21" sqref="C21"/>
    </sheetView>
  </sheetViews>
  <sheetFormatPr baseColWidth="10" defaultRowHeight="16" x14ac:dyDescent="0.2"/>
  <cols>
    <col min="1" max="2" width="13.83203125" customWidth="1"/>
    <col min="3" max="3" width="25.5" bestFit="1" customWidth="1"/>
    <col min="4" max="8" width="13.83203125" customWidth="1"/>
    <col min="9" max="9" width="1.6640625" customWidth="1"/>
    <col min="10" max="10" width="10.6640625" bestFit="1" customWidth="1"/>
    <col min="11" max="11" width="11.33203125" bestFit="1" customWidth="1"/>
    <col min="12" max="12" width="11.1640625" bestFit="1" customWidth="1"/>
    <col min="13" max="13" width="9.83203125" bestFit="1" customWidth="1"/>
    <col min="14" max="14" width="17.1640625" bestFit="1" customWidth="1"/>
  </cols>
  <sheetData>
    <row r="1" spans="1:14" x14ac:dyDescent="0.2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 spans="1:14" x14ac:dyDescent="0.2">
      <c r="A2" t="s">
        <v>2</v>
      </c>
      <c r="B2" t="s">
        <v>36</v>
      </c>
      <c r="C2" t="s">
        <v>37</v>
      </c>
      <c r="D2" t="s">
        <v>38</v>
      </c>
      <c r="E2" s="2">
        <v>6687993.6500000004</v>
      </c>
      <c r="F2">
        <v>11.03</v>
      </c>
      <c r="G2" s="2">
        <v>6687993.6500000004</v>
      </c>
      <c r="H2" s="2">
        <v>122603</v>
      </c>
      <c r="I2">
        <v>54.55</v>
      </c>
      <c r="J2" t="s">
        <v>39</v>
      </c>
      <c r="K2" t="s">
        <v>40</v>
      </c>
      <c r="L2" t="s">
        <v>41</v>
      </c>
      <c r="M2">
        <v>1</v>
      </c>
      <c r="N2" t="s">
        <v>41</v>
      </c>
    </row>
    <row r="3" spans="1:14" x14ac:dyDescent="0.2">
      <c r="A3" t="s">
        <v>3</v>
      </c>
      <c r="B3" t="s">
        <v>42</v>
      </c>
      <c r="C3" t="s">
        <v>43</v>
      </c>
      <c r="D3" t="s">
        <v>38</v>
      </c>
      <c r="E3" s="2">
        <v>4603476.57</v>
      </c>
      <c r="F3">
        <v>7.59</v>
      </c>
      <c r="G3" s="2">
        <v>4603476.57</v>
      </c>
      <c r="H3" s="2">
        <v>127203</v>
      </c>
      <c r="I3">
        <v>36.19</v>
      </c>
      <c r="J3" t="s">
        <v>39</v>
      </c>
      <c r="K3" t="s">
        <v>40</v>
      </c>
      <c r="L3" t="s">
        <v>41</v>
      </c>
      <c r="M3">
        <v>1</v>
      </c>
      <c r="N3" t="s">
        <v>41</v>
      </c>
    </row>
    <row r="4" spans="1:14" x14ac:dyDescent="0.2">
      <c r="A4" t="s">
        <v>4</v>
      </c>
      <c r="B4" t="s">
        <v>44</v>
      </c>
      <c r="C4" t="s">
        <v>45</v>
      </c>
      <c r="D4" t="s">
        <v>38</v>
      </c>
      <c r="E4" s="2">
        <v>4227034.42</v>
      </c>
      <c r="F4">
        <v>6.97</v>
      </c>
      <c r="G4" s="2">
        <v>4227034.42</v>
      </c>
      <c r="H4" s="2">
        <v>137554</v>
      </c>
      <c r="I4">
        <v>30.73</v>
      </c>
      <c r="J4" t="s">
        <v>39</v>
      </c>
      <c r="K4" t="s">
        <v>40</v>
      </c>
      <c r="L4" t="s">
        <v>41</v>
      </c>
      <c r="M4">
        <v>1</v>
      </c>
      <c r="N4" t="s">
        <v>41</v>
      </c>
    </row>
    <row r="5" spans="1:14" x14ac:dyDescent="0.2">
      <c r="A5" t="s">
        <v>5</v>
      </c>
      <c r="B5" t="s">
        <v>46</v>
      </c>
      <c r="C5" t="s">
        <v>43</v>
      </c>
      <c r="D5" t="s">
        <v>38</v>
      </c>
      <c r="E5" s="2">
        <v>3976666.05</v>
      </c>
      <c r="F5">
        <v>6.56</v>
      </c>
      <c r="G5" s="2">
        <v>3976666.05</v>
      </c>
      <c r="H5" s="2">
        <v>100905</v>
      </c>
      <c r="I5">
        <v>39.409999999999997</v>
      </c>
      <c r="J5" t="s">
        <v>39</v>
      </c>
      <c r="K5" t="s">
        <v>40</v>
      </c>
      <c r="L5" t="s">
        <v>41</v>
      </c>
      <c r="M5">
        <v>1</v>
      </c>
      <c r="N5" t="s">
        <v>41</v>
      </c>
    </row>
    <row r="6" spans="1:14" x14ac:dyDescent="0.2">
      <c r="A6" t="s">
        <v>6</v>
      </c>
      <c r="B6" t="s">
        <v>47</v>
      </c>
      <c r="C6" t="s">
        <v>48</v>
      </c>
      <c r="D6" t="s">
        <v>38</v>
      </c>
      <c r="E6" s="2">
        <v>2245943.9700000002</v>
      </c>
      <c r="F6">
        <v>3.7</v>
      </c>
      <c r="G6" s="2">
        <v>2245943.9700000002</v>
      </c>
      <c r="H6" s="2">
        <v>42561</v>
      </c>
      <c r="I6">
        <v>52.77</v>
      </c>
      <c r="J6" t="s">
        <v>39</v>
      </c>
      <c r="K6" t="s">
        <v>40</v>
      </c>
      <c r="L6" t="s">
        <v>41</v>
      </c>
      <c r="M6">
        <v>1</v>
      </c>
      <c r="N6" t="s">
        <v>41</v>
      </c>
    </row>
    <row r="7" spans="1:14" x14ac:dyDescent="0.2">
      <c r="A7" t="s">
        <v>7</v>
      </c>
      <c r="B7" t="s">
        <v>49</v>
      </c>
      <c r="C7" t="s">
        <v>45</v>
      </c>
      <c r="D7" t="s">
        <v>38</v>
      </c>
      <c r="E7" s="2">
        <v>1973287.14</v>
      </c>
      <c r="F7">
        <v>3.25</v>
      </c>
      <c r="G7" s="2">
        <v>1973287.14</v>
      </c>
      <c r="H7" s="2">
        <v>81642</v>
      </c>
      <c r="I7">
        <v>24.17</v>
      </c>
      <c r="J7" t="s">
        <v>39</v>
      </c>
      <c r="K7" t="s">
        <v>40</v>
      </c>
      <c r="L7" t="s">
        <v>41</v>
      </c>
      <c r="M7">
        <v>1</v>
      </c>
      <c r="N7" t="s">
        <v>41</v>
      </c>
    </row>
    <row r="8" spans="1:14" x14ac:dyDescent="0.2">
      <c r="A8" t="s">
        <v>8</v>
      </c>
      <c r="B8" t="s">
        <v>50</v>
      </c>
      <c r="C8" t="s">
        <v>51</v>
      </c>
      <c r="D8" t="s">
        <v>38</v>
      </c>
      <c r="E8" s="2">
        <v>1938106.18</v>
      </c>
      <c r="F8">
        <v>3.2</v>
      </c>
      <c r="G8" s="2">
        <v>1938106.18</v>
      </c>
      <c r="H8" s="2">
        <v>56786</v>
      </c>
      <c r="I8">
        <v>34.130000000000003</v>
      </c>
      <c r="J8" t="s">
        <v>39</v>
      </c>
      <c r="K8" t="s">
        <v>40</v>
      </c>
      <c r="L8" t="s">
        <v>41</v>
      </c>
      <c r="M8">
        <v>1</v>
      </c>
      <c r="N8" t="s">
        <v>41</v>
      </c>
    </row>
    <row r="9" spans="1:14" x14ac:dyDescent="0.2">
      <c r="A9" t="s">
        <v>9</v>
      </c>
      <c r="B9" t="s">
        <v>52</v>
      </c>
      <c r="C9" t="s">
        <v>51</v>
      </c>
      <c r="D9" t="s">
        <v>38</v>
      </c>
      <c r="E9" s="2">
        <v>1735750.5</v>
      </c>
      <c r="F9">
        <v>2.86</v>
      </c>
      <c r="G9" s="2">
        <v>1735750.5</v>
      </c>
      <c r="H9" s="2">
        <v>19613</v>
      </c>
      <c r="I9">
        <v>88.5</v>
      </c>
      <c r="J9" t="s">
        <v>39</v>
      </c>
      <c r="K9" t="s">
        <v>40</v>
      </c>
      <c r="L9" t="s">
        <v>41</v>
      </c>
      <c r="M9">
        <v>1</v>
      </c>
      <c r="N9" t="s">
        <v>41</v>
      </c>
    </row>
    <row r="10" spans="1:14" x14ac:dyDescent="0.2">
      <c r="A10" t="s">
        <v>10</v>
      </c>
      <c r="B10" t="s">
        <v>53</v>
      </c>
      <c r="C10" t="s">
        <v>45</v>
      </c>
      <c r="D10" t="s">
        <v>38</v>
      </c>
      <c r="E10" s="2">
        <v>1703435.36</v>
      </c>
      <c r="F10">
        <v>2.81</v>
      </c>
      <c r="G10" s="2">
        <v>1703435.36</v>
      </c>
      <c r="H10" s="2">
        <v>147356</v>
      </c>
      <c r="I10">
        <v>11.56</v>
      </c>
      <c r="J10" t="s">
        <v>39</v>
      </c>
      <c r="K10" t="s">
        <v>40</v>
      </c>
      <c r="L10" t="s">
        <v>41</v>
      </c>
      <c r="M10">
        <v>1</v>
      </c>
      <c r="N10" t="s">
        <v>41</v>
      </c>
    </row>
    <row r="11" spans="1:14" x14ac:dyDescent="0.2">
      <c r="A11" t="s">
        <v>11</v>
      </c>
      <c r="B11" t="s">
        <v>54</v>
      </c>
      <c r="C11" t="s">
        <v>45</v>
      </c>
      <c r="D11" t="s">
        <v>38</v>
      </c>
      <c r="E11" s="2">
        <v>1633872.72</v>
      </c>
      <c r="F11">
        <v>2.69</v>
      </c>
      <c r="G11" s="2">
        <v>1633872.72</v>
      </c>
      <c r="H11" s="2">
        <v>158321</v>
      </c>
      <c r="I11">
        <v>10.32</v>
      </c>
      <c r="J11" t="s">
        <v>39</v>
      </c>
      <c r="K11" t="s">
        <v>40</v>
      </c>
      <c r="L11" t="s">
        <v>41</v>
      </c>
      <c r="M11">
        <v>1</v>
      </c>
      <c r="N11" t="s">
        <v>41</v>
      </c>
    </row>
    <row r="12" spans="1:14" x14ac:dyDescent="0.2">
      <c r="A12" t="s">
        <v>12</v>
      </c>
      <c r="B12" t="s">
        <v>55</v>
      </c>
      <c r="C12" t="s">
        <v>56</v>
      </c>
      <c r="D12" t="s">
        <v>38</v>
      </c>
      <c r="E12" s="2">
        <v>1480496.18</v>
      </c>
      <c r="F12">
        <v>2.44</v>
      </c>
      <c r="G12" s="2">
        <v>1480496.18</v>
      </c>
      <c r="H12" s="2">
        <v>126107</v>
      </c>
      <c r="I12">
        <v>11.74</v>
      </c>
      <c r="J12" t="s">
        <v>39</v>
      </c>
      <c r="K12" t="s">
        <v>40</v>
      </c>
      <c r="L12" t="s">
        <v>41</v>
      </c>
      <c r="M12">
        <v>1</v>
      </c>
      <c r="N12" t="s">
        <v>41</v>
      </c>
    </row>
    <row r="13" spans="1:14" x14ac:dyDescent="0.2">
      <c r="A13" t="s">
        <v>13</v>
      </c>
      <c r="B13" t="s">
        <v>57</v>
      </c>
      <c r="C13" t="s">
        <v>45</v>
      </c>
      <c r="D13" t="s">
        <v>38</v>
      </c>
      <c r="E13" s="2">
        <v>1464455.5</v>
      </c>
      <c r="F13">
        <v>2.42</v>
      </c>
      <c r="G13" s="2">
        <v>1464455.5</v>
      </c>
      <c r="H13" s="2">
        <v>165850</v>
      </c>
      <c r="I13">
        <v>8.83</v>
      </c>
      <c r="J13" t="s">
        <v>39</v>
      </c>
      <c r="K13" t="s">
        <v>40</v>
      </c>
      <c r="L13" t="s">
        <v>41</v>
      </c>
      <c r="M13">
        <v>1</v>
      </c>
      <c r="N13" t="s">
        <v>41</v>
      </c>
    </row>
    <row r="14" spans="1:14" x14ac:dyDescent="0.2">
      <c r="A14" t="s">
        <v>67</v>
      </c>
      <c r="B14" t="s">
        <v>68</v>
      </c>
      <c r="C14" t="s">
        <v>56</v>
      </c>
      <c r="D14" t="s">
        <v>38</v>
      </c>
      <c r="E14" s="2">
        <v>1190240.7</v>
      </c>
      <c r="F14">
        <v>1.96</v>
      </c>
      <c r="G14" s="2">
        <v>1190240.7</v>
      </c>
      <c r="H14" s="2">
        <v>32789</v>
      </c>
      <c r="I14">
        <v>36.299999999999997</v>
      </c>
      <c r="J14" t="s">
        <v>39</v>
      </c>
      <c r="K14" t="s">
        <v>40</v>
      </c>
      <c r="L14" t="s">
        <v>41</v>
      </c>
      <c r="M14">
        <v>1</v>
      </c>
      <c r="N14" t="s">
        <v>41</v>
      </c>
    </row>
    <row r="15" spans="1:14" x14ac:dyDescent="0.2">
      <c r="A15" t="s">
        <v>69</v>
      </c>
      <c r="B15" t="s">
        <v>70</v>
      </c>
      <c r="C15" t="s">
        <v>48</v>
      </c>
      <c r="D15" t="s">
        <v>38</v>
      </c>
      <c r="E15" s="2">
        <v>1186283.28</v>
      </c>
      <c r="F15">
        <v>1.96</v>
      </c>
      <c r="G15" s="2">
        <v>1186283.28</v>
      </c>
      <c r="H15" s="2">
        <v>21112</v>
      </c>
      <c r="I15">
        <v>56.19</v>
      </c>
      <c r="J15" t="s">
        <v>39</v>
      </c>
      <c r="K15" t="s">
        <v>40</v>
      </c>
      <c r="L15" t="s">
        <v>41</v>
      </c>
      <c r="M15">
        <v>1</v>
      </c>
      <c r="N15" t="s">
        <v>41</v>
      </c>
    </row>
    <row r="16" spans="1:14" x14ac:dyDescent="0.2">
      <c r="A16" t="s">
        <v>14</v>
      </c>
      <c r="B16" t="s">
        <v>58</v>
      </c>
      <c r="C16" t="s">
        <v>37</v>
      </c>
      <c r="D16" t="s">
        <v>38</v>
      </c>
      <c r="E16" s="2">
        <v>1118279.78</v>
      </c>
      <c r="F16">
        <v>1.84</v>
      </c>
      <c r="G16" s="2">
        <v>1118279.78</v>
      </c>
      <c r="H16" s="2">
        <v>18101</v>
      </c>
      <c r="I16">
        <v>61.78</v>
      </c>
      <c r="J16" t="s">
        <v>39</v>
      </c>
      <c r="K16" t="s">
        <v>40</v>
      </c>
      <c r="L16" t="s">
        <v>41</v>
      </c>
      <c r="M16">
        <v>1</v>
      </c>
      <c r="N16" t="s">
        <v>41</v>
      </c>
    </row>
    <row r="17" spans="1:14" x14ac:dyDescent="0.2">
      <c r="A17" t="s">
        <v>15</v>
      </c>
      <c r="B17" t="s">
        <v>59</v>
      </c>
      <c r="C17" t="s">
        <v>45</v>
      </c>
      <c r="D17" t="s">
        <v>38</v>
      </c>
      <c r="E17" s="2">
        <v>1004686.4</v>
      </c>
      <c r="F17">
        <v>1.66</v>
      </c>
      <c r="G17" s="2">
        <v>1004686.4</v>
      </c>
      <c r="H17" s="2">
        <v>36937</v>
      </c>
      <c r="I17">
        <v>27.2</v>
      </c>
      <c r="J17" t="s">
        <v>39</v>
      </c>
      <c r="K17" t="s">
        <v>40</v>
      </c>
      <c r="L17" t="s">
        <v>41</v>
      </c>
      <c r="M17">
        <v>1</v>
      </c>
      <c r="N17" t="s">
        <v>41</v>
      </c>
    </row>
    <row r="18" spans="1:14" x14ac:dyDescent="0.2">
      <c r="A18" t="s">
        <v>16</v>
      </c>
      <c r="B18" t="s">
        <v>60</v>
      </c>
      <c r="C18" t="s">
        <v>51</v>
      </c>
      <c r="D18" t="s">
        <v>38</v>
      </c>
      <c r="E18" s="2">
        <v>978536.2</v>
      </c>
      <c r="F18">
        <v>1.61</v>
      </c>
      <c r="G18" s="2">
        <v>978536.2</v>
      </c>
      <c r="H18" s="2">
        <v>35713</v>
      </c>
      <c r="I18">
        <v>27.4</v>
      </c>
      <c r="J18" t="s">
        <v>39</v>
      </c>
      <c r="K18" t="s">
        <v>40</v>
      </c>
      <c r="L18" t="s">
        <v>41</v>
      </c>
      <c r="M18">
        <v>1</v>
      </c>
      <c r="N18" t="s">
        <v>41</v>
      </c>
    </row>
    <row r="19" spans="1:14" x14ac:dyDescent="0.2">
      <c r="A19" t="s">
        <v>17</v>
      </c>
      <c r="B19" t="s">
        <v>61</v>
      </c>
      <c r="C19" t="s">
        <v>43</v>
      </c>
      <c r="D19" t="s">
        <v>38</v>
      </c>
      <c r="E19" s="2">
        <v>920398.6</v>
      </c>
      <c r="F19">
        <v>1.52</v>
      </c>
      <c r="G19" s="2">
        <v>920398.6</v>
      </c>
      <c r="H19" s="2">
        <v>22924</v>
      </c>
      <c r="I19">
        <v>40.15</v>
      </c>
      <c r="J19" t="s">
        <v>39</v>
      </c>
      <c r="K19" t="s">
        <v>40</v>
      </c>
      <c r="L19" t="s">
        <v>41</v>
      </c>
      <c r="M19">
        <v>1</v>
      </c>
      <c r="N19" t="s">
        <v>41</v>
      </c>
    </row>
    <row r="20" spans="1:14" x14ac:dyDescent="0.2">
      <c r="A20" t="s">
        <v>18</v>
      </c>
      <c r="B20" t="s">
        <v>62</v>
      </c>
      <c r="C20" t="s">
        <v>48</v>
      </c>
      <c r="D20" t="s">
        <v>38</v>
      </c>
      <c r="E20" s="2">
        <v>903371</v>
      </c>
      <c r="F20">
        <v>1.49</v>
      </c>
      <c r="G20" s="2">
        <v>903371</v>
      </c>
      <c r="H20" s="2">
        <v>28055</v>
      </c>
      <c r="I20">
        <v>32.200000000000003</v>
      </c>
      <c r="J20" t="s">
        <v>39</v>
      </c>
      <c r="K20" t="s">
        <v>40</v>
      </c>
      <c r="L20" t="s">
        <v>41</v>
      </c>
      <c r="M20">
        <v>1</v>
      </c>
      <c r="N20" t="s">
        <v>41</v>
      </c>
    </row>
    <row r="21" spans="1:14" x14ac:dyDescent="0.2">
      <c r="A21" t="s">
        <v>19</v>
      </c>
      <c r="B21" t="s">
        <v>63</v>
      </c>
      <c r="C21" t="s">
        <v>64</v>
      </c>
      <c r="D21" t="s">
        <v>38</v>
      </c>
      <c r="E21" s="2">
        <v>835377.46</v>
      </c>
      <c r="F21">
        <v>1.38</v>
      </c>
      <c r="G21" s="2">
        <v>835377.46</v>
      </c>
      <c r="H21" s="2">
        <v>32863</v>
      </c>
      <c r="I21">
        <v>25.42</v>
      </c>
      <c r="J21" t="s">
        <v>39</v>
      </c>
      <c r="K21" t="s">
        <v>40</v>
      </c>
      <c r="L21" t="s">
        <v>41</v>
      </c>
      <c r="M21">
        <v>1</v>
      </c>
      <c r="N21" t="s">
        <v>41</v>
      </c>
    </row>
    <row r="22" spans="1:14" x14ac:dyDescent="0.2">
      <c r="A22" t="s">
        <v>20</v>
      </c>
      <c r="B22" t="s">
        <v>65</v>
      </c>
      <c r="C22" t="s">
        <v>56</v>
      </c>
      <c r="D22" t="s">
        <v>38</v>
      </c>
      <c r="E22" s="2">
        <v>807884</v>
      </c>
      <c r="F22">
        <v>1.33</v>
      </c>
      <c r="G22" s="2">
        <v>807884</v>
      </c>
      <c r="H22" s="2">
        <v>36722</v>
      </c>
      <c r="I22">
        <v>22</v>
      </c>
      <c r="J22" t="s">
        <v>39</v>
      </c>
      <c r="K22" t="s">
        <v>40</v>
      </c>
      <c r="L22" t="s">
        <v>41</v>
      </c>
      <c r="M22">
        <v>1</v>
      </c>
      <c r="N22" t="s">
        <v>41</v>
      </c>
    </row>
    <row r="23" spans="1:14" x14ac:dyDescent="0.2">
      <c r="A23" t="s">
        <v>21</v>
      </c>
      <c r="B23" t="s">
        <v>66</v>
      </c>
      <c r="C23" t="s">
        <v>45</v>
      </c>
      <c r="D23" t="s">
        <v>38</v>
      </c>
      <c r="E23" s="2">
        <v>661659.84</v>
      </c>
      <c r="F23">
        <v>1.0900000000000001</v>
      </c>
      <c r="G23" s="2">
        <v>661659.84</v>
      </c>
      <c r="H23" s="2">
        <v>18288</v>
      </c>
      <c r="I23">
        <v>36.18</v>
      </c>
      <c r="J23" t="s">
        <v>39</v>
      </c>
      <c r="K23" t="s">
        <v>40</v>
      </c>
      <c r="L23" t="s">
        <v>41</v>
      </c>
      <c r="M23">
        <v>1</v>
      </c>
      <c r="N23" t="s">
        <v>41</v>
      </c>
    </row>
    <row r="24" spans="1:14" x14ac:dyDescent="0.2">
      <c r="A24" t="s">
        <v>71</v>
      </c>
      <c r="B24" t="s">
        <v>72</v>
      </c>
      <c r="C24" t="s">
        <v>37</v>
      </c>
      <c r="D24" t="s">
        <v>38</v>
      </c>
      <c r="E24" s="2">
        <v>646836.12</v>
      </c>
      <c r="F24">
        <v>1.07</v>
      </c>
      <c r="G24" s="2">
        <v>646836.12</v>
      </c>
      <c r="H24" s="2">
        <v>35658</v>
      </c>
      <c r="I24">
        <v>18.14</v>
      </c>
      <c r="J24" t="s">
        <v>39</v>
      </c>
      <c r="K24" t="s">
        <v>40</v>
      </c>
      <c r="L24" t="s">
        <v>41</v>
      </c>
      <c r="M24">
        <v>1</v>
      </c>
      <c r="N24" t="s">
        <v>41</v>
      </c>
    </row>
    <row r="25" spans="1:14" x14ac:dyDescent="0.2">
      <c r="A25" t="s">
        <v>73</v>
      </c>
      <c r="B25" t="s">
        <v>74</v>
      </c>
      <c r="C25" t="s">
        <v>48</v>
      </c>
      <c r="D25" t="s">
        <v>38</v>
      </c>
      <c r="E25" s="2">
        <v>622473.28</v>
      </c>
      <c r="F25">
        <v>1.03</v>
      </c>
      <c r="G25" s="2">
        <v>622473.28</v>
      </c>
      <c r="H25" s="2">
        <v>34892</v>
      </c>
      <c r="I25">
        <v>17.84</v>
      </c>
      <c r="J25" t="s">
        <v>39</v>
      </c>
      <c r="K25" t="s">
        <v>40</v>
      </c>
      <c r="L25" t="s">
        <v>41</v>
      </c>
      <c r="M25">
        <v>1</v>
      </c>
      <c r="N25" t="s">
        <v>41</v>
      </c>
    </row>
    <row r="26" spans="1:14" x14ac:dyDescent="0.2">
      <c r="A26" t="s">
        <v>75</v>
      </c>
      <c r="B26" t="s">
        <v>76</v>
      </c>
      <c r="C26" t="s">
        <v>56</v>
      </c>
      <c r="D26" t="s">
        <v>38</v>
      </c>
      <c r="E26" s="2">
        <v>592713.92000000004</v>
      </c>
      <c r="F26">
        <v>0.98</v>
      </c>
      <c r="G26" s="2">
        <v>592713.92000000004</v>
      </c>
      <c r="H26" s="2">
        <v>23372</v>
      </c>
      <c r="I26">
        <v>25.36</v>
      </c>
      <c r="J26" t="s">
        <v>39</v>
      </c>
      <c r="K26" t="s">
        <v>40</v>
      </c>
      <c r="L26" t="s">
        <v>41</v>
      </c>
      <c r="M26">
        <v>1</v>
      </c>
      <c r="N26" t="s">
        <v>41</v>
      </c>
    </row>
    <row r="27" spans="1:14" x14ac:dyDescent="0.2">
      <c r="A27" t="s">
        <v>77</v>
      </c>
      <c r="B27" t="s">
        <v>78</v>
      </c>
      <c r="C27" t="s">
        <v>51</v>
      </c>
      <c r="D27" t="s">
        <v>38</v>
      </c>
      <c r="E27" s="2">
        <v>592529.63</v>
      </c>
      <c r="F27">
        <v>0.98</v>
      </c>
      <c r="G27" s="2">
        <v>592529.63</v>
      </c>
      <c r="H27" s="2">
        <v>53333</v>
      </c>
      <c r="I27">
        <v>11.11</v>
      </c>
      <c r="J27" t="s">
        <v>39</v>
      </c>
      <c r="K27" t="s">
        <v>40</v>
      </c>
      <c r="L27" t="s">
        <v>41</v>
      </c>
      <c r="M27">
        <v>1</v>
      </c>
      <c r="N27" t="s">
        <v>41</v>
      </c>
    </row>
    <row r="28" spans="1:14" x14ac:dyDescent="0.2">
      <c r="A28" t="s">
        <v>79</v>
      </c>
      <c r="B28" t="s">
        <v>80</v>
      </c>
      <c r="C28" t="s">
        <v>81</v>
      </c>
      <c r="D28" t="s">
        <v>38</v>
      </c>
      <c r="E28" s="2">
        <v>546554.22</v>
      </c>
      <c r="F28">
        <v>0.9</v>
      </c>
      <c r="G28" s="2">
        <v>546554.22</v>
      </c>
      <c r="H28" s="2">
        <v>11686</v>
      </c>
      <c r="I28">
        <v>46.77</v>
      </c>
      <c r="J28" t="s">
        <v>39</v>
      </c>
      <c r="K28" t="s">
        <v>40</v>
      </c>
      <c r="L28" t="s">
        <v>41</v>
      </c>
      <c r="M28">
        <v>1</v>
      </c>
      <c r="N28" t="s">
        <v>41</v>
      </c>
    </row>
    <row r="29" spans="1:14" x14ac:dyDescent="0.2">
      <c r="A29" t="s">
        <v>82</v>
      </c>
      <c r="B29" t="s">
        <v>83</v>
      </c>
      <c r="C29" t="s">
        <v>51</v>
      </c>
      <c r="D29" t="s">
        <v>38</v>
      </c>
      <c r="E29" s="2">
        <v>546412.23</v>
      </c>
      <c r="F29">
        <v>0.9</v>
      </c>
      <c r="G29" s="2">
        <v>546412.23</v>
      </c>
      <c r="H29" s="2">
        <v>51891</v>
      </c>
      <c r="I29">
        <v>10.53</v>
      </c>
      <c r="J29" t="s">
        <v>39</v>
      </c>
      <c r="K29" t="s">
        <v>40</v>
      </c>
      <c r="L29" t="s">
        <v>41</v>
      </c>
      <c r="M29">
        <v>1</v>
      </c>
      <c r="N29" t="s">
        <v>41</v>
      </c>
    </row>
    <row r="30" spans="1:14" x14ac:dyDescent="0.2">
      <c r="A30" t="s">
        <v>84</v>
      </c>
      <c r="B30" t="s">
        <v>85</v>
      </c>
      <c r="C30" t="s">
        <v>86</v>
      </c>
      <c r="D30" t="s">
        <v>38</v>
      </c>
      <c r="E30" s="2">
        <v>523889.44</v>
      </c>
      <c r="F30">
        <v>0.86</v>
      </c>
      <c r="G30" s="2">
        <v>523889.44</v>
      </c>
      <c r="H30" s="2">
        <v>29366</v>
      </c>
      <c r="I30">
        <v>17.84</v>
      </c>
      <c r="J30" t="s">
        <v>39</v>
      </c>
      <c r="K30" t="s">
        <v>40</v>
      </c>
      <c r="L30" t="s">
        <v>41</v>
      </c>
      <c r="M30">
        <v>1</v>
      </c>
      <c r="N30" t="s">
        <v>41</v>
      </c>
    </row>
    <row r="31" spans="1:14" x14ac:dyDescent="0.2">
      <c r="A31" t="s">
        <v>87</v>
      </c>
      <c r="B31" t="s">
        <v>88</v>
      </c>
      <c r="C31" t="s">
        <v>37</v>
      </c>
      <c r="D31" t="s">
        <v>38</v>
      </c>
      <c r="E31" s="2">
        <v>509796.8</v>
      </c>
      <c r="F31">
        <v>0.84</v>
      </c>
      <c r="G31" s="2">
        <v>509796.8</v>
      </c>
      <c r="H31" s="2">
        <v>21974</v>
      </c>
      <c r="I31">
        <v>23.2</v>
      </c>
      <c r="J31" t="s">
        <v>39</v>
      </c>
      <c r="K31" t="s">
        <v>40</v>
      </c>
      <c r="L31" t="s">
        <v>41</v>
      </c>
      <c r="M31">
        <v>1</v>
      </c>
      <c r="N31" t="s">
        <v>41</v>
      </c>
    </row>
    <row r="32" spans="1:14" x14ac:dyDescent="0.2">
      <c r="A32" t="s">
        <v>89</v>
      </c>
      <c r="B32" t="s">
        <v>90</v>
      </c>
      <c r="C32" t="s">
        <v>43</v>
      </c>
      <c r="D32" t="s">
        <v>38</v>
      </c>
      <c r="E32" s="2">
        <v>496742.28</v>
      </c>
      <c r="F32">
        <v>0.82</v>
      </c>
      <c r="G32" s="2">
        <v>496742.28</v>
      </c>
      <c r="H32" s="2">
        <v>31281</v>
      </c>
      <c r="I32">
        <v>15.88</v>
      </c>
      <c r="J32" t="s">
        <v>39</v>
      </c>
      <c r="K32" t="s">
        <v>40</v>
      </c>
      <c r="L32" t="s">
        <v>41</v>
      </c>
      <c r="M32">
        <v>1</v>
      </c>
      <c r="N32" t="s">
        <v>41</v>
      </c>
    </row>
    <row r="33" spans="1:14" x14ac:dyDescent="0.2">
      <c r="A33" t="s">
        <v>91</v>
      </c>
      <c r="B33" t="s">
        <v>92</v>
      </c>
      <c r="C33" t="s">
        <v>45</v>
      </c>
      <c r="D33" t="s">
        <v>38</v>
      </c>
      <c r="E33" s="2">
        <v>453210.8</v>
      </c>
      <c r="F33">
        <v>0.75</v>
      </c>
      <c r="G33" s="2">
        <v>453210.8</v>
      </c>
      <c r="H33" s="2">
        <v>42595</v>
      </c>
      <c r="I33">
        <v>10.64</v>
      </c>
      <c r="J33" t="s">
        <v>39</v>
      </c>
      <c r="K33" t="s">
        <v>40</v>
      </c>
      <c r="L33" t="s">
        <v>41</v>
      </c>
      <c r="M33">
        <v>1</v>
      </c>
      <c r="N33" t="s">
        <v>41</v>
      </c>
    </row>
    <row r="34" spans="1:14" x14ac:dyDescent="0.2">
      <c r="A34" t="s">
        <v>93</v>
      </c>
      <c r="B34" t="s">
        <v>94</v>
      </c>
      <c r="C34" t="s">
        <v>51</v>
      </c>
      <c r="D34" t="s">
        <v>38</v>
      </c>
      <c r="E34" s="2">
        <v>440892.75</v>
      </c>
      <c r="F34">
        <v>0.73</v>
      </c>
      <c r="G34" s="2">
        <v>440892.75</v>
      </c>
      <c r="H34" s="2">
        <v>48185</v>
      </c>
      <c r="I34">
        <v>9.15</v>
      </c>
      <c r="J34" t="s">
        <v>39</v>
      </c>
      <c r="K34" t="s">
        <v>40</v>
      </c>
      <c r="L34" t="s">
        <v>41</v>
      </c>
      <c r="M34">
        <v>1</v>
      </c>
      <c r="N34" t="s">
        <v>41</v>
      </c>
    </row>
    <row r="35" spans="1:14" x14ac:dyDescent="0.2">
      <c r="A35" t="s">
        <v>95</v>
      </c>
      <c r="B35" t="s">
        <v>96</v>
      </c>
      <c r="C35" t="s">
        <v>97</v>
      </c>
      <c r="D35" t="s">
        <v>38</v>
      </c>
      <c r="E35" s="2">
        <v>414651.75</v>
      </c>
      <c r="F35">
        <v>0.68</v>
      </c>
      <c r="G35" s="2">
        <v>414651.75</v>
      </c>
      <c r="H35" s="2">
        <v>15501</v>
      </c>
      <c r="I35">
        <v>26.75</v>
      </c>
      <c r="J35" t="s">
        <v>39</v>
      </c>
      <c r="K35" t="s">
        <v>40</v>
      </c>
      <c r="L35" t="s">
        <v>41</v>
      </c>
      <c r="M35">
        <v>1</v>
      </c>
      <c r="N35" t="s">
        <v>41</v>
      </c>
    </row>
    <row r="36" spans="1:14" x14ac:dyDescent="0.2">
      <c r="A36" t="s">
        <v>98</v>
      </c>
      <c r="B36" t="s">
        <v>99</v>
      </c>
      <c r="C36" t="s">
        <v>86</v>
      </c>
      <c r="D36" t="s">
        <v>38</v>
      </c>
      <c r="E36" s="2">
        <v>364375.68</v>
      </c>
      <c r="F36">
        <v>0.6</v>
      </c>
      <c r="G36" s="2">
        <v>364375.68</v>
      </c>
      <c r="H36" s="2">
        <v>30064</v>
      </c>
      <c r="I36">
        <v>12.12</v>
      </c>
      <c r="J36" t="s">
        <v>39</v>
      </c>
      <c r="K36" t="s">
        <v>40</v>
      </c>
      <c r="L36" t="s">
        <v>41</v>
      </c>
      <c r="M36">
        <v>1</v>
      </c>
      <c r="N36" t="s">
        <v>41</v>
      </c>
    </row>
    <row r="37" spans="1:14" x14ac:dyDescent="0.2">
      <c r="A37" t="s">
        <v>100</v>
      </c>
      <c r="B37" t="s">
        <v>101</v>
      </c>
      <c r="C37" t="s">
        <v>51</v>
      </c>
      <c r="D37" t="s">
        <v>38</v>
      </c>
      <c r="E37" s="2">
        <v>341416.32</v>
      </c>
      <c r="F37">
        <v>0.56000000000000005</v>
      </c>
      <c r="G37" s="2">
        <v>341416.32</v>
      </c>
      <c r="H37" s="2">
        <v>9359</v>
      </c>
      <c r="I37">
        <v>36.479999999999997</v>
      </c>
      <c r="J37" t="s">
        <v>39</v>
      </c>
      <c r="K37" t="s">
        <v>40</v>
      </c>
      <c r="L37" t="s">
        <v>41</v>
      </c>
      <c r="M37">
        <v>1</v>
      </c>
      <c r="N37" t="s">
        <v>41</v>
      </c>
    </row>
    <row r="38" spans="1:14" x14ac:dyDescent="0.2">
      <c r="A38" t="s">
        <v>102</v>
      </c>
      <c r="B38" t="s">
        <v>103</v>
      </c>
      <c r="C38" t="s">
        <v>81</v>
      </c>
      <c r="D38" t="s">
        <v>38</v>
      </c>
      <c r="E38" s="2">
        <v>335516.08</v>
      </c>
      <c r="F38">
        <v>0.55000000000000004</v>
      </c>
      <c r="G38" s="2">
        <v>335516.08</v>
      </c>
      <c r="H38" s="2">
        <v>23171</v>
      </c>
      <c r="I38">
        <v>14.48</v>
      </c>
      <c r="J38" t="s">
        <v>39</v>
      </c>
      <c r="K38" t="s">
        <v>40</v>
      </c>
      <c r="L38" t="s">
        <v>41</v>
      </c>
      <c r="M38">
        <v>1</v>
      </c>
      <c r="N38" t="s">
        <v>41</v>
      </c>
    </row>
    <row r="39" spans="1:14" x14ac:dyDescent="0.2">
      <c r="A39" t="s">
        <v>104</v>
      </c>
      <c r="B39" t="s">
        <v>105</v>
      </c>
      <c r="C39" t="s">
        <v>48</v>
      </c>
      <c r="D39" t="s">
        <v>38</v>
      </c>
      <c r="E39" s="2">
        <v>322630.36</v>
      </c>
      <c r="F39">
        <v>0.53</v>
      </c>
      <c r="G39" s="2">
        <v>322630.36</v>
      </c>
      <c r="H39" s="2">
        <v>24572</v>
      </c>
      <c r="I39">
        <v>13.13</v>
      </c>
      <c r="J39" t="s">
        <v>39</v>
      </c>
      <c r="K39" t="s">
        <v>40</v>
      </c>
      <c r="L39" t="s">
        <v>41</v>
      </c>
      <c r="M39">
        <v>1</v>
      </c>
      <c r="N39" t="s">
        <v>41</v>
      </c>
    </row>
    <row r="40" spans="1:14" x14ac:dyDescent="0.2">
      <c r="A40" t="s">
        <v>106</v>
      </c>
      <c r="B40" t="s">
        <v>107</v>
      </c>
      <c r="C40" t="s">
        <v>43</v>
      </c>
      <c r="D40" t="s">
        <v>38</v>
      </c>
      <c r="E40" s="2">
        <v>313192.32000000001</v>
      </c>
      <c r="F40">
        <v>0.52</v>
      </c>
      <c r="G40" s="2">
        <v>313192.32000000001</v>
      </c>
      <c r="H40" s="2">
        <v>13316</v>
      </c>
      <c r="I40">
        <v>23.52</v>
      </c>
      <c r="J40" t="s">
        <v>39</v>
      </c>
      <c r="K40" t="s">
        <v>40</v>
      </c>
      <c r="L40" t="s">
        <v>41</v>
      </c>
      <c r="M40">
        <v>1</v>
      </c>
      <c r="N40" t="s">
        <v>41</v>
      </c>
    </row>
    <row r="41" spans="1:14" x14ac:dyDescent="0.2">
      <c r="A41" t="s">
        <v>108</v>
      </c>
      <c r="B41" t="s">
        <v>109</v>
      </c>
      <c r="C41" t="s">
        <v>56</v>
      </c>
      <c r="D41" t="s">
        <v>38</v>
      </c>
      <c r="E41" s="2">
        <v>310986.71999999997</v>
      </c>
      <c r="F41">
        <v>0.51</v>
      </c>
      <c r="G41" s="2">
        <v>310986.71999999997</v>
      </c>
      <c r="H41" s="2">
        <v>24372</v>
      </c>
      <c r="I41">
        <v>12.76</v>
      </c>
      <c r="J41" t="s">
        <v>39</v>
      </c>
      <c r="K41" t="s">
        <v>40</v>
      </c>
      <c r="L41" t="s">
        <v>41</v>
      </c>
      <c r="M41">
        <v>1</v>
      </c>
      <c r="N41" t="s">
        <v>41</v>
      </c>
    </row>
    <row r="42" spans="1:14" x14ac:dyDescent="0.2">
      <c r="A42" t="s">
        <v>110</v>
      </c>
      <c r="B42" t="s">
        <v>111</v>
      </c>
      <c r="C42" t="s">
        <v>51</v>
      </c>
      <c r="D42" t="s">
        <v>38</v>
      </c>
      <c r="E42" s="2">
        <v>307945.28000000003</v>
      </c>
      <c r="F42">
        <v>0.51</v>
      </c>
      <c r="G42" s="2">
        <v>307945.28000000003</v>
      </c>
      <c r="H42" s="2">
        <v>37372</v>
      </c>
      <c r="I42">
        <v>8.24</v>
      </c>
      <c r="J42" t="s">
        <v>39</v>
      </c>
      <c r="K42" t="s">
        <v>40</v>
      </c>
      <c r="L42" t="s">
        <v>41</v>
      </c>
      <c r="M42">
        <v>1</v>
      </c>
      <c r="N42" t="s">
        <v>41</v>
      </c>
    </row>
    <row r="43" spans="1:14" x14ac:dyDescent="0.2">
      <c r="A43" t="s">
        <v>112</v>
      </c>
      <c r="B43" t="s">
        <v>113</v>
      </c>
      <c r="C43" t="s">
        <v>64</v>
      </c>
      <c r="D43" t="s">
        <v>38</v>
      </c>
      <c r="E43" s="2">
        <v>305826.65999999997</v>
      </c>
      <c r="F43">
        <v>0.5</v>
      </c>
      <c r="G43" s="2">
        <v>305826.65999999997</v>
      </c>
      <c r="H43" s="2">
        <v>137142</v>
      </c>
      <c r="I43">
        <v>2.23</v>
      </c>
      <c r="J43" t="s">
        <v>39</v>
      </c>
      <c r="K43" t="s">
        <v>40</v>
      </c>
      <c r="L43" t="s">
        <v>41</v>
      </c>
      <c r="M43">
        <v>1</v>
      </c>
      <c r="N43" t="s">
        <v>41</v>
      </c>
    </row>
    <row r="44" spans="1:14" x14ac:dyDescent="0.2">
      <c r="A44" t="s">
        <v>114</v>
      </c>
      <c r="B44" t="s">
        <v>115</v>
      </c>
      <c r="C44" t="s">
        <v>51</v>
      </c>
      <c r="D44" t="s">
        <v>38</v>
      </c>
      <c r="E44" s="2">
        <v>291784.24</v>
      </c>
      <c r="F44">
        <v>0.48</v>
      </c>
      <c r="G44" s="2">
        <v>291784.24</v>
      </c>
      <c r="H44" s="2">
        <v>7711</v>
      </c>
      <c r="I44">
        <v>37.840000000000003</v>
      </c>
      <c r="J44" t="s">
        <v>39</v>
      </c>
      <c r="K44" t="s">
        <v>40</v>
      </c>
      <c r="L44" t="s">
        <v>41</v>
      </c>
      <c r="M44">
        <v>1</v>
      </c>
      <c r="N44" t="s">
        <v>41</v>
      </c>
    </row>
    <row r="45" spans="1:14" x14ac:dyDescent="0.2">
      <c r="A45" t="s">
        <v>116</v>
      </c>
      <c r="B45" t="s">
        <v>117</v>
      </c>
      <c r="C45" t="s">
        <v>48</v>
      </c>
      <c r="D45" t="s">
        <v>38</v>
      </c>
      <c r="E45" s="2">
        <v>289997.55</v>
      </c>
      <c r="F45">
        <v>0.48</v>
      </c>
      <c r="G45" s="2">
        <v>289997.55</v>
      </c>
      <c r="H45" s="2">
        <v>28515</v>
      </c>
      <c r="I45">
        <v>10.17</v>
      </c>
      <c r="J45" t="s">
        <v>39</v>
      </c>
      <c r="K45" t="s">
        <v>40</v>
      </c>
      <c r="L45" t="s">
        <v>41</v>
      </c>
      <c r="M45">
        <v>1</v>
      </c>
      <c r="N45" t="s">
        <v>41</v>
      </c>
    </row>
    <row r="46" spans="1:14" x14ac:dyDescent="0.2">
      <c r="A46" t="s">
        <v>118</v>
      </c>
      <c r="B46" t="s">
        <v>119</v>
      </c>
      <c r="C46" t="s">
        <v>43</v>
      </c>
      <c r="D46" t="s">
        <v>38</v>
      </c>
      <c r="E46" s="2">
        <v>272952</v>
      </c>
      <c r="F46">
        <v>0.45</v>
      </c>
      <c r="G46" s="2">
        <v>272952</v>
      </c>
      <c r="H46" s="2">
        <v>33450</v>
      </c>
      <c r="I46">
        <v>8.16</v>
      </c>
      <c r="J46" t="s">
        <v>39</v>
      </c>
      <c r="K46" t="s">
        <v>40</v>
      </c>
      <c r="L46" t="s">
        <v>41</v>
      </c>
      <c r="M46">
        <v>1</v>
      </c>
      <c r="N46" t="s">
        <v>41</v>
      </c>
    </row>
    <row r="47" spans="1:14" x14ac:dyDescent="0.2">
      <c r="A47" t="s">
        <v>120</v>
      </c>
      <c r="B47" t="s">
        <v>121</v>
      </c>
      <c r="C47" t="s">
        <v>51</v>
      </c>
      <c r="D47" t="s">
        <v>38</v>
      </c>
      <c r="E47" s="2">
        <v>261324.57</v>
      </c>
      <c r="F47">
        <v>0.43</v>
      </c>
      <c r="G47" s="2">
        <v>261324.57</v>
      </c>
      <c r="H47" s="2">
        <v>11357</v>
      </c>
      <c r="I47">
        <v>23.01</v>
      </c>
      <c r="J47" t="s">
        <v>39</v>
      </c>
      <c r="K47" t="s">
        <v>40</v>
      </c>
      <c r="L47" t="s">
        <v>41</v>
      </c>
      <c r="M47">
        <v>1</v>
      </c>
      <c r="N47" t="s">
        <v>41</v>
      </c>
    </row>
    <row r="48" spans="1:14" x14ac:dyDescent="0.2">
      <c r="A48" t="s">
        <v>122</v>
      </c>
      <c r="B48" t="s">
        <v>123</v>
      </c>
      <c r="C48" t="s">
        <v>124</v>
      </c>
      <c r="D48" t="s">
        <v>38</v>
      </c>
      <c r="E48" s="2">
        <v>260258.81</v>
      </c>
      <c r="F48">
        <v>0.43</v>
      </c>
      <c r="G48" s="2">
        <v>260258.81</v>
      </c>
      <c r="H48" s="2">
        <v>14371</v>
      </c>
      <c r="I48">
        <v>18.11</v>
      </c>
      <c r="J48" t="s">
        <v>39</v>
      </c>
      <c r="K48" t="s">
        <v>40</v>
      </c>
      <c r="L48" t="s">
        <v>41</v>
      </c>
      <c r="M48">
        <v>1</v>
      </c>
      <c r="N48" t="s">
        <v>41</v>
      </c>
    </row>
    <row r="49" spans="1:14" x14ac:dyDescent="0.2">
      <c r="A49" t="s">
        <v>125</v>
      </c>
      <c r="B49" t="s">
        <v>126</v>
      </c>
      <c r="C49" t="s">
        <v>51</v>
      </c>
      <c r="D49" t="s">
        <v>38</v>
      </c>
      <c r="E49" s="2">
        <v>260002</v>
      </c>
      <c r="F49">
        <v>0.43</v>
      </c>
      <c r="G49" s="2">
        <v>260002</v>
      </c>
      <c r="H49" s="2">
        <v>7324</v>
      </c>
      <c r="I49">
        <v>35.5</v>
      </c>
      <c r="J49" t="s">
        <v>39</v>
      </c>
      <c r="K49" t="s">
        <v>40</v>
      </c>
      <c r="L49" t="s">
        <v>41</v>
      </c>
      <c r="M49">
        <v>1</v>
      </c>
      <c r="N49" t="s">
        <v>41</v>
      </c>
    </row>
    <row r="50" spans="1:14" x14ac:dyDescent="0.2">
      <c r="A50" t="s">
        <v>127</v>
      </c>
      <c r="B50" t="s">
        <v>128</v>
      </c>
      <c r="C50" t="s">
        <v>45</v>
      </c>
      <c r="D50" t="s">
        <v>38</v>
      </c>
      <c r="E50" s="2">
        <v>243988.26</v>
      </c>
      <c r="F50">
        <v>0.4</v>
      </c>
      <c r="G50" s="2">
        <v>243988.26</v>
      </c>
      <c r="H50" s="2">
        <v>10243</v>
      </c>
      <c r="I50">
        <v>23.82</v>
      </c>
      <c r="J50" t="s">
        <v>39</v>
      </c>
      <c r="K50" t="s">
        <v>40</v>
      </c>
      <c r="L50" t="s">
        <v>41</v>
      </c>
      <c r="M50">
        <v>1</v>
      </c>
      <c r="N50" t="s">
        <v>41</v>
      </c>
    </row>
    <row r="51" spans="1:14" x14ac:dyDescent="0.2">
      <c r="A51" t="s">
        <v>129</v>
      </c>
      <c r="B51" t="s">
        <v>130</v>
      </c>
      <c r="C51" t="s">
        <v>56</v>
      </c>
      <c r="D51" t="s">
        <v>38</v>
      </c>
      <c r="E51" s="2">
        <v>218044.27</v>
      </c>
      <c r="F51">
        <v>0.36</v>
      </c>
      <c r="G51" s="2">
        <v>218044.27</v>
      </c>
      <c r="H51" s="2">
        <v>38729</v>
      </c>
      <c r="I51">
        <v>5.63</v>
      </c>
      <c r="J51" t="s">
        <v>39</v>
      </c>
      <c r="K51" t="s">
        <v>40</v>
      </c>
      <c r="L51" t="s">
        <v>41</v>
      </c>
      <c r="M51">
        <v>1</v>
      </c>
      <c r="N51" t="s">
        <v>41</v>
      </c>
    </row>
    <row r="52" spans="1:14" x14ac:dyDescent="0.2">
      <c r="A52" t="s">
        <v>131</v>
      </c>
      <c r="B52" t="s">
        <v>132</v>
      </c>
      <c r="C52" t="s">
        <v>64</v>
      </c>
      <c r="D52" t="s">
        <v>38</v>
      </c>
      <c r="E52" s="2">
        <v>212684.13</v>
      </c>
      <c r="F52">
        <v>0.35</v>
      </c>
      <c r="G52" s="2">
        <v>212684.13</v>
      </c>
      <c r="H52" s="2">
        <v>11757</v>
      </c>
      <c r="I52">
        <v>18.09</v>
      </c>
      <c r="J52" t="s">
        <v>39</v>
      </c>
      <c r="K52" t="s">
        <v>40</v>
      </c>
      <c r="L52" t="s">
        <v>41</v>
      </c>
      <c r="M52">
        <v>1</v>
      </c>
      <c r="N52" t="s">
        <v>41</v>
      </c>
    </row>
    <row r="53" spans="1:14" x14ac:dyDescent="0.2">
      <c r="A53" t="s">
        <v>133</v>
      </c>
      <c r="B53" t="s">
        <v>134</v>
      </c>
      <c r="C53" t="s">
        <v>45</v>
      </c>
      <c r="D53" t="s">
        <v>38</v>
      </c>
      <c r="E53" s="2">
        <v>212040</v>
      </c>
      <c r="F53">
        <v>0.35</v>
      </c>
      <c r="G53" s="2">
        <v>212040</v>
      </c>
      <c r="H53" s="2">
        <v>14880</v>
      </c>
      <c r="I53">
        <v>14.25</v>
      </c>
      <c r="J53" t="s">
        <v>39</v>
      </c>
      <c r="K53" t="s">
        <v>40</v>
      </c>
      <c r="L53" t="s">
        <v>41</v>
      </c>
      <c r="M53">
        <v>1</v>
      </c>
      <c r="N53" t="s">
        <v>41</v>
      </c>
    </row>
    <row r="54" spans="1:14" x14ac:dyDescent="0.2">
      <c r="A54" t="s">
        <v>135</v>
      </c>
      <c r="B54" t="s">
        <v>136</v>
      </c>
      <c r="C54" t="s">
        <v>51</v>
      </c>
      <c r="D54" t="s">
        <v>38</v>
      </c>
      <c r="E54" s="2">
        <v>206853.7</v>
      </c>
      <c r="F54">
        <v>0.34</v>
      </c>
      <c r="G54" s="2">
        <v>206853.7</v>
      </c>
      <c r="H54" s="2">
        <v>6295</v>
      </c>
      <c r="I54">
        <v>32.86</v>
      </c>
      <c r="J54" t="s">
        <v>39</v>
      </c>
      <c r="K54" t="s">
        <v>40</v>
      </c>
      <c r="L54" t="s">
        <v>41</v>
      </c>
      <c r="M54">
        <v>1</v>
      </c>
      <c r="N54" t="s">
        <v>41</v>
      </c>
    </row>
    <row r="55" spans="1:14" x14ac:dyDescent="0.2">
      <c r="A55" t="s">
        <v>137</v>
      </c>
      <c r="B55" t="s">
        <v>138</v>
      </c>
      <c r="C55" t="s">
        <v>37</v>
      </c>
      <c r="D55" t="s">
        <v>38</v>
      </c>
      <c r="E55" s="2">
        <v>194586</v>
      </c>
      <c r="F55">
        <v>0.32</v>
      </c>
      <c r="G55" s="2">
        <v>194586</v>
      </c>
      <c r="H55" s="2">
        <v>18984</v>
      </c>
      <c r="I55">
        <v>10.25</v>
      </c>
      <c r="J55" t="s">
        <v>39</v>
      </c>
      <c r="K55" t="s">
        <v>40</v>
      </c>
      <c r="L55" t="s">
        <v>41</v>
      </c>
      <c r="M55">
        <v>1</v>
      </c>
      <c r="N55" t="s">
        <v>41</v>
      </c>
    </row>
    <row r="56" spans="1:14" x14ac:dyDescent="0.2">
      <c r="A56" t="s">
        <v>139</v>
      </c>
      <c r="B56" t="s">
        <v>140</v>
      </c>
      <c r="C56" t="s">
        <v>124</v>
      </c>
      <c r="D56" t="s">
        <v>38</v>
      </c>
      <c r="E56" s="2">
        <v>192966.32</v>
      </c>
      <c r="F56">
        <v>0.32</v>
      </c>
      <c r="G56" s="2">
        <v>192966.32</v>
      </c>
      <c r="H56" s="2">
        <v>9154</v>
      </c>
      <c r="I56">
        <v>21.08</v>
      </c>
      <c r="J56" t="s">
        <v>39</v>
      </c>
      <c r="K56" t="s">
        <v>40</v>
      </c>
      <c r="L56" t="s">
        <v>41</v>
      </c>
      <c r="M56">
        <v>1</v>
      </c>
      <c r="N56" t="s">
        <v>41</v>
      </c>
    </row>
    <row r="57" spans="1:14" x14ac:dyDescent="0.2">
      <c r="A57" t="s">
        <v>141</v>
      </c>
      <c r="B57" t="s">
        <v>142</v>
      </c>
      <c r="C57" t="s">
        <v>45</v>
      </c>
      <c r="D57" t="s">
        <v>38</v>
      </c>
      <c r="E57" s="2">
        <v>191631.65</v>
      </c>
      <c r="F57">
        <v>0.32</v>
      </c>
      <c r="G57" s="2">
        <v>191631.65</v>
      </c>
      <c r="H57" s="2">
        <v>5243</v>
      </c>
      <c r="I57">
        <v>36.549999999999997</v>
      </c>
      <c r="J57" t="s">
        <v>39</v>
      </c>
      <c r="K57" t="s">
        <v>40</v>
      </c>
      <c r="L57" t="s">
        <v>41</v>
      </c>
      <c r="M57">
        <v>1</v>
      </c>
      <c r="N57" t="s">
        <v>41</v>
      </c>
    </row>
    <row r="58" spans="1:14" x14ac:dyDescent="0.2">
      <c r="A58" t="s">
        <v>143</v>
      </c>
      <c r="B58" t="s">
        <v>144</v>
      </c>
      <c r="C58" t="s">
        <v>37</v>
      </c>
      <c r="D58" t="s">
        <v>38</v>
      </c>
      <c r="E58" s="2">
        <v>187734.54</v>
      </c>
      <c r="F58">
        <v>0.31</v>
      </c>
      <c r="G58" s="2">
        <v>187734.54</v>
      </c>
      <c r="H58" s="2">
        <v>21189</v>
      </c>
      <c r="I58">
        <v>8.86</v>
      </c>
      <c r="J58" t="s">
        <v>39</v>
      </c>
      <c r="K58" t="s">
        <v>40</v>
      </c>
      <c r="L58" t="s">
        <v>41</v>
      </c>
      <c r="M58">
        <v>1</v>
      </c>
      <c r="N58" t="s">
        <v>41</v>
      </c>
    </row>
    <row r="59" spans="1:14" x14ac:dyDescent="0.2">
      <c r="A59" t="s">
        <v>145</v>
      </c>
      <c r="B59" t="s">
        <v>146</v>
      </c>
      <c r="C59" t="s">
        <v>51</v>
      </c>
      <c r="D59" t="s">
        <v>38</v>
      </c>
      <c r="E59" s="2">
        <v>171123.03</v>
      </c>
      <c r="F59">
        <v>0.28000000000000003</v>
      </c>
      <c r="G59" s="2">
        <v>171123.03</v>
      </c>
      <c r="H59" s="2">
        <v>5417</v>
      </c>
      <c r="I59">
        <v>31.59</v>
      </c>
      <c r="J59" t="s">
        <v>39</v>
      </c>
      <c r="K59" t="s">
        <v>40</v>
      </c>
      <c r="L59" t="s">
        <v>41</v>
      </c>
      <c r="M59">
        <v>1</v>
      </c>
      <c r="N59" t="s">
        <v>41</v>
      </c>
    </row>
    <row r="60" spans="1:14" x14ac:dyDescent="0.2">
      <c r="A60" t="s">
        <v>147</v>
      </c>
      <c r="B60" t="s">
        <v>148</v>
      </c>
      <c r="C60" t="s">
        <v>37</v>
      </c>
      <c r="D60" t="s">
        <v>38</v>
      </c>
      <c r="E60" s="2">
        <v>163903.9</v>
      </c>
      <c r="F60">
        <v>0.27</v>
      </c>
      <c r="G60" s="2">
        <v>163903.9</v>
      </c>
      <c r="H60" s="2">
        <v>31826</v>
      </c>
      <c r="I60">
        <v>5.15</v>
      </c>
      <c r="J60" t="s">
        <v>39</v>
      </c>
      <c r="K60" t="s">
        <v>40</v>
      </c>
      <c r="L60" t="s">
        <v>41</v>
      </c>
      <c r="M60">
        <v>1</v>
      </c>
      <c r="N60" t="s">
        <v>41</v>
      </c>
    </row>
    <row r="61" spans="1:14" x14ac:dyDescent="0.2">
      <c r="A61" t="s">
        <v>149</v>
      </c>
      <c r="B61" t="s">
        <v>150</v>
      </c>
      <c r="C61" t="s">
        <v>86</v>
      </c>
      <c r="D61" t="s">
        <v>38</v>
      </c>
      <c r="E61" s="2">
        <v>160611.20000000001</v>
      </c>
      <c r="F61">
        <v>0.26</v>
      </c>
      <c r="G61" s="2">
        <v>160611.20000000001</v>
      </c>
      <c r="H61" s="2">
        <v>9470</v>
      </c>
      <c r="I61">
        <v>16.96</v>
      </c>
      <c r="J61" t="s">
        <v>39</v>
      </c>
      <c r="K61" t="s">
        <v>40</v>
      </c>
      <c r="L61" t="s">
        <v>41</v>
      </c>
      <c r="M61">
        <v>1</v>
      </c>
      <c r="N61" t="s">
        <v>41</v>
      </c>
    </row>
    <row r="62" spans="1:14" x14ac:dyDescent="0.2">
      <c r="A62" t="s">
        <v>151</v>
      </c>
      <c r="B62" t="s">
        <v>152</v>
      </c>
      <c r="C62" t="s">
        <v>64</v>
      </c>
      <c r="D62" t="s">
        <v>38</v>
      </c>
      <c r="E62" s="2">
        <v>160325.81</v>
      </c>
      <c r="F62">
        <v>0.26</v>
      </c>
      <c r="G62" s="2">
        <v>160325.81</v>
      </c>
      <c r="H62" s="2">
        <v>13283</v>
      </c>
      <c r="I62">
        <v>12.07</v>
      </c>
      <c r="J62" t="s">
        <v>39</v>
      </c>
      <c r="K62" t="s">
        <v>40</v>
      </c>
      <c r="L62" t="s">
        <v>41</v>
      </c>
      <c r="M62">
        <v>1</v>
      </c>
      <c r="N62" t="s">
        <v>41</v>
      </c>
    </row>
    <row r="63" spans="1:14" x14ac:dyDescent="0.2">
      <c r="A63" t="s">
        <v>153</v>
      </c>
      <c r="B63" t="s">
        <v>154</v>
      </c>
      <c r="C63" t="s">
        <v>48</v>
      </c>
      <c r="D63" t="s">
        <v>38</v>
      </c>
      <c r="E63" s="2">
        <v>158253.6</v>
      </c>
      <c r="F63">
        <v>0.26</v>
      </c>
      <c r="G63" s="2">
        <v>158253.6</v>
      </c>
      <c r="H63" s="2">
        <v>11320</v>
      </c>
      <c r="I63">
        <v>13.98</v>
      </c>
      <c r="J63" t="s">
        <v>39</v>
      </c>
      <c r="K63" t="s">
        <v>40</v>
      </c>
      <c r="L63" t="s">
        <v>41</v>
      </c>
      <c r="M63">
        <v>1</v>
      </c>
      <c r="N63" t="s">
        <v>41</v>
      </c>
    </row>
    <row r="64" spans="1:14" x14ac:dyDescent="0.2">
      <c r="A64" t="s">
        <v>155</v>
      </c>
      <c r="B64" t="s">
        <v>156</v>
      </c>
      <c r="C64" t="s">
        <v>48</v>
      </c>
      <c r="D64" t="s">
        <v>38</v>
      </c>
      <c r="E64" s="2">
        <v>153010</v>
      </c>
      <c r="F64">
        <v>0.25</v>
      </c>
      <c r="G64" s="2">
        <v>153010</v>
      </c>
      <c r="H64" s="2">
        <v>1177</v>
      </c>
      <c r="I64">
        <v>130</v>
      </c>
      <c r="J64" t="s">
        <v>39</v>
      </c>
      <c r="K64" t="s">
        <v>40</v>
      </c>
      <c r="L64" t="s">
        <v>41</v>
      </c>
      <c r="M64">
        <v>1</v>
      </c>
      <c r="N64" t="s">
        <v>41</v>
      </c>
    </row>
    <row r="65" spans="1:14" x14ac:dyDescent="0.2">
      <c r="A65" t="s">
        <v>157</v>
      </c>
      <c r="B65" t="s">
        <v>158</v>
      </c>
      <c r="C65" t="s">
        <v>56</v>
      </c>
      <c r="D65" t="s">
        <v>38</v>
      </c>
      <c r="E65" s="2">
        <v>148331.29999999999</v>
      </c>
      <c r="F65">
        <v>0.24</v>
      </c>
      <c r="G65" s="2">
        <v>148331.29999999999</v>
      </c>
      <c r="H65" s="2">
        <v>8710</v>
      </c>
      <c r="I65">
        <v>17.03</v>
      </c>
      <c r="J65" t="s">
        <v>39</v>
      </c>
      <c r="K65" t="s">
        <v>40</v>
      </c>
      <c r="L65" t="s">
        <v>41</v>
      </c>
      <c r="M65">
        <v>1</v>
      </c>
      <c r="N65" t="s">
        <v>41</v>
      </c>
    </row>
    <row r="66" spans="1:14" x14ac:dyDescent="0.2">
      <c r="A66" t="s">
        <v>159</v>
      </c>
      <c r="B66" t="s">
        <v>160</v>
      </c>
      <c r="C66" t="s">
        <v>48</v>
      </c>
      <c r="D66" t="s">
        <v>38</v>
      </c>
      <c r="E66" s="2">
        <v>141755.04</v>
      </c>
      <c r="F66">
        <v>0.23</v>
      </c>
      <c r="G66" s="2">
        <v>141755.04</v>
      </c>
      <c r="H66" s="2">
        <v>19208</v>
      </c>
      <c r="I66">
        <v>7.38</v>
      </c>
      <c r="J66" t="s">
        <v>39</v>
      </c>
      <c r="K66" t="s">
        <v>40</v>
      </c>
      <c r="L66" t="s">
        <v>41</v>
      </c>
      <c r="M66">
        <v>1</v>
      </c>
      <c r="N66" t="s">
        <v>41</v>
      </c>
    </row>
    <row r="67" spans="1:14" x14ac:dyDescent="0.2">
      <c r="A67" t="s">
        <v>161</v>
      </c>
      <c r="B67" t="s">
        <v>162</v>
      </c>
      <c r="C67" t="s">
        <v>86</v>
      </c>
      <c r="D67" t="s">
        <v>38</v>
      </c>
      <c r="E67" s="2">
        <v>128565.75</v>
      </c>
      <c r="F67">
        <v>0.21</v>
      </c>
      <c r="G67" s="2">
        <v>128565.75</v>
      </c>
      <c r="H67" s="2">
        <v>7585</v>
      </c>
      <c r="I67">
        <v>16.95</v>
      </c>
      <c r="J67" t="s">
        <v>39</v>
      </c>
      <c r="K67" t="s">
        <v>40</v>
      </c>
      <c r="L67" t="s">
        <v>41</v>
      </c>
      <c r="M67">
        <v>1</v>
      </c>
      <c r="N67" t="s">
        <v>41</v>
      </c>
    </row>
    <row r="68" spans="1:14" x14ac:dyDescent="0.2">
      <c r="A68" t="s">
        <v>163</v>
      </c>
      <c r="B68" t="s">
        <v>164</v>
      </c>
      <c r="C68" t="s">
        <v>43</v>
      </c>
      <c r="D68" t="s">
        <v>38</v>
      </c>
      <c r="E68" s="2">
        <v>127767.22</v>
      </c>
      <c r="F68">
        <v>0.21</v>
      </c>
      <c r="G68" s="2">
        <v>127767.22</v>
      </c>
      <c r="H68" s="2">
        <v>7882</v>
      </c>
      <c r="I68">
        <v>16.21</v>
      </c>
      <c r="J68" t="s">
        <v>39</v>
      </c>
      <c r="K68" t="s">
        <v>40</v>
      </c>
      <c r="L68" t="s">
        <v>41</v>
      </c>
      <c r="M68">
        <v>1</v>
      </c>
      <c r="N68" t="s">
        <v>41</v>
      </c>
    </row>
    <row r="69" spans="1:14" x14ac:dyDescent="0.2">
      <c r="A69" t="s">
        <v>165</v>
      </c>
      <c r="B69" t="s">
        <v>166</v>
      </c>
      <c r="C69" t="s">
        <v>37</v>
      </c>
      <c r="D69" t="s">
        <v>38</v>
      </c>
      <c r="E69" s="2">
        <v>120304.48</v>
      </c>
      <c r="F69">
        <v>0.2</v>
      </c>
      <c r="G69" s="2">
        <v>120304.48</v>
      </c>
      <c r="H69" s="2">
        <v>7256</v>
      </c>
      <c r="I69">
        <v>16.579999999999998</v>
      </c>
      <c r="J69" t="s">
        <v>39</v>
      </c>
      <c r="K69" t="s">
        <v>40</v>
      </c>
      <c r="L69" t="s">
        <v>41</v>
      </c>
      <c r="M69">
        <v>1</v>
      </c>
      <c r="N69" t="s">
        <v>41</v>
      </c>
    </row>
    <row r="70" spans="1:14" x14ac:dyDescent="0.2">
      <c r="A70" t="s">
        <v>167</v>
      </c>
      <c r="B70" t="s">
        <v>168</v>
      </c>
      <c r="C70" t="s">
        <v>51</v>
      </c>
      <c r="D70" t="s">
        <v>38</v>
      </c>
      <c r="E70" s="2">
        <v>113177.52</v>
      </c>
      <c r="F70">
        <v>0.19</v>
      </c>
      <c r="G70" s="2">
        <v>113177.52</v>
      </c>
      <c r="H70" s="2">
        <v>5436</v>
      </c>
      <c r="I70">
        <v>20.82</v>
      </c>
      <c r="J70" t="s">
        <v>39</v>
      </c>
      <c r="K70" t="s">
        <v>40</v>
      </c>
      <c r="L70" t="s">
        <v>41</v>
      </c>
      <c r="M70">
        <v>1</v>
      </c>
      <c r="N70" t="s">
        <v>41</v>
      </c>
    </row>
    <row r="71" spans="1:14" x14ac:dyDescent="0.2">
      <c r="A71" t="s">
        <v>169</v>
      </c>
      <c r="B71" t="s">
        <v>170</v>
      </c>
      <c r="C71" t="s">
        <v>86</v>
      </c>
      <c r="D71" t="s">
        <v>38</v>
      </c>
      <c r="E71" s="2">
        <v>107316.24</v>
      </c>
      <c r="F71">
        <v>0.18</v>
      </c>
      <c r="G71" s="2">
        <v>107316.24</v>
      </c>
      <c r="H71" s="2">
        <v>3628</v>
      </c>
      <c r="I71">
        <v>29.58</v>
      </c>
      <c r="J71" t="s">
        <v>39</v>
      </c>
      <c r="K71" t="s">
        <v>40</v>
      </c>
      <c r="L71" t="s">
        <v>41</v>
      </c>
      <c r="M71">
        <v>1</v>
      </c>
      <c r="N71" t="s">
        <v>41</v>
      </c>
    </row>
    <row r="72" spans="1:14" x14ac:dyDescent="0.2">
      <c r="A72" t="s">
        <v>171</v>
      </c>
      <c r="B72" t="s">
        <v>172</v>
      </c>
      <c r="C72" t="s">
        <v>124</v>
      </c>
      <c r="D72" t="s">
        <v>38</v>
      </c>
      <c r="E72" s="2">
        <v>105744.21</v>
      </c>
      <c r="F72">
        <v>0.17</v>
      </c>
      <c r="G72" s="2">
        <v>105744.21</v>
      </c>
      <c r="H72" s="2">
        <v>6123</v>
      </c>
      <c r="I72">
        <v>17.27</v>
      </c>
      <c r="J72" t="s">
        <v>39</v>
      </c>
      <c r="K72" t="s">
        <v>40</v>
      </c>
      <c r="L72" t="s">
        <v>41</v>
      </c>
      <c r="M72">
        <v>1</v>
      </c>
      <c r="N72" t="s">
        <v>41</v>
      </c>
    </row>
    <row r="73" spans="1:14" x14ac:dyDescent="0.2">
      <c r="A73" t="s">
        <v>173</v>
      </c>
      <c r="B73" t="s">
        <v>174</v>
      </c>
      <c r="C73" t="s">
        <v>45</v>
      </c>
      <c r="D73" t="s">
        <v>38</v>
      </c>
      <c r="E73" s="2">
        <v>98950.95</v>
      </c>
      <c r="F73">
        <v>0.16</v>
      </c>
      <c r="G73" s="2">
        <v>98950.95</v>
      </c>
      <c r="H73" s="2">
        <v>2331</v>
      </c>
      <c r="I73">
        <v>42.45</v>
      </c>
      <c r="J73" t="s">
        <v>39</v>
      </c>
      <c r="K73" t="s">
        <v>40</v>
      </c>
      <c r="L73" t="s">
        <v>41</v>
      </c>
      <c r="M73">
        <v>1</v>
      </c>
      <c r="N73" t="s">
        <v>41</v>
      </c>
    </row>
    <row r="74" spans="1:14" x14ac:dyDescent="0.2">
      <c r="A74" t="s">
        <v>175</v>
      </c>
      <c r="B74" t="s">
        <v>176</v>
      </c>
      <c r="C74" t="s">
        <v>56</v>
      </c>
      <c r="D74" t="s">
        <v>38</v>
      </c>
      <c r="E74" s="2">
        <v>97037.5</v>
      </c>
      <c r="F74">
        <v>0.16</v>
      </c>
      <c r="G74" s="2">
        <v>97037.5</v>
      </c>
      <c r="H74" s="2">
        <v>5545</v>
      </c>
      <c r="I74">
        <v>17.5</v>
      </c>
      <c r="J74" t="s">
        <v>39</v>
      </c>
      <c r="K74" t="s">
        <v>40</v>
      </c>
      <c r="L74" t="s">
        <v>41</v>
      </c>
      <c r="M74">
        <v>1</v>
      </c>
      <c r="N74" t="s">
        <v>41</v>
      </c>
    </row>
    <row r="75" spans="1:14" x14ac:dyDescent="0.2">
      <c r="A75" t="s">
        <v>177</v>
      </c>
      <c r="B75" t="s">
        <v>178</v>
      </c>
      <c r="C75" t="s">
        <v>56</v>
      </c>
      <c r="D75" t="s">
        <v>38</v>
      </c>
      <c r="E75" s="2">
        <v>95110.14</v>
      </c>
      <c r="F75">
        <v>0.16</v>
      </c>
      <c r="G75" s="2">
        <v>95110.14</v>
      </c>
      <c r="H75" s="2">
        <v>4089</v>
      </c>
      <c r="I75">
        <v>23.26</v>
      </c>
      <c r="J75" t="s">
        <v>39</v>
      </c>
      <c r="K75" t="s">
        <v>40</v>
      </c>
      <c r="L75" t="s">
        <v>41</v>
      </c>
      <c r="M75">
        <v>1</v>
      </c>
      <c r="N75" t="s">
        <v>41</v>
      </c>
    </row>
    <row r="76" spans="1:14" x14ac:dyDescent="0.2">
      <c r="A76" t="s">
        <v>179</v>
      </c>
      <c r="B76" t="s">
        <v>180</v>
      </c>
      <c r="C76" t="s">
        <v>37</v>
      </c>
      <c r="D76" t="s">
        <v>38</v>
      </c>
      <c r="E76" s="2">
        <v>88239.6</v>
      </c>
      <c r="F76">
        <v>0.15</v>
      </c>
      <c r="G76" s="2">
        <v>88239.6</v>
      </c>
      <c r="H76" s="2">
        <v>7620</v>
      </c>
      <c r="I76">
        <v>11.58</v>
      </c>
      <c r="J76" t="s">
        <v>39</v>
      </c>
      <c r="K76" t="s">
        <v>40</v>
      </c>
      <c r="L76" t="s">
        <v>41</v>
      </c>
      <c r="M76">
        <v>1</v>
      </c>
      <c r="N76" t="s">
        <v>41</v>
      </c>
    </row>
    <row r="77" spans="1:14" x14ac:dyDescent="0.2">
      <c r="A77" t="s">
        <v>181</v>
      </c>
      <c r="B77" t="s">
        <v>182</v>
      </c>
      <c r="C77" t="s">
        <v>56</v>
      </c>
      <c r="D77" t="s">
        <v>38</v>
      </c>
      <c r="E77" s="2">
        <v>87466.32</v>
      </c>
      <c r="F77">
        <v>0.14000000000000001</v>
      </c>
      <c r="G77" s="2">
        <v>87466.32</v>
      </c>
      <c r="H77" s="2">
        <v>13688</v>
      </c>
      <c r="I77">
        <v>6.39</v>
      </c>
      <c r="J77" t="s">
        <v>39</v>
      </c>
      <c r="K77" t="s">
        <v>40</v>
      </c>
      <c r="L77" t="s">
        <v>41</v>
      </c>
      <c r="M77">
        <v>1</v>
      </c>
      <c r="N77" t="s">
        <v>41</v>
      </c>
    </row>
    <row r="78" spans="1:14" x14ac:dyDescent="0.2">
      <c r="A78" t="s">
        <v>183</v>
      </c>
      <c r="B78" t="s">
        <v>184</v>
      </c>
      <c r="C78" t="s">
        <v>86</v>
      </c>
      <c r="D78" t="s">
        <v>38</v>
      </c>
      <c r="E78" s="2">
        <v>83337.8</v>
      </c>
      <c r="F78">
        <v>0.14000000000000001</v>
      </c>
      <c r="G78" s="2">
        <v>83337.8</v>
      </c>
      <c r="H78" s="2">
        <v>3133</v>
      </c>
      <c r="I78">
        <v>26.6</v>
      </c>
      <c r="J78" t="s">
        <v>39</v>
      </c>
      <c r="K78" t="s">
        <v>40</v>
      </c>
      <c r="L78" t="s">
        <v>41</v>
      </c>
      <c r="M78">
        <v>1</v>
      </c>
      <c r="N78" t="s">
        <v>41</v>
      </c>
    </row>
    <row r="79" spans="1:14" x14ac:dyDescent="0.2">
      <c r="A79" t="s">
        <v>185</v>
      </c>
      <c r="B79" t="s">
        <v>186</v>
      </c>
      <c r="C79" t="s">
        <v>56</v>
      </c>
      <c r="D79" t="s">
        <v>38</v>
      </c>
      <c r="E79" s="2">
        <v>82199.34</v>
      </c>
      <c r="F79">
        <v>0.14000000000000001</v>
      </c>
      <c r="G79" s="2">
        <v>82199.34</v>
      </c>
      <c r="H79" s="2">
        <v>15138</v>
      </c>
      <c r="I79">
        <v>5.43</v>
      </c>
      <c r="J79" t="s">
        <v>39</v>
      </c>
      <c r="K79" t="s">
        <v>40</v>
      </c>
      <c r="L79" t="s">
        <v>41</v>
      </c>
      <c r="M79">
        <v>1</v>
      </c>
      <c r="N79" t="s">
        <v>41</v>
      </c>
    </row>
    <row r="80" spans="1:14" x14ac:dyDescent="0.2">
      <c r="A80" t="s">
        <v>187</v>
      </c>
      <c r="B80" t="s">
        <v>188</v>
      </c>
      <c r="C80" t="s">
        <v>37</v>
      </c>
      <c r="D80" t="s">
        <v>38</v>
      </c>
      <c r="E80" s="2">
        <v>79262.679999999993</v>
      </c>
      <c r="F80">
        <v>0.13</v>
      </c>
      <c r="G80" s="2">
        <v>79262.679999999993</v>
      </c>
      <c r="H80" s="2">
        <v>14899</v>
      </c>
      <c r="I80">
        <v>5.32</v>
      </c>
      <c r="J80" t="s">
        <v>39</v>
      </c>
      <c r="K80" t="s">
        <v>40</v>
      </c>
      <c r="L80" t="s">
        <v>41</v>
      </c>
      <c r="M80">
        <v>1</v>
      </c>
      <c r="N80" t="s">
        <v>41</v>
      </c>
    </row>
    <row r="81" spans="1:14" x14ac:dyDescent="0.2">
      <c r="A81" t="s">
        <v>189</v>
      </c>
      <c r="B81" t="s">
        <v>190</v>
      </c>
      <c r="C81" t="s">
        <v>86</v>
      </c>
      <c r="D81" t="s">
        <v>38</v>
      </c>
      <c r="E81" s="2">
        <v>74433.600000000006</v>
      </c>
      <c r="F81">
        <v>0.12</v>
      </c>
      <c r="G81" s="2">
        <v>74433.600000000006</v>
      </c>
      <c r="H81" s="2">
        <v>34460</v>
      </c>
      <c r="I81">
        <v>2.16</v>
      </c>
      <c r="J81" t="s">
        <v>39</v>
      </c>
      <c r="K81" t="s">
        <v>40</v>
      </c>
      <c r="L81" t="s">
        <v>41</v>
      </c>
      <c r="M81">
        <v>1</v>
      </c>
      <c r="N81" t="s">
        <v>41</v>
      </c>
    </row>
    <row r="82" spans="1:14" x14ac:dyDescent="0.2">
      <c r="A82" t="s">
        <v>191</v>
      </c>
      <c r="B82" t="s">
        <v>192</v>
      </c>
      <c r="C82" t="s">
        <v>51</v>
      </c>
      <c r="D82" t="s">
        <v>38</v>
      </c>
      <c r="E82" s="2">
        <v>73387.360000000001</v>
      </c>
      <c r="F82">
        <v>0.12</v>
      </c>
      <c r="G82" s="2">
        <v>73387.360000000001</v>
      </c>
      <c r="H82" s="2">
        <v>8368</v>
      </c>
      <c r="I82">
        <v>8.77</v>
      </c>
      <c r="J82" t="s">
        <v>39</v>
      </c>
      <c r="K82" t="s">
        <v>40</v>
      </c>
      <c r="L82" t="s">
        <v>41</v>
      </c>
      <c r="M82">
        <v>1</v>
      </c>
      <c r="N82" t="s">
        <v>41</v>
      </c>
    </row>
    <row r="83" spans="1:14" x14ac:dyDescent="0.2">
      <c r="A83" t="s">
        <v>193</v>
      </c>
      <c r="B83" t="s">
        <v>194</v>
      </c>
      <c r="C83" t="s">
        <v>86</v>
      </c>
      <c r="D83" t="s">
        <v>38</v>
      </c>
      <c r="E83" s="2">
        <v>72008.100000000006</v>
      </c>
      <c r="F83">
        <v>0.12</v>
      </c>
      <c r="G83" s="2">
        <v>72008.100000000006</v>
      </c>
      <c r="H83" s="2">
        <v>8422</v>
      </c>
      <c r="I83">
        <v>8.5500000000000007</v>
      </c>
      <c r="J83" t="s">
        <v>39</v>
      </c>
      <c r="K83" t="s">
        <v>40</v>
      </c>
      <c r="L83" t="s">
        <v>41</v>
      </c>
      <c r="M83">
        <v>1</v>
      </c>
      <c r="N83" t="s">
        <v>41</v>
      </c>
    </row>
    <row r="84" spans="1:14" x14ac:dyDescent="0.2">
      <c r="A84" t="s">
        <v>195</v>
      </c>
      <c r="B84" t="s">
        <v>196</v>
      </c>
      <c r="C84" t="s">
        <v>86</v>
      </c>
      <c r="D84" t="s">
        <v>38</v>
      </c>
      <c r="E84" s="2">
        <v>68915</v>
      </c>
      <c r="F84">
        <v>0.11</v>
      </c>
      <c r="G84" s="2">
        <v>68915</v>
      </c>
      <c r="H84" s="2">
        <v>3580</v>
      </c>
      <c r="I84">
        <v>19.25</v>
      </c>
      <c r="J84" t="s">
        <v>39</v>
      </c>
      <c r="K84" t="s">
        <v>40</v>
      </c>
      <c r="L84" t="s">
        <v>41</v>
      </c>
      <c r="M84">
        <v>1</v>
      </c>
      <c r="N84" t="s">
        <v>41</v>
      </c>
    </row>
    <row r="85" spans="1:14" x14ac:dyDescent="0.2">
      <c r="A85" t="s">
        <v>197</v>
      </c>
      <c r="B85" t="s">
        <v>198</v>
      </c>
      <c r="C85" t="s">
        <v>86</v>
      </c>
      <c r="D85" t="s">
        <v>38</v>
      </c>
      <c r="E85" s="2">
        <v>66627.360000000001</v>
      </c>
      <c r="F85">
        <v>0.11</v>
      </c>
      <c r="G85" s="2">
        <v>66627.360000000001</v>
      </c>
      <c r="H85" s="2">
        <v>3816</v>
      </c>
      <c r="I85">
        <v>17.46</v>
      </c>
      <c r="J85" t="s">
        <v>39</v>
      </c>
      <c r="K85" t="s">
        <v>40</v>
      </c>
      <c r="L85" t="s">
        <v>41</v>
      </c>
      <c r="M85">
        <v>1</v>
      </c>
      <c r="N85" t="s">
        <v>41</v>
      </c>
    </row>
    <row r="86" spans="1:14" x14ac:dyDescent="0.2">
      <c r="A86" t="s">
        <v>199</v>
      </c>
      <c r="B86" t="s">
        <v>200</v>
      </c>
      <c r="C86" t="s">
        <v>48</v>
      </c>
      <c r="D86" t="s">
        <v>38</v>
      </c>
      <c r="E86" s="2">
        <v>66067.75</v>
      </c>
      <c r="F86">
        <v>0.11</v>
      </c>
      <c r="G86" s="2">
        <v>66067.75</v>
      </c>
      <c r="H86" s="2">
        <v>13909</v>
      </c>
      <c r="I86">
        <v>4.75</v>
      </c>
      <c r="J86" t="s">
        <v>39</v>
      </c>
      <c r="K86" t="s">
        <v>40</v>
      </c>
      <c r="L86" t="s">
        <v>41</v>
      </c>
      <c r="M86">
        <v>1</v>
      </c>
      <c r="N86" t="s">
        <v>41</v>
      </c>
    </row>
    <row r="87" spans="1:14" x14ac:dyDescent="0.2">
      <c r="A87" t="s">
        <v>201</v>
      </c>
      <c r="B87" t="s">
        <v>202</v>
      </c>
      <c r="C87" t="s">
        <v>86</v>
      </c>
      <c r="D87" t="s">
        <v>38</v>
      </c>
      <c r="E87" s="2">
        <v>65897</v>
      </c>
      <c r="F87">
        <v>0.11</v>
      </c>
      <c r="G87" s="2">
        <v>65897</v>
      </c>
      <c r="H87" s="2">
        <v>10138</v>
      </c>
      <c r="I87">
        <v>6.5</v>
      </c>
      <c r="J87" t="s">
        <v>39</v>
      </c>
      <c r="K87" t="s">
        <v>40</v>
      </c>
      <c r="L87" t="s">
        <v>41</v>
      </c>
      <c r="M87">
        <v>1</v>
      </c>
      <c r="N87" t="s">
        <v>41</v>
      </c>
    </row>
    <row r="88" spans="1:14" x14ac:dyDescent="0.2">
      <c r="A88" t="s">
        <v>203</v>
      </c>
      <c r="B88" t="s">
        <v>204</v>
      </c>
      <c r="C88" t="s">
        <v>86</v>
      </c>
      <c r="D88" t="s">
        <v>38</v>
      </c>
      <c r="E88" s="2">
        <v>59471.49</v>
      </c>
      <c r="F88">
        <v>0.1</v>
      </c>
      <c r="G88" s="2">
        <v>59471.49</v>
      </c>
      <c r="H88" s="2">
        <v>54561</v>
      </c>
      <c r="I88">
        <v>1.0900000000000001</v>
      </c>
      <c r="J88" t="s">
        <v>39</v>
      </c>
      <c r="K88" t="s">
        <v>40</v>
      </c>
      <c r="L88" t="s">
        <v>41</v>
      </c>
      <c r="M88">
        <v>1</v>
      </c>
      <c r="N88" t="s">
        <v>41</v>
      </c>
    </row>
    <row r="89" spans="1:14" x14ac:dyDescent="0.2">
      <c r="A89" t="s">
        <v>205</v>
      </c>
      <c r="B89" t="s">
        <v>206</v>
      </c>
      <c r="C89" t="s">
        <v>86</v>
      </c>
      <c r="D89" t="s">
        <v>38</v>
      </c>
      <c r="E89" s="2">
        <v>57772.800000000003</v>
      </c>
      <c r="F89">
        <v>0.1</v>
      </c>
      <c r="G89" s="2">
        <v>57772.800000000003</v>
      </c>
      <c r="H89" s="2">
        <v>10880</v>
      </c>
      <c r="I89">
        <v>5.31</v>
      </c>
      <c r="J89" t="s">
        <v>39</v>
      </c>
      <c r="K89" t="s">
        <v>40</v>
      </c>
      <c r="L89" t="s">
        <v>41</v>
      </c>
      <c r="M89">
        <v>1</v>
      </c>
      <c r="N89" t="s">
        <v>41</v>
      </c>
    </row>
    <row r="90" spans="1:14" x14ac:dyDescent="0.2">
      <c r="A90" t="s">
        <v>207</v>
      </c>
      <c r="B90" t="s">
        <v>208</v>
      </c>
      <c r="C90" t="s">
        <v>37</v>
      </c>
      <c r="D90" t="s">
        <v>38</v>
      </c>
      <c r="E90" s="2">
        <v>51536.12</v>
      </c>
      <c r="F90">
        <v>0.08</v>
      </c>
      <c r="G90" s="2">
        <v>51536.12</v>
      </c>
      <c r="H90" s="2">
        <v>8647</v>
      </c>
      <c r="I90">
        <v>5.96</v>
      </c>
      <c r="J90" t="s">
        <v>39</v>
      </c>
      <c r="K90" t="s">
        <v>40</v>
      </c>
      <c r="L90" t="s">
        <v>41</v>
      </c>
      <c r="M90">
        <v>1</v>
      </c>
      <c r="N90" t="s">
        <v>41</v>
      </c>
    </row>
    <row r="91" spans="1:14" x14ac:dyDescent="0.2">
      <c r="A91" t="s">
        <v>209</v>
      </c>
      <c r="B91" t="s">
        <v>210</v>
      </c>
      <c r="C91" t="s">
        <v>86</v>
      </c>
      <c r="D91" t="s">
        <v>38</v>
      </c>
      <c r="E91" s="2">
        <v>43166.8</v>
      </c>
      <c r="F91">
        <v>7.0000000000000007E-2</v>
      </c>
      <c r="G91" s="2">
        <v>43166.8</v>
      </c>
      <c r="H91" s="2">
        <v>3470</v>
      </c>
      <c r="I91">
        <v>12.44</v>
      </c>
      <c r="J91" t="s">
        <v>39</v>
      </c>
      <c r="K91" t="s">
        <v>40</v>
      </c>
      <c r="L91" t="s">
        <v>41</v>
      </c>
      <c r="M91">
        <v>1</v>
      </c>
      <c r="N91" t="s">
        <v>41</v>
      </c>
    </row>
    <row r="92" spans="1:14" x14ac:dyDescent="0.2">
      <c r="A92" t="s">
        <v>211</v>
      </c>
      <c r="B92" t="s">
        <v>212</v>
      </c>
      <c r="C92" t="s">
        <v>48</v>
      </c>
      <c r="D92" t="s">
        <v>38</v>
      </c>
      <c r="E92" s="2">
        <v>39847.519999999997</v>
      </c>
      <c r="F92">
        <v>7.0000000000000007E-2</v>
      </c>
      <c r="G92" s="2">
        <v>39847.519999999997</v>
      </c>
      <c r="H92" s="2">
        <v>9398</v>
      </c>
      <c r="I92">
        <v>4.24</v>
      </c>
      <c r="J92" t="s">
        <v>39</v>
      </c>
      <c r="K92" t="s">
        <v>40</v>
      </c>
      <c r="L92" t="s">
        <v>41</v>
      </c>
      <c r="M92">
        <v>1</v>
      </c>
      <c r="N92" t="s">
        <v>41</v>
      </c>
    </row>
    <row r="93" spans="1:14" x14ac:dyDescent="0.2">
      <c r="A93" t="s">
        <v>213</v>
      </c>
      <c r="B93" t="s">
        <v>214</v>
      </c>
      <c r="C93" t="s">
        <v>97</v>
      </c>
      <c r="D93" t="s">
        <v>38</v>
      </c>
      <c r="E93" s="2">
        <v>39591</v>
      </c>
      <c r="F93">
        <v>7.0000000000000007E-2</v>
      </c>
      <c r="G93" s="2">
        <v>39591</v>
      </c>
      <c r="H93" s="2">
        <v>11925</v>
      </c>
      <c r="I93">
        <v>3.32</v>
      </c>
      <c r="J93" t="s">
        <v>39</v>
      </c>
      <c r="K93" t="s">
        <v>40</v>
      </c>
      <c r="L93" t="s">
        <v>41</v>
      </c>
      <c r="M93">
        <v>1</v>
      </c>
      <c r="N93" t="s">
        <v>41</v>
      </c>
    </row>
    <row r="94" spans="1:14" x14ac:dyDescent="0.2">
      <c r="A94" t="s">
        <v>215</v>
      </c>
      <c r="B94" t="s">
        <v>216</v>
      </c>
      <c r="C94" t="s">
        <v>56</v>
      </c>
      <c r="D94" t="s">
        <v>38</v>
      </c>
      <c r="E94" s="2">
        <v>37844.15</v>
      </c>
      <c r="F94">
        <v>0.06</v>
      </c>
      <c r="G94" s="2">
        <v>37844.15</v>
      </c>
      <c r="H94" s="2">
        <v>7435</v>
      </c>
      <c r="I94">
        <v>5.09</v>
      </c>
      <c r="J94" t="s">
        <v>39</v>
      </c>
      <c r="K94" t="s">
        <v>40</v>
      </c>
      <c r="L94" t="s">
        <v>41</v>
      </c>
      <c r="M94">
        <v>1</v>
      </c>
      <c r="N94" t="s">
        <v>41</v>
      </c>
    </row>
    <row r="95" spans="1:14" x14ac:dyDescent="0.2">
      <c r="A95" t="s">
        <v>217</v>
      </c>
      <c r="B95" t="s">
        <v>218</v>
      </c>
      <c r="C95" t="s">
        <v>86</v>
      </c>
      <c r="D95" t="s">
        <v>38</v>
      </c>
      <c r="E95" s="2">
        <v>35934.03</v>
      </c>
      <c r="F95">
        <v>0.06</v>
      </c>
      <c r="G95" s="2">
        <v>35934.03</v>
      </c>
      <c r="H95" s="2">
        <v>8829</v>
      </c>
      <c r="I95">
        <v>4.07</v>
      </c>
      <c r="J95" t="s">
        <v>39</v>
      </c>
      <c r="K95" t="s">
        <v>40</v>
      </c>
      <c r="L95" t="s">
        <v>41</v>
      </c>
      <c r="M95">
        <v>1</v>
      </c>
      <c r="N95" t="s">
        <v>41</v>
      </c>
    </row>
    <row r="96" spans="1:14" x14ac:dyDescent="0.2">
      <c r="A96" t="s">
        <v>219</v>
      </c>
      <c r="B96" t="s">
        <v>220</v>
      </c>
      <c r="C96" t="s">
        <v>48</v>
      </c>
      <c r="D96" t="s">
        <v>38</v>
      </c>
      <c r="E96" s="2">
        <v>32953.86</v>
      </c>
      <c r="F96">
        <v>0.05</v>
      </c>
      <c r="G96" s="2">
        <v>32953.86</v>
      </c>
      <c r="H96" s="2">
        <v>9309</v>
      </c>
      <c r="I96">
        <v>3.54</v>
      </c>
      <c r="J96" t="s">
        <v>39</v>
      </c>
      <c r="K96" t="s">
        <v>40</v>
      </c>
      <c r="L96" t="s">
        <v>41</v>
      </c>
      <c r="M96">
        <v>1</v>
      </c>
      <c r="N96" t="s">
        <v>41</v>
      </c>
    </row>
    <row r="97" spans="1:14" x14ac:dyDescent="0.2">
      <c r="A97" t="s">
        <v>221</v>
      </c>
      <c r="B97" t="s">
        <v>222</v>
      </c>
      <c r="C97" t="s">
        <v>86</v>
      </c>
      <c r="D97" t="s">
        <v>38</v>
      </c>
      <c r="E97" s="2">
        <v>31265.759999999998</v>
      </c>
      <c r="F97">
        <v>0.05</v>
      </c>
      <c r="G97" s="2">
        <v>31265.759999999998</v>
      </c>
      <c r="H97" s="2">
        <v>4916</v>
      </c>
      <c r="I97">
        <v>6.36</v>
      </c>
      <c r="J97" t="s">
        <v>39</v>
      </c>
      <c r="K97" t="s">
        <v>40</v>
      </c>
      <c r="L97" t="s">
        <v>41</v>
      </c>
      <c r="M97">
        <v>1</v>
      </c>
      <c r="N97" t="s">
        <v>41</v>
      </c>
    </row>
    <row r="98" spans="1:14" x14ac:dyDescent="0.2">
      <c r="A98" t="s">
        <v>223</v>
      </c>
      <c r="B98" t="s">
        <v>224</v>
      </c>
      <c r="C98" t="s">
        <v>86</v>
      </c>
      <c r="D98" t="s">
        <v>38</v>
      </c>
      <c r="E98" s="2">
        <v>29739.18</v>
      </c>
      <c r="F98">
        <v>0.05</v>
      </c>
      <c r="G98" s="2">
        <v>29739.18</v>
      </c>
      <c r="H98" s="2">
        <v>2746</v>
      </c>
      <c r="I98">
        <v>10.83</v>
      </c>
      <c r="J98" t="s">
        <v>39</v>
      </c>
      <c r="K98" t="s">
        <v>40</v>
      </c>
      <c r="L98" t="s">
        <v>41</v>
      </c>
      <c r="M98">
        <v>1</v>
      </c>
      <c r="N98" t="s">
        <v>41</v>
      </c>
    </row>
    <row r="99" spans="1:14" x14ac:dyDescent="0.2">
      <c r="A99" t="s">
        <v>225</v>
      </c>
      <c r="B99" t="s">
        <v>226</v>
      </c>
      <c r="C99" t="s">
        <v>56</v>
      </c>
      <c r="D99" t="s">
        <v>38</v>
      </c>
      <c r="E99" s="2">
        <v>26950.95</v>
      </c>
      <c r="F99">
        <v>0.04</v>
      </c>
      <c r="G99" s="2">
        <v>26950.95</v>
      </c>
      <c r="H99" s="2">
        <v>10569</v>
      </c>
      <c r="I99">
        <v>2.5499999999999998</v>
      </c>
      <c r="J99" t="s">
        <v>39</v>
      </c>
      <c r="K99" t="s">
        <v>40</v>
      </c>
      <c r="L99" t="s">
        <v>41</v>
      </c>
      <c r="M99">
        <v>1</v>
      </c>
      <c r="N99" t="s">
        <v>41</v>
      </c>
    </row>
    <row r="100" spans="1:14" x14ac:dyDescent="0.2">
      <c r="A100" t="s">
        <v>227</v>
      </c>
      <c r="B100" t="s">
        <v>228</v>
      </c>
      <c r="C100" t="s">
        <v>86</v>
      </c>
      <c r="D100" t="s">
        <v>38</v>
      </c>
      <c r="E100" s="2">
        <v>20960.82</v>
      </c>
      <c r="F100">
        <v>0.03</v>
      </c>
      <c r="G100" s="2">
        <v>20960.82</v>
      </c>
      <c r="H100" s="2">
        <v>15189</v>
      </c>
      <c r="I100">
        <v>1.38</v>
      </c>
      <c r="J100" t="s">
        <v>39</v>
      </c>
      <c r="K100" t="s">
        <v>40</v>
      </c>
      <c r="L100" t="s">
        <v>41</v>
      </c>
      <c r="M100">
        <v>1</v>
      </c>
      <c r="N100" t="s">
        <v>41</v>
      </c>
    </row>
    <row r="101" spans="1:14" x14ac:dyDescent="0.2">
      <c r="A101" t="s">
        <v>229</v>
      </c>
      <c r="B101" t="s">
        <v>230</v>
      </c>
      <c r="C101" t="s">
        <v>48</v>
      </c>
      <c r="D101" t="s">
        <v>38</v>
      </c>
      <c r="E101" s="2">
        <v>12297.96</v>
      </c>
      <c r="F101">
        <v>0.02</v>
      </c>
      <c r="G101" s="2">
        <v>12297.96</v>
      </c>
      <c r="H101" s="2">
        <v>3474</v>
      </c>
      <c r="I101">
        <v>3.54</v>
      </c>
      <c r="J101" t="s">
        <v>39</v>
      </c>
      <c r="K101" t="s">
        <v>40</v>
      </c>
      <c r="L101" t="s">
        <v>41</v>
      </c>
      <c r="M101">
        <v>1</v>
      </c>
      <c r="N101" t="s">
        <v>41</v>
      </c>
    </row>
    <row r="102" spans="1:14" x14ac:dyDescent="0.2">
      <c r="A102" t="s">
        <v>231</v>
      </c>
      <c r="B102" t="s">
        <v>232</v>
      </c>
      <c r="C102" t="s">
        <v>45</v>
      </c>
      <c r="D102" t="s">
        <v>38</v>
      </c>
      <c r="E102" s="2">
        <v>5444.76</v>
      </c>
      <c r="F102">
        <v>0.01</v>
      </c>
      <c r="G102" s="2">
        <v>5444.76</v>
      </c>
      <c r="H102" s="2">
        <v>16014</v>
      </c>
      <c r="I102">
        <v>0.34</v>
      </c>
      <c r="J102" t="s">
        <v>39</v>
      </c>
      <c r="K102" t="s">
        <v>40</v>
      </c>
      <c r="L102" t="s">
        <v>41</v>
      </c>
      <c r="M102">
        <v>1</v>
      </c>
      <c r="N102" t="s">
        <v>41</v>
      </c>
    </row>
    <row r="103" spans="1:14" x14ac:dyDescent="0.2">
      <c r="A103" t="s">
        <v>233</v>
      </c>
      <c r="B103" t="s">
        <v>150</v>
      </c>
      <c r="C103" t="s">
        <v>86</v>
      </c>
      <c r="D103" t="s">
        <v>38</v>
      </c>
      <c r="E103">
        <v>147.06</v>
      </c>
      <c r="F103">
        <v>0</v>
      </c>
      <c r="G103">
        <v>147.06</v>
      </c>
      <c r="H103">
        <v>171</v>
      </c>
      <c r="I103">
        <v>0.86</v>
      </c>
      <c r="J103" t="s">
        <v>39</v>
      </c>
      <c r="K103" t="s">
        <v>40</v>
      </c>
      <c r="L103" t="s">
        <v>41</v>
      </c>
      <c r="M103">
        <v>1</v>
      </c>
      <c r="N103" t="s">
        <v>41</v>
      </c>
    </row>
    <row r="104" spans="1:14" x14ac:dyDescent="0.2">
      <c r="A104" t="s">
        <v>234</v>
      </c>
      <c r="B104" t="s">
        <v>235</v>
      </c>
      <c r="C104" t="s">
        <v>37</v>
      </c>
      <c r="D104" t="s">
        <v>38</v>
      </c>
      <c r="E104">
        <v>4.59</v>
      </c>
      <c r="F104">
        <v>0</v>
      </c>
      <c r="G104">
        <v>4.59</v>
      </c>
      <c r="H104">
        <v>1</v>
      </c>
      <c r="I104">
        <v>4.59</v>
      </c>
      <c r="J104" t="s">
        <v>39</v>
      </c>
      <c r="K104" t="s">
        <v>40</v>
      </c>
      <c r="L104" t="s">
        <v>41</v>
      </c>
      <c r="M104">
        <v>1</v>
      </c>
      <c r="N104" t="s">
        <v>41</v>
      </c>
    </row>
    <row r="105" spans="1:14" ht="24" customHeight="1" x14ac:dyDescent="0.2"/>
    <row r="106" spans="1:14" x14ac:dyDescent="0.2">
      <c r="E106" s="2"/>
    </row>
    <row r="107" spans="1:14" x14ac:dyDescent="0.2">
      <c r="E107" s="2"/>
    </row>
    <row r="108" spans="1:14" x14ac:dyDescent="0.2">
      <c r="E108" s="2"/>
    </row>
    <row r="109" spans="1:14" x14ac:dyDescent="0.2">
      <c r="E109" s="2"/>
    </row>
    <row r="110" spans="1:14" x14ac:dyDescent="0.2">
      <c r="E110" s="2"/>
    </row>
    <row r="111" spans="1:14" x14ac:dyDescent="0.2">
      <c r="E111" s="2"/>
    </row>
    <row r="112" spans="1:14" x14ac:dyDescent="0.2">
      <c r="E112" s="2"/>
    </row>
    <row r="113" spans="5:5" x14ac:dyDescent="0.2">
      <c r="E113" s="2"/>
    </row>
    <row r="114" spans="5:5" x14ac:dyDescent="0.2">
      <c r="E114" s="2"/>
    </row>
    <row r="115" spans="5:5" x14ac:dyDescent="0.2">
      <c r="E115" s="2"/>
    </row>
    <row r="116" spans="5:5" x14ac:dyDescent="0.2">
      <c r="E116" s="2"/>
    </row>
    <row r="117" spans="5:5" x14ac:dyDescent="0.2">
      <c r="E117" s="2"/>
    </row>
    <row r="118" spans="5:5" x14ac:dyDescent="0.2">
      <c r="E118" s="2"/>
    </row>
    <row r="119" spans="5:5" x14ac:dyDescent="0.2">
      <c r="E119" s="2"/>
    </row>
    <row r="120" spans="5:5" x14ac:dyDescent="0.2">
      <c r="E120" s="2"/>
    </row>
    <row r="121" spans="5:5" x14ac:dyDescent="0.2">
      <c r="E121" s="2"/>
    </row>
    <row r="122" spans="5:5" x14ac:dyDescent="0.2">
      <c r="E122" s="2"/>
    </row>
    <row r="123" spans="5:5" x14ac:dyDescent="0.2">
      <c r="E123" s="2"/>
    </row>
    <row r="124" spans="5:5" x14ac:dyDescent="0.2">
      <c r="E124" s="2"/>
    </row>
    <row r="125" spans="5:5" x14ac:dyDescent="0.2">
      <c r="E125" s="2"/>
    </row>
    <row r="126" spans="5:5" x14ac:dyDescent="0.2">
      <c r="E126" s="2"/>
    </row>
    <row r="127" spans="5:5" x14ac:dyDescent="0.2">
      <c r="E127" s="2"/>
    </row>
    <row r="128" spans="5:5" x14ac:dyDescent="0.2">
      <c r="E128" s="2"/>
    </row>
    <row r="129" spans="5:5" x14ac:dyDescent="0.2">
      <c r="E129" s="2"/>
    </row>
    <row r="130" spans="5:5" x14ac:dyDescent="0.2">
      <c r="E130" s="2"/>
    </row>
    <row r="131" spans="5:5" x14ac:dyDescent="0.2">
      <c r="E131" s="2"/>
    </row>
    <row r="132" spans="5:5" x14ac:dyDescent="0.2">
      <c r="E132" s="2"/>
    </row>
    <row r="133" spans="5:5" x14ac:dyDescent="0.2">
      <c r="E133" s="2"/>
    </row>
    <row r="134" spans="5:5" x14ac:dyDescent="0.2">
      <c r="E134" s="2"/>
    </row>
    <row r="135" spans="5:5" x14ac:dyDescent="0.2">
      <c r="E135" s="2"/>
    </row>
    <row r="136" spans="5:5" x14ac:dyDescent="0.2">
      <c r="E136" s="2"/>
    </row>
    <row r="137" spans="5:5" x14ac:dyDescent="0.2">
      <c r="E137" s="2"/>
    </row>
    <row r="138" spans="5:5" x14ac:dyDescent="0.2">
      <c r="E138" s="2"/>
    </row>
    <row r="139" spans="5:5" x14ac:dyDescent="0.2">
      <c r="E139" s="2"/>
    </row>
    <row r="140" spans="5:5" x14ac:dyDescent="0.2">
      <c r="E140" s="2"/>
    </row>
    <row r="141" spans="5:5" x14ac:dyDescent="0.2">
      <c r="E141" s="2"/>
    </row>
    <row r="142" spans="5:5" x14ac:dyDescent="0.2">
      <c r="E142" s="2"/>
    </row>
    <row r="143" spans="5:5" x14ac:dyDescent="0.2">
      <c r="E143" s="2"/>
    </row>
    <row r="144" spans="5:5" x14ac:dyDescent="0.2">
      <c r="E144" s="2"/>
    </row>
    <row r="145" spans="5:5" x14ac:dyDescent="0.2">
      <c r="E145" s="2"/>
    </row>
    <row r="146" spans="5:5" x14ac:dyDescent="0.2">
      <c r="E146" s="2"/>
    </row>
    <row r="147" spans="5:5" x14ac:dyDescent="0.2">
      <c r="E147" s="2"/>
    </row>
    <row r="148" spans="5:5" x14ac:dyDescent="0.2">
      <c r="E148" s="2"/>
    </row>
    <row r="149" spans="5:5" x14ac:dyDescent="0.2">
      <c r="E149" s="2"/>
    </row>
    <row r="150" spans="5:5" x14ac:dyDescent="0.2">
      <c r="E150" s="2"/>
    </row>
    <row r="151" spans="5:5" x14ac:dyDescent="0.2">
      <c r="E151" s="2"/>
    </row>
    <row r="152" spans="5:5" x14ac:dyDescent="0.2">
      <c r="E152" s="2"/>
    </row>
    <row r="153" spans="5:5" x14ac:dyDescent="0.2">
      <c r="E153" s="2"/>
    </row>
    <row r="154" spans="5:5" x14ac:dyDescent="0.2">
      <c r="E154" s="2"/>
    </row>
    <row r="155" spans="5:5" x14ac:dyDescent="0.2">
      <c r="E155" s="2"/>
    </row>
    <row r="156" spans="5:5" x14ac:dyDescent="0.2">
      <c r="E156" s="2"/>
    </row>
    <row r="157" spans="5:5" x14ac:dyDescent="0.2">
      <c r="E157" s="2"/>
    </row>
    <row r="158" spans="5:5" x14ac:dyDescent="0.2">
      <c r="E158" s="2"/>
    </row>
    <row r="159" spans="5:5" x14ac:dyDescent="0.2">
      <c r="E159" s="2"/>
    </row>
    <row r="160" spans="5:5" x14ac:dyDescent="0.2">
      <c r="E160" s="2"/>
    </row>
    <row r="161" spans="5:5" x14ac:dyDescent="0.2">
      <c r="E161" s="2"/>
    </row>
    <row r="162" spans="5:5" x14ac:dyDescent="0.2">
      <c r="E162" s="2"/>
    </row>
    <row r="163" spans="5:5" x14ac:dyDescent="0.2">
      <c r="E163" s="2"/>
    </row>
    <row r="164" spans="5:5" x14ac:dyDescent="0.2">
      <c r="E164" s="2"/>
    </row>
    <row r="165" spans="5:5" x14ac:dyDescent="0.2">
      <c r="E165" s="2"/>
    </row>
    <row r="166" spans="5:5" x14ac:dyDescent="0.2">
      <c r="E166" s="2"/>
    </row>
    <row r="167" spans="5:5" x14ac:dyDescent="0.2">
      <c r="E167" s="2"/>
    </row>
    <row r="168" spans="5:5" x14ac:dyDescent="0.2">
      <c r="E168" s="2"/>
    </row>
    <row r="169" spans="5:5" x14ac:dyDescent="0.2">
      <c r="E169" s="2"/>
    </row>
    <row r="170" spans="5:5" x14ac:dyDescent="0.2">
      <c r="E170" s="2"/>
    </row>
    <row r="171" spans="5:5" x14ac:dyDescent="0.2">
      <c r="E171" s="2"/>
    </row>
  </sheetData>
  <autoFilter ref="A1:N1" xr:uid="{DD722467-3A42-3141-B64A-3CCA055EFC54}">
    <sortState xmlns:xlrd2="http://schemas.microsoft.com/office/spreadsheetml/2017/richdata2" ref="A2:N104">
      <sortCondition descending="1" ref="F1:F10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FC99-7B53-4744-958F-DD330AB72272}">
  <dimension ref="A1:P21"/>
  <sheetViews>
    <sheetView showGridLines="0" zoomScale="125" workbookViewId="0">
      <selection activeCell="C1" sqref="C1"/>
    </sheetView>
  </sheetViews>
  <sheetFormatPr baseColWidth="10" defaultColWidth="10.6640625" defaultRowHeight="16" x14ac:dyDescent="0.2"/>
  <cols>
    <col min="1" max="1" width="10" customWidth="1"/>
    <col min="2" max="2" width="42.5" bestFit="1" customWidth="1"/>
    <col min="3" max="3" width="37.33203125" bestFit="1" customWidth="1"/>
    <col min="4" max="4" width="9.5" customWidth="1"/>
    <col min="5" max="5" width="14.1640625" bestFit="1" customWidth="1"/>
    <col min="6" max="6" width="12.5" bestFit="1" customWidth="1"/>
    <col min="7" max="7" width="15.5" bestFit="1" customWidth="1"/>
    <col min="8" max="8" width="10.1640625" bestFit="1" customWidth="1"/>
    <col min="9" max="9" width="7.83203125" bestFit="1" customWidth="1"/>
    <col min="10" max="10" width="10.6640625" bestFit="1" customWidth="1"/>
    <col min="11" max="11" width="11.33203125" bestFit="1" customWidth="1"/>
    <col min="12" max="12" width="11.1640625" bestFit="1" customWidth="1"/>
    <col min="13" max="13" width="9.83203125" bestFit="1" customWidth="1"/>
    <col min="14" max="14" width="17.1640625" bestFit="1" customWidth="1"/>
    <col min="15" max="15" width="12.83203125" bestFit="1" customWidth="1"/>
  </cols>
  <sheetData>
    <row r="1" spans="1:16" x14ac:dyDescent="0.2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236</v>
      </c>
      <c r="P1" t="s">
        <v>237</v>
      </c>
    </row>
    <row r="2" spans="1:16" x14ac:dyDescent="0.2">
      <c r="A2" t="s">
        <v>2</v>
      </c>
      <c r="B2" t="s">
        <v>36</v>
      </c>
      <c r="C2" t="s">
        <v>238</v>
      </c>
      <c r="D2" t="s">
        <v>38</v>
      </c>
      <c r="E2" s="2">
        <v>6687993.6500000004</v>
      </c>
      <c r="F2">
        <v>11.03</v>
      </c>
      <c r="G2" s="2">
        <v>6687993.6500000004</v>
      </c>
      <c r="H2" s="2">
        <v>122603</v>
      </c>
      <c r="I2">
        <v>54.55</v>
      </c>
      <c r="J2" t="s">
        <v>39</v>
      </c>
      <c r="K2" t="s">
        <v>40</v>
      </c>
      <c r="L2" t="s">
        <v>41</v>
      </c>
      <c r="M2">
        <v>1</v>
      </c>
      <c r="N2" t="s">
        <v>41</v>
      </c>
      <c r="O2">
        <f>F2</f>
        <v>11.03</v>
      </c>
      <c r="P2" s="3">
        <f>F2*100/SUM($F$2:$F$21)</f>
        <v>15.999419785320569</v>
      </c>
    </row>
    <row r="3" spans="1:16" x14ac:dyDescent="0.2">
      <c r="A3" t="s">
        <v>3</v>
      </c>
      <c r="B3" t="s">
        <v>42</v>
      </c>
      <c r="C3" t="s">
        <v>239</v>
      </c>
      <c r="D3" t="s">
        <v>38</v>
      </c>
      <c r="E3" s="2">
        <v>4603476.57</v>
      </c>
      <c r="F3">
        <v>7.59</v>
      </c>
      <c r="G3" s="2">
        <v>4603476.57</v>
      </c>
      <c r="H3" s="2">
        <v>127203</v>
      </c>
      <c r="I3">
        <v>36.19</v>
      </c>
      <c r="J3" t="s">
        <v>39</v>
      </c>
      <c r="K3" t="s">
        <v>40</v>
      </c>
      <c r="L3" t="s">
        <v>41</v>
      </c>
      <c r="M3">
        <v>1</v>
      </c>
      <c r="N3" t="s">
        <v>41</v>
      </c>
      <c r="O3">
        <f>F3+O2</f>
        <v>18.619999999999997</v>
      </c>
      <c r="P3" s="3">
        <f t="shared" ref="P3:P21" si="0">F3*100/SUM($F$2:$F$21)</f>
        <v>11.009573542210619</v>
      </c>
    </row>
    <row r="4" spans="1:16" x14ac:dyDescent="0.2">
      <c r="A4" t="s">
        <v>4</v>
      </c>
      <c r="B4" t="s">
        <v>44</v>
      </c>
      <c r="C4" t="s">
        <v>244</v>
      </c>
      <c r="D4" t="s">
        <v>38</v>
      </c>
      <c r="E4" s="2">
        <v>4227034.42</v>
      </c>
      <c r="F4">
        <v>6.97</v>
      </c>
      <c r="G4" s="2">
        <v>4227034.42</v>
      </c>
      <c r="H4" s="2">
        <v>137554</v>
      </c>
      <c r="I4">
        <v>30.73</v>
      </c>
      <c r="J4" t="s">
        <v>39</v>
      </c>
      <c r="K4" t="s">
        <v>40</v>
      </c>
      <c r="L4" t="s">
        <v>41</v>
      </c>
      <c r="M4">
        <v>1</v>
      </c>
      <c r="N4" t="s">
        <v>41</v>
      </c>
      <c r="O4">
        <f t="shared" ref="O4:O21" si="1">F4+O3</f>
        <v>25.589999999999996</v>
      </c>
      <c r="P4" s="3">
        <f t="shared" si="0"/>
        <v>10.110240789091964</v>
      </c>
    </row>
    <row r="5" spans="1:16" x14ac:dyDescent="0.2">
      <c r="A5" t="s">
        <v>5</v>
      </c>
      <c r="B5" t="s">
        <v>46</v>
      </c>
      <c r="C5" t="s">
        <v>239</v>
      </c>
      <c r="D5" t="s">
        <v>38</v>
      </c>
      <c r="E5" s="2">
        <v>3976666.05</v>
      </c>
      <c r="F5">
        <v>6.56</v>
      </c>
      <c r="G5" s="2">
        <v>3976666.05</v>
      </c>
      <c r="H5" s="2">
        <v>100905</v>
      </c>
      <c r="I5">
        <v>39.409999999999997</v>
      </c>
      <c r="J5" t="s">
        <v>39</v>
      </c>
      <c r="K5" t="s">
        <v>40</v>
      </c>
      <c r="L5" t="s">
        <v>41</v>
      </c>
      <c r="M5">
        <v>1</v>
      </c>
      <c r="N5" t="s">
        <v>41</v>
      </c>
      <c r="O5">
        <f t="shared" si="1"/>
        <v>32.15</v>
      </c>
      <c r="P5" s="3">
        <f t="shared" si="0"/>
        <v>9.5155207426747896</v>
      </c>
    </row>
    <row r="6" spans="1:16" x14ac:dyDescent="0.2">
      <c r="A6" t="s">
        <v>6</v>
      </c>
      <c r="B6" t="s">
        <v>47</v>
      </c>
      <c r="C6" t="s">
        <v>240</v>
      </c>
      <c r="D6" t="s">
        <v>38</v>
      </c>
      <c r="E6" s="2">
        <v>2245943.9700000002</v>
      </c>
      <c r="F6">
        <v>3.7</v>
      </c>
      <c r="G6" s="2">
        <v>2245943.9700000002</v>
      </c>
      <c r="H6" s="2">
        <v>42561</v>
      </c>
      <c r="I6">
        <v>52.77</v>
      </c>
      <c r="J6" t="s">
        <v>39</v>
      </c>
      <c r="K6" t="s">
        <v>40</v>
      </c>
      <c r="L6" t="s">
        <v>41</v>
      </c>
      <c r="M6">
        <v>1</v>
      </c>
      <c r="N6" t="s">
        <v>41</v>
      </c>
      <c r="O6">
        <f t="shared" si="1"/>
        <v>35.85</v>
      </c>
      <c r="P6" s="3">
        <f t="shared" si="0"/>
        <v>5.3669857847403541</v>
      </c>
    </row>
    <row r="7" spans="1:16" x14ac:dyDescent="0.2">
      <c r="A7" t="s">
        <v>7</v>
      </c>
      <c r="B7" t="s">
        <v>49</v>
      </c>
      <c r="C7" t="s">
        <v>244</v>
      </c>
      <c r="D7" t="s">
        <v>38</v>
      </c>
      <c r="E7" s="2">
        <v>1973287.14</v>
      </c>
      <c r="F7">
        <v>3.25</v>
      </c>
      <c r="G7" s="2">
        <v>1973287.14</v>
      </c>
      <c r="H7" s="2">
        <v>81642</v>
      </c>
      <c r="I7">
        <v>24.17</v>
      </c>
      <c r="J7" t="s">
        <v>39</v>
      </c>
      <c r="K7" t="s">
        <v>40</v>
      </c>
      <c r="L7" t="s">
        <v>41</v>
      </c>
      <c r="M7">
        <v>1</v>
      </c>
      <c r="N7" t="s">
        <v>41</v>
      </c>
      <c r="O7">
        <f t="shared" si="1"/>
        <v>39.1</v>
      </c>
      <c r="P7" s="3">
        <f t="shared" si="0"/>
        <v>4.7142442703800409</v>
      </c>
    </row>
    <row r="8" spans="1:16" x14ac:dyDescent="0.2">
      <c r="A8" t="s">
        <v>8</v>
      </c>
      <c r="B8" t="s">
        <v>50</v>
      </c>
      <c r="C8" t="s">
        <v>241</v>
      </c>
      <c r="D8" t="s">
        <v>38</v>
      </c>
      <c r="E8" s="2">
        <v>1938106.18</v>
      </c>
      <c r="F8">
        <v>3.2</v>
      </c>
      <c r="G8" s="2">
        <v>1938106.18</v>
      </c>
      <c r="H8" s="2">
        <v>56786</v>
      </c>
      <c r="I8">
        <v>34.130000000000003</v>
      </c>
      <c r="J8" t="s">
        <v>39</v>
      </c>
      <c r="K8" t="s">
        <v>40</v>
      </c>
      <c r="L8" t="s">
        <v>41</v>
      </c>
      <c r="M8">
        <v>1</v>
      </c>
      <c r="N8" t="s">
        <v>41</v>
      </c>
      <c r="O8">
        <f t="shared" si="1"/>
        <v>42.300000000000004</v>
      </c>
      <c r="P8" s="3">
        <f t="shared" si="0"/>
        <v>4.6417174354511168</v>
      </c>
    </row>
    <row r="9" spans="1:16" x14ac:dyDescent="0.2">
      <c r="A9" t="s">
        <v>9</v>
      </c>
      <c r="B9" t="s">
        <v>52</v>
      </c>
      <c r="C9" t="s">
        <v>242</v>
      </c>
      <c r="D9" t="s">
        <v>38</v>
      </c>
      <c r="E9" s="2">
        <v>1735750.5</v>
      </c>
      <c r="F9">
        <v>2.86</v>
      </c>
      <c r="G9" s="2">
        <v>1735750.5</v>
      </c>
      <c r="H9" s="2">
        <v>19613</v>
      </c>
      <c r="I9">
        <v>88.5</v>
      </c>
      <c r="J9" t="s">
        <v>39</v>
      </c>
      <c r="K9" t="s">
        <v>40</v>
      </c>
      <c r="L9" t="s">
        <v>41</v>
      </c>
      <c r="M9">
        <v>1</v>
      </c>
      <c r="N9" t="s">
        <v>41</v>
      </c>
      <c r="O9">
        <f t="shared" si="1"/>
        <v>45.160000000000004</v>
      </c>
      <c r="P9" s="3">
        <f t="shared" si="0"/>
        <v>4.1485349579344355</v>
      </c>
    </row>
    <row r="10" spans="1:16" x14ac:dyDescent="0.2">
      <c r="A10" t="s">
        <v>10</v>
      </c>
      <c r="B10" t="s">
        <v>53</v>
      </c>
      <c r="C10" t="s">
        <v>244</v>
      </c>
      <c r="D10" t="s">
        <v>38</v>
      </c>
      <c r="E10" s="2">
        <v>1703435.36</v>
      </c>
      <c r="F10">
        <v>2.81</v>
      </c>
      <c r="G10" s="2">
        <v>1703435.36</v>
      </c>
      <c r="H10" s="2">
        <v>147356</v>
      </c>
      <c r="I10">
        <v>11.56</v>
      </c>
      <c r="J10" t="s">
        <v>39</v>
      </c>
      <c r="K10" t="s">
        <v>40</v>
      </c>
      <c r="L10" t="s">
        <v>41</v>
      </c>
      <c r="M10">
        <v>1</v>
      </c>
      <c r="N10" t="s">
        <v>41</v>
      </c>
      <c r="O10">
        <f t="shared" si="1"/>
        <v>47.970000000000006</v>
      </c>
      <c r="P10" s="3">
        <f t="shared" si="0"/>
        <v>4.0760081230055123</v>
      </c>
    </row>
    <row r="11" spans="1:16" x14ac:dyDescent="0.2">
      <c r="A11" t="s">
        <v>11</v>
      </c>
      <c r="B11" t="s">
        <v>54</v>
      </c>
      <c r="C11" t="s">
        <v>243</v>
      </c>
      <c r="D11" t="s">
        <v>38</v>
      </c>
      <c r="E11" s="2">
        <v>1633872.72</v>
      </c>
      <c r="F11">
        <v>2.69</v>
      </c>
      <c r="G11" s="2">
        <v>1633872.72</v>
      </c>
      <c r="H11" s="2">
        <v>158321</v>
      </c>
      <c r="I11">
        <v>10.32</v>
      </c>
      <c r="J11" t="s">
        <v>39</v>
      </c>
      <c r="K11" t="s">
        <v>40</v>
      </c>
      <c r="L11" t="s">
        <v>41</v>
      </c>
      <c r="M11">
        <v>1</v>
      </c>
      <c r="N11" t="s">
        <v>41</v>
      </c>
      <c r="O11">
        <f t="shared" si="1"/>
        <v>50.660000000000004</v>
      </c>
      <c r="P11" s="3">
        <f t="shared" si="0"/>
        <v>3.9019437191760953</v>
      </c>
    </row>
    <row r="12" spans="1:16" x14ac:dyDescent="0.2">
      <c r="A12" t="s">
        <v>12</v>
      </c>
      <c r="B12" t="s">
        <v>55</v>
      </c>
      <c r="C12" t="s">
        <v>245</v>
      </c>
      <c r="D12" t="s">
        <v>38</v>
      </c>
      <c r="E12" s="2">
        <v>1480496.18</v>
      </c>
      <c r="F12">
        <v>2.44</v>
      </c>
      <c r="G12" s="2">
        <v>1480496.18</v>
      </c>
      <c r="H12" s="2">
        <v>126107</v>
      </c>
      <c r="I12">
        <v>11.74</v>
      </c>
      <c r="J12" t="s">
        <v>39</v>
      </c>
      <c r="K12" t="s">
        <v>40</v>
      </c>
      <c r="L12" t="s">
        <v>41</v>
      </c>
      <c r="M12">
        <v>1</v>
      </c>
      <c r="N12" t="s">
        <v>41</v>
      </c>
      <c r="O12">
        <f t="shared" si="1"/>
        <v>53.1</v>
      </c>
      <c r="P12" s="3">
        <f t="shared" si="0"/>
        <v>3.5393095445314766</v>
      </c>
    </row>
    <row r="13" spans="1:16" x14ac:dyDescent="0.2">
      <c r="A13" t="s">
        <v>13</v>
      </c>
      <c r="B13" t="s">
        <v>57</v>
      </c>
      <c r="C13" t="s">
        <v>244</v>
      </c>
      <c r="D13" t="s">
        <v>38</v>
      </c>
      <c r="E13" s="2">
        <v>1464455.5</v>
      </c>
      <c r="F13">
        <v>2.42</v>
      </c>
      <c r="G13" s="2">
        <v>1464455.5</v>
      </c>
      <c r="H13" s="2">
        <v>165850</v>
      </c>
      <c r="I13">
        <v>8.83</v>
      </c>
      <c r="J13" t="s">
        <v>39</v>
      </c>
      <c r="K13" t="s">
        <v>40</v>
      </c>
      <c r="L13" t="s">
        <v>41</v>
      </c>
      <c r="M13">
        <v>1</v>
      </c>
      <c r="N13" t="s">
        <v>41</v>
      </c>
      <c r="O13">
        <f t="shared" si="1"/>
        <v>55.52</v>
      </c>
      <c r="P13" s="3">
        <f t="shared" si="0"/>
        <v>3.5102988105599073</v>
      </c>
    </row>
    <row r="14" spans="1:16" x14ac:dyDescent="0.2">
      <c r="A14" t="s">
        <v>67</v>
      </c>
      <c r="B14" t="s">
        <v>68</v>
      </c>
      <c r="C14" t="s">
        <v>246</v>
      </c>
      <c r="D14" t="s">
        <v>38</v>
      </c>
      <c r="E14" s="2">
        <v>1190240.7</v>
      </c>
      <c r="F14">
        <v>1.96</v>
      </c>
      <c r="G14" s="2">
        <v>1190240.7</v>
      </c>
      <c r="H14" s="2">
        <v>32789</v>
      </c>
      <c r="I14">
        <v>36.299999999999997</v>
      </c>
      <c r="J14" t="s">
        <v>39</v>
      </c>
      <c r="K14" t="s">
        <v>40</v>
      </c>
      <c r="L14" t="s">
        <v>41</v>
      </c>
      <c r="M14">
        <v>1</v>
      </c>
      <c r="N14" t="s">
        <v>41</v>
      </c>
      <c r="O14">
        <f t="shared" si="1"/>
        <v>57.480000000000004</v>
      </c>
      <c r="P14" s="3">
        <f t="shared" si="0"/>
        <v>2.843051929213809</v>
      </c>
    </row>
    <row r="15" spans="1:16" x14ac:dyDescent="0.2">
      <c r="A15" t="s">
        <v>69</v>
      </c>
      <c r="B15" t="s">
        <v>70</v>
      </c>
      <c r="C15" t="s">
        <v>247</v>
      </c>
      <c r="D15" t="s">
        <v>38</v>
      </c>
      <c r="E15" s="2">
        <v>1186283.28</v>
      </c>
      <c r="F15">
        <v>1.96</v>
      </c>
      <c r="G15" s="2">
        <v>1186283.28</v>
      </c>
      <c r="H15" s="2">
        <v>21112</v>
      </c>
      <c r="I15">
        <v>56.19</v>
      </c>
      <c r="J15" t="s">
        <v>39</v>
      </c>
      <c r="K15" t="s">
        <v>40</v>
      </c>
      <c r="L15" t="s">
        <v>41</v>
      </c>
      <c r="M15">
        <v>1</v>
      </c>
      <c r="N15" t="s">
        <v>41</v>
      </c>
      <c r="O15">
        <f t="shared" si="1"/>
        <v>59.440000000000005</v>
      </c>
      <c r="P15" s="3">
        <f t="shared" si="0"/>
        <v>2.843051929213809</v>
      </c>
    </row>
    <row r="16" spans="1:16" x14ac:dyDescent="0.2">
      <c r="A16" t="s">
        <v>14</v>
      </c>
      <c r="B16" t="s">
        <v>58</v>
      </c>
      <c r="C16" t="s">
        <v>248</v>
      </c>
      <c r="D16" t="s">
        <v>38</v>
      </c>
      <c r="E16" s="2">
        <v>1118279.78</v>
      </c>
      <c r="F16">
        <v>1.84</v>
      </c>
      <c r="G16" s="2">
        <v>1118279.78</v>
      </c>
      <c r="H16" s="2">
        <v>18101</v>
      </c>
      <c r="I16">
        <v>61.78</v>
      </c>
      <c r="J16" t="s">
        <v>39</v>
      </c>
      <c r="K16" t="s">
        <v>40</v>
      </c>
      <c r="L16" t="s">
        <v>41</v>
      </c>
      <c r="M16">
        <v>1</v>
      </c>
      <c r="N16" t="s">
        <v>41</v>
      </c>
      <c r="O16">
        <f t="shared" si="1"/>
        <v>61.280000000000008</v>
      </c>
      <c r="P16" s="3">
        <f t="shared" si="0"/>
        <v>2.6689875253843924</v>
      </c>
    </row>
    <row r="17" spans="1:16" x14ac:dyDescent="0.2">
      <c r="A17" t="s">
        <v>15</v>
      </c>
      <c r="B17" t="s">
        <v>59</v>
      </c>
      <c r="C17" t="s">
        <v>244</v>
      </c>
      <c r="D17" t="s">
        <v>38</v>
      </c>
      <c r="E17" s="2">
        <v>1004686.4</v>
      </c>
      <c r="F17">
        <v>1.66</v>
      </c>
      <c r="G17" s="2">
        <v>1004686.4</v>
      </c>
      <c r="H17" s="2">
        <v>36937</v>
      </c>
      <c r="I17">
        <v>27.2</v>
      </c>
      <c r="J17" t="s">
        <v>39</v>
      </c>
      <c r="K17" t="s">
        <v>40</v>
      </c>
      <c r="L17" t="s">
        <v>41</v>
      </c>
      <c r="M17">
        <v>1</v>
      </c>
      <c r="N17" t="s">
        <v>41</v>
      </c>
      <c r="O17">
        <f t="shared" si="1"/>
        <v>62.940000000000005</v>
      </c>
      <c r="P17" s="3">
        <f t="shared" si="0"/>
        <v>2.4078909196402671</v>
      </c>
    </row>
    <row r="18" spans="1:16" x14ac:dyDescent="0.2">
      <c r="A18" t="s">
        <v>16</v>
      </c>
      <c r="B18" t="s">
        <v>60</v>
      </c>
      <c r="C18" t="s">
        <v>241</v>
      </c>
      <c r="D18" t="s">
        <v>38</v>
      </c>
      <c r="E18" s="2">
        <v>978536.2</v>
      </c>
      <c r="F18">
        <v>1.61</v>
      </c>
      <c r="G18" s="2">
        <v>978536.2</v>
      </c>
      <c r="H18" s="2">
        <v>35713</v>
      </c>
      <c r="I18">
        <v>27.4</v>
      </c>
      <c r="J18" t="s">
        <v>39</v>
      </c>
      <c r="K18" t="s">
        <v>40</v>
      </c>
      <c r="L18" t="s">
        <v>41</v>
      </c>
      <c r="M18">
        <v>1</v>
      </c>
      <c r="N18" t="s">
        <v>41</v>
      </c>
      <c r="O18">
        <f t="shared" si="1"/>
        <v>64.550000000000011</v>
      </c>
      <c r="P18" s="3">
        <f t="shared" si="0"/>
        <v>2.3353640847113435</v>
      </c>
    </row>
    <row r="19" spans="1:16" x14ac:dyDescent="0.2">
      <c r="A19" t="s">
        <v>17</v>
      </c>
      <c r="B19" t="s">
        <v>61</v>
      </c>
      <c r="C19" t="s">
        <v>239</v>
      </c>
      <c r="D19" t="s">
        <v>38</v>
      </c>
      <c r="E19" s="2">
        <v>920398.6</v>
      </c>
      <c r="F19">
        <v>1.52</v>
      </c>
      <c r="G19" s="2">
        <v>920398.6</v>
      </c>
      <c r="H19" s="2">
        <v>22924</v>
      </c>
      <c r="I19">
        <v>40.15</v>
      </c>
      <c r="J19" t="s">
        <v>39</v>
      </c>
      <c r="K19" t="s">
        <v>40</v>
      </c>
      <c r="L19" t="s">
        <v>41</v>
      </c>
      <c r="M19">
        <v>1</v>
      </c>
      <c r="N19" t="s">
        <v>41</v>
      </c>
      <c r="O19">
        <f t="shared" si="1"/>
        <v>66.070000000000007</v>
      </c>
      <c r="P19" s="3">
        <f t="shared" si="0"/>
        <v>2.2048157818392804</v>
      </c>
    </row>
    <row r="20" spans="1:16" x14ac:dyDescent="0.2">
      <c r="A20" t="s">
        <v>18</v>
      </c>
      <c r="B20" t="s">
        <v>62</v>
      </c>
      <c r="C20" t="s">
        <v>249</v>
      </c>
      <c r="D20" t="s">
        <v>38</v>
      </c>
      <c r="E20" s="2">
        <v>903371</v>
      </c>
      <c r="F20">
        <v>1.49</v>
      </c>
      <c r="G20" s="2">
        <v>903371</v>
      </c>
      <c r="H20" s="2">
        <v>28055</v>
      </c>
      <c r="I20">
        <v>32.200000000000003</v>
      </c>
      <c r="J20" t="s">
        <v>39</v>
      </c>
      <c r="K20" t="s">
        <v>40</v>
      </c>
      <c r="L20" t="s">
        <v>41</v>
      </c>
      <c r="M20">
        <v>1</v>
      </c>
      <c r="N20" t="s">
        <v>41</v>
      </c>
      <c r="O20">
        <f t="shared" si="1"/>
        <v>67.56</v>
      </c>
      <c r="P20" s="3">
        <f t="shared" si="0"/>
        <v>2.1612996808819265</v>
      </c>
    </row>
    <row r="21" spans="1:16" x14ac:dyDescent="0.2">
      <c r="A21" t="s">
        <v>19</v>
      </c>
      <c r="B21" t="s">
        <v>63</v>
      </c>
      <c r="C21" t="s">
        <v>250</v>
      </c>
      <c r="D21" t="s">
        <v>38</v>
      </c>
      <c r="E21" s="2">
        <v>835377.46</v>
      </c>
      <c r="F21">
        <v>1.38</v>
      </c>
      <c r="G21" s="2">
        <v>835377.46</v>
      </c>
      <c r="H21" s="2">
        <v>32863</v>
      </c>
      <c r="I21">
        <v>25.42</v>
      </c>
      <c r="J21" t="s">
        <v>39</v>
      </c>
      <c r="K21" t="s">
        <v>40</v>
      </c>
      <c r="L21" t="s">
        <v>41</v>
      </c>
      <c r="M21">
        <v>1</v>
      </c>
      <c r="N21" t="s">
        <v>41</v>
      </c>
      <c r="O21">
        <f t="shared" si="1"/>
        <v>68.94</v>
      </c>
      <c r="P21" s="3">
        <f t="shared" si="0"/>
        <v>2.0017406440382941</v>
      </c>
    </row>
  </sheetData>
  <autoFilter ref="A1:O1" xr:uid="{AE98FC99-7B53-4744-958F-DD330AB72272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1EC22-F151-1F4B-BECA-6B865FEE785F}">
  <dimension ref="A1:O84"/>
  <sheetViews>
    <sheetView showGridLines="0" workbookViewId="0">
      <selection activeCell="I11" sqref="I11"/>
    </sheetView>
  </sheetViews>
  <sheetFormatPr baseColWidth="10" defaultRowHeight="16" x14ac:dyDescent="0.2"/>
  <cols>
    <col min="1" max="1" width="8.5" bestFit="1" customWidth="1"/>
    <col min="2" max="2" width="37.83203125" bestFit="1" customWidth="1"/>
    <col min="3" max="3" width="25.5" bestFit="1" customWidth="1"/>
    <col min="4" max="4" width="13.6640625" bestFit="1" customWidth="1"/>
    <col min="5" max="5" width="14.1640625" bestFit="1" customWidth="1"/>
    <col min="6" max="6" width="12.5" bestFit="1" customWidth="1"/>
    <col min="7" max="7" width="15.5" bestFit="1" customWidth="1"/>
    <col min="8" max="8" width="9.1640625" bestFit="1" customWidth="1"/>
    <col min="9" max="9" width="7.83203125" bestFit="1" customWidth="1"/>
    <col min="10" max="10" width="10.6640625" bestFit="1" customWidth="1"/>
    <col min="11" max="11" width="11.33203125" bestFit="1" customWidth="1"/>
    <col min="12" max="12" width="11.1640625" bestFit="1" customWidth="1"/>
    <col min="13" max="13" width="9.83203125" bestFit="1" customWidth="1"/>
    <col min="14" max="14" width="17.1640625" bestFit="1" customWidth="1"/>
    <col min="15" max="15" width="12.83203125" bestFit="1" customWidth="1"/>
  </cols>
  <sheetData>
    <row r="1" spans="1:15" x14ac:dyDescent="0.2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236</v>
      </c>
    </row>
    <row r="2" spans="1:15" x14ac:dyDescent="0.2">
      <c r="A2" t="s">
        <v>20</v>
      </c>
      <c r="B2" t="s">
        <v>65</v>
      </c>
      <c r="C2" t="s">
        <v>56</v>
      </c>
      <c r="D2" t="s">
        <v>38</v>
      </c>
      <c r="E2" s="2">
        <v>807884</v>
      </c>
      <c r="F2" s="3">
        <v>1.33</v>
      </c>
      <c r="G2" s="2">
        <v>807884</v>
      </c>
      <c r="H2" s="2">
        <v>36722</v>
      </c>
      <c r="I2">
        <v>22</v>
      </c>
      <c r="J2" t="s">
        <v>39</v>
      </c>
      <c r="K2" t="s">
        <v>40</v>
      </c>
      <c r="L2" t="s">
        <v>41</v>
      </c>
      <c r="M2">
        <v>1</v>
      </c>
      <c r="N2" t="s">
        <v>41</v>
      </c>
    </row>
    <row r="3" spans="1:15" x14ac:dyDescent="0.2">
      <c r="A3" t="s">
        <v>21</v>
      </c>
      <c r="B3" t="s">
        <v>66</v>
      </c>
      <c r="C3" t="s">
        <v>45</v>
      </c>
      <c r="D3" t="s">
        <v>38</v>
      </c>
      <c r="E3" s="2">
        <v>661659.84</v>
      </c>
      <c r="F3">
        <v>1.0900000000000001</v>
      </c>
      <c r="G3" s="2">
        <v>661659.84</v>
      </c>
      <c r="H3" s="2">
        <v>18288</v>
      </c>
      <c r="I3">
        <v>36.18</v>
      </c>
      <c r="J3" t="s">
        <v>39</v>
      </c>
      <c r="K3" t="s">
        <v>40</v>
      </c>
      <c r="L3" t="s">
        <v>41</v>
      </c>
      <c r="M3">
        <v>1</v>
      </c>
      <c r="N3" t="s">
        <v>41</v>
      </c>
    </row>
    <row r="4" spans="1:15" x14ac:dyDescent="0.2">
      <c r="A4" t="s">
        <v>71</v>
      </c>
      <c r="B4" t="s">
        <v>72</v>
      </c>
      <c r="C4" t="s">
        <v>37</v>
      </c>
      <c r="D4" t="s">
        <v>38</v>
      </c>
      <c r="E4" s="2">
        <v>646836.12</v>
      </c>
      <c r="F4">
        <v>1.07</v>
      </c>
      <c r="G4" s="2">
        <v>646836.12</v>
      </c>
      <c r="H4" s="2">
        <v>35658</v>
      </c>
      <c r="I4">
        <v>18.14</v>
      </c>
      <c r="J4" t="s">
        <v>39</v>
      </c>
      <c r="K4" t="s">
        <v>40</v>
      </c>
      <c r="L4" t="s">
        <v>41</v>
      </c>
      <c r="M4">
        <v>1</v>
      </c>
      <c r="N4" t="s">
        <v>41</v>
      </c>
    </row>
    <row r="5" spans="1:15" x14ac:dyDescent="0.2">
      <c r="A5" t="s">
        <v>73</v>
      </c>
      <c r="B5" t="s">
        <v>74</v>
      </c>
      <c r="C5" t="s">
        <v>48</v>
      </c>
      <c r="D5" t="s">
        <v>38</v>
      </c>
      <c r="E5" s="2">
        <v>622473.28</v>
      </c>
      <c r="F5">
        <v>1.03</v>
      </c>
      <c r="G5" s="2">
        <v>622473.28</v>
      </c>
      <c r="H5" s="2">
        <v>34892</v>
      </c>
      <c r="I5">
        <v>17.84</v>
      </c>
      <c r="J5" t="s">
        <v>39</v>
      </c>
      <c r="K5" t="s">
        <v>40</v>
      </c>
      <c r="L5" t="s">
        <v>41</v>
      </c>
      <c r="M5">
        <v>1</v>
      </c>
      <c r="N5" t="s">
        <v>41</v>
      </c>
    </row>
    <row r="6" spans="1:15" x14ac:dyDescent="0.2">
      <c r="A6" t="s">
        <v>75</v>
      </c>
      <c r="B6" t="s">
        <v>76</v>
      </c>
      <c r="C6" t="s">
        <v>56</v>
      </c>
      <c r="D6" t="s">
        <v>38</v>
      </c>
      <c r="E6" s="2">
        <v>592713.92000000004</v>
      </c>
      <c r="F6">
        <v>0.98</v>
      </c>
      <c r="G6" s="2">
        <v>592713.92000000004</v>
      </c>
      <c r="H6" s="2">
        <v>23372</v>
      </c>
      <c r="I6">
        <v>25.36</v>
      </c>
      <c r="J6" t="s">
        <v>39</v>
      </c>
      <c r="K6" t="s">
        <v>40</v>
      </c>
      <c r="L6" t="s">
        <v>41</v>
      </c>
      <c r="M6">
        <v>1</v>
      </c>
      <c r="N6" t="s">
        <v>41</v>
      </c>
    </row>
    <row r="7" spans="1:15" x14ac:dyDescent="0.2">
      <c r="A7" t="s">
        <v>77</v>
      </c>
      <c r="B7" t="s">
        <v>78</v>
      </c>
      <c r="C7" t="s">
        <v>51</v>
      </c>
      <c r="D7" t="s">
        <v>38</v>
      </c>
      <c r="E7" s="2">
        <v>592529.63</v>
      </c>
      <c r="F7">
        <v>0.98</v>
      </c>
      <c r="G7" s="2">
        <v>592529.63</v>
      </c>
      <c r="H7" s="2">
        <v>53333</v>
      </c>
      <c r="I7">
        <v>11.11</v>
      </c>
      <c r="J7" t="s">
        <v>39</v>
      </c>
      <c r="K7" t="s">
        <v>40</v>
      </c>
      <c r="L7" t="s">
        <v>41</v>
      </c>
      <c r="M7">
        <v>1</v>
      </c>
      <c r="N7" t="s">
        <v>41</v>
      </c>
    </row>
    <row r="8" spans="1:15" x14ac:dyDescent="0.2">
      <c r="A8" t="s">
        <v>79</v>
      </c>
      <c r="B8" t="s">
        <v>80</v>
      </c>
      <c r="C8" t="s">
        <v>81</v>
      </c>
      <c r="D8" t="s">
        <v>38</v>
      </c>
      <c r="E8" s="2">
        <v>546554.22</v>
      </c>
      <c r="F8">
        <v>0.9</v>
      </c>
      <c r="G8" s="2">
        <v>546554.22</v>
      </c>
      <c r="H8" s="2">
        <v>11686</v>
      </c>
      <c r="I8">
        <v>46.77</v>
      </c>
      <c r="J8" t="s">
        <v>39</v>
      </c>
      <c r="K8" t="s">
        <v>40</v>
      </c>
      <c r="L8" t="s">
        <v>41</v>
      </c>
      <c r="M8">
        <v>1</v>
      </c>
      <c r="N8" t="s">
        <v>41</v>
      </c>
    </row>
    <row r="9" spans="1:15" x14ac:dyDescent="0.2">
      <c r="A9" t="s">
        <v>82</v>
      </c>
      <c r="B9" t="s">
        <v>83</v>
      </c>
      <c r="C9" t="s">
        <v>51</v>
      </c>
      <c r="D9" t="s">
        <v>38</v>
      </c>
      <c r="E9" s="2">
        <v>546412.23</v>
      </c>
      <c r="F9">
        <v>0.9</v>
      </c>
      <c r="G9" s="2">
        <v>546412.23</v>
      </c>
      <c r="H9" s="2">
        <v>51891</v>
      </c>
      <c r="I9">
        <v>10.53</v>
      </c>
      <c r="J9" t="s">
        <v>39</v>
      </c>
      <c r="K9" t="s">
        <v>40</v>
      </c>
      <c r="L9" t="s">
        <v>41</v>
      </c>
      <c r="M9">
        <v>1</v>
      </c>
      <c r="N9" t="s">
        <v>41</v>
      </c>
    </row>
    <row r="10" spans="1:15" x14ac:dyDescent="0.2">
      <c r="A10" t="s">
        <v>84</v>
      </c>
      <c r="B10" t="s">
        <v>85</v>
      </c>
      <c r="C10" t="s">
        <v>86</v>
      </c>
      <c r="D10" t="s">
        <v>38</v>
      </c>
      <c r="E10" s="2">
        <v>523889.44</v>
      </c>
      <c r="F10">
        <v>0.86</v>
      </c>
      <c r="G10" s="2">
        <v>523889.44</v>
      </c>
      <c r="H10" s="2">
        <v>29366</v>
      </c>
      <c r="I10">
        <v>17.84</v>
      </c>
      <c r="J10" t="s">
        <v>39</v>
      </c>
      <c r="K10" t="s">
        <v>40</v>
      </c>
      <c r="L10" t="s">
        <v>41</v>
      </c>
      <c r="M10">
        <v>1</v>
      </c>
      <c r="N10" t="s">
        <v>41</v>
      </c>
    </row>
    <row r="11" spans="1:15" x14ac:dyDescent="0.2">
      <c r="A11" t="s">
        <v>87</v>
      </c>
      <c r="B11" t="s">
        <v>88</v>
      </c>
      <c r="C11" t="s">
        <v>37</v>
      </c>
      <c r="D11" t="s">
        <v>38</v>
      </c>
      <c r="E11" s="2">
        <v>509796.8</v>
      </c>
      <c r="F11">
        <v>0.84</v>
      </c>
      <c r="G11" s="2">
        <v>509796.8</v>
      </c>
      <c r="H11" s="2">
        <v>21974</v>
      </c>
      <c r="I11">
        <v>23.2</v>
      </c>
      <c r="J11" t="s">
        <v>39</v>
      </c>
      <c r="K11" t="s">
        <v>40</v>
      </c>
      <c r="L11" t="s">
        <v>41</v>
      </c>
      <c r="M11">
        <v>1</v>
      </c>
      <c r="N11" t="s">
        <v>41</v>
      </c>
    </row>
    <row r="12" spans="1:15" x14ac:dyDescent="0.2">
      <c r="A12" t="s">
        <v>89</v>
      </c>
      <c r="B12" t="s">
        <v>90</v>
      </c>
      <c r="C12" t="s">
        <v>43</v>
      </c>
      <c r="D12" t="s">
        <v>38</v>
      </c>
      <c r="E12" s="2">
        <v>496742.28</v>
      </c>
      <c r="F12">
        <v>0.82</v>
      </c>
      <c r="G12" s="2">
        <v>496742.28</v>
      </c>
      <c r="H12" s="2">
        <v>31281</v>
      </c>
      <c r="I12">
        <v>15.88</v>
      </c>
      <c r="J12" t="s">
        <v>39</v>
      </c>
      <c r="K12" t="s">
        <v>40</v>
      </c>
      <c r="L12" t="s">
        <v>41</v>
      </c>
      <c r="M12">
        <v>1</v>
      </c>
      <c r="N12" t="s">
        <v>41</v>
      </c>
    </row>
    <row r="13" spans="1:15" x14ac:dyDescent="0.2">
      <c r="A13" t="s">
        <v>91</v>
      </c>
      <c r="B13" t="s">
        <v>92</v>
      </c>
      <c r="C13" t="s">
        <v>45</v>
      </c>
      <c r="D13" t="s">
        <v>38</v>
      </c>
      <c r="E13" s="2">
        <v>453210.8</v>
      </c>
      <c r="F13">
        <v>0.75</v>
      </c>
      <c r="G13" s="2">
        <v>453210.8</v>
      </c>
      <c r="H13" s="2">
        <v>42595</v>
      </c>
      <c r="I13">
        <v>10.64</v>
      </c>
      <c r="J13" t="s">
        <v>39</v>
      </c>
      <c r="K13" t="s">
        <v>40</v>
      </c>
      <c r="L13" t="s">
        <v>41</v>
      </c>
      <c r="M13">
        <v>1</v>
      </c>
      <c r="N13" t="s">
        <v>41</v>
      </c>
    </row>
    <row r="14" spans="1:15" x14ac:dyDescent="0.2">
      <c r="A14" t="s">
        <v>93</v>
      </c>
      <c r="B14" t="s">
        <v>94</v>
      </c>
      <c r="C14" t="s">
        <v>51</v>
      </c>
      <c r="D14" t="s">
        <v>38</v>
      </c>
      <c r="E14" s="2">
        <v>440892.75</v>
      </c>
      <c r="F14">
        <v>0.73</v>
      </c>
      <c r="G14" s="2">
        <v>440892.75</v>
      </c>
      <c r="H14" s="2">
        <v>48185</v>
      </c>
      <c r="I14">
        <v>9.15</v>
      </c>
      <c r="J14" t="s">
        <v>39</v>
      </c>
      <c r="K14" t="s">
        <v>40</v>
      </c>
      <c r="L14" t="s">
        <v>41</v>
      </c>
      <c r="M14">
        <v>1</v>
      </c>
      <c r="N14" t="s">
        <v>41</v>
      </c>
    </row>
    <row r="15" spans="1:15" x14ac:dyDescent="0.2">
      <c r="A15" t="s">
        <v>95</v>
      </c>
      <c r="B15" t="s">
        <v>96</v>
      </c>
      <c r="C15" t="s">
        <v>97</v>
      </c>
      <c r="D15" t="s">
        <v>38</v>
      </c>
      <c r="E15" s="2">
        <v>414651.75</v>
      </c>
      <c r="F15">
        <v>0.68</v>
      </c>
      <c r="G15" s="2">
        <v>414651.75</v>
      </c>
      <c r="H15" s="2">
        <v>15501</v>
      </c>
      <c r="I15">
        <v>26.75</v>
      </c>
      <c r="J15" t="s">
        <v>39</v>
      </c>
      <c r="K15" t="s">
        <v>40</v>
      </c>
      <c r="L15" t="s">
        <v>41</v>
      </c>
      <c r="M15">
        <v>1</v>
      </c>
      <c r="N15" t="s">
        <v>41</v>
      </c>
    </row>
    <row r="16" spans="1:15" x14ac:dyDescent="0.2">
      <c r="A16" t="s">
        <v>98</v>
      </c>
      <c r="B16" t="s">
        <v>99</v>
      </c>
      <c r="C16" t="s">
        <v>86</v>
      </c>
      <c r="D16" t="s">
        <v>38</v>
      </c>
      <c r="E16" s="2">
        <v>364375.68</v>
      </c>
      <c r="F16">
        <v>0.6</v>
      </c>
      <c r="G16" s="2">
        <v>364375.68</v>
      </c>
      <c r="H16" s="2">
        <v>30064</v>
      </c>
      <c r="I16">
        <v>12.12</v>
      </c>
      <c r="J16" t="s">
        <v>39</v>
      </c>
      <c r="K16" t="s">
        <v>40</v>
      </c>
      <c r="L16" t="s">
        <v>41</v>
      </c>
      <c r="M16">
        <v>1</v>
      </c>
      <c r="N16" t="s">
        <v>41</v>
      </c>
    </row>
    <row r="17" spans="1:14" x14ac:dyDescent="0.2">
      <c r="A17" t="s">
        <v>100</v>
      </c>
      <c r="B17" t="s">
        <v>101</v>
      </c>
      <c r="C17" t="s">
        <v>51</v>
      </c>
      <c r="D17" t="s">
        <v>38</v>
      </c>
      <c r="E17" s="2">
        <v>341416.32</v>
      </c>
      <c r="F17">
        <v>0.56000000000000005</v>
      </c>
      <c r="G17" s="2">
        <v>341416.32</v>
      </c>
      <c r="H17" s="2">
        <v>9359</v>
      </c>
      <c r="I17">
        <v>36.479999999999997</v>
      </c>
      <c r="J17" t="s">
        <v>39</v>
      </c>
      <c r="K17" t="s">
        <v>40</v>
      </c>
      <c r="L17" t="s">
        <v>41</v>
      </c>
      <c r="M17">
        <v>1</v>
      </c>
      <c r="N17" t="s">
        <v>41</v>
      </c>
    </row>
    <row r="18" spans="1:14" x14ac:dyDescent="0.2">
      <c r="A18" t="s">
        <v>102</v>
      </c>
      <c r="B18" t="s">
        <v>103</v>
      </c>
      <c r="C18" t="s">
        <v>81</v>
      </c>
      <c r="D18" t="s">
        <v>38</v>
      </c>
      <c r="E18" s="2">
        <v>335516.08</v>
      </c>
      <c r="F18">
        <v>0.55000000000000004</v>
      </c>
      <c r="G18" s="2">
        <v>335516.08</v>
      </c>
      <c r="H18" s="2">
        <v>23171</v>
      </c>
      <c r="I18">
        <v>14.48</v>
      </c>
      <c r="J18" t="s">
        <v>39</v>
      </c>
      <c r="K18" t="s">
        <v>40</v>
      </c>
      <c r="L18" t="s">
        <v>41</v>
      </c>
      <c r="M18">
        <v>1</v>
      </c>
      <c r="N18" t="s">
        <v>41</v>
      </c>
    </row>
    <row r="19" spans="1:14" x14ac:dyDescent="0.2">
      <c r="A19" t="s">
        <v>104</v>
      </c>
      <c r="B19" t="s">
        <v>105</v>
      </c>
      <c r="C19" t="s">
        <v>48</v>
      </c>
      <c r="D19" t="s">
        <v>38</v>
      </c>
      <c r="E19" s="2">
        <v>322630.36</v>
      </c>
      <c r="F19">
        <v>0.53</v>
      </c>
      <c r="G19" s="2">
        <v>322630.36</v>
      </c>
      <c r="H19" s="2">
        <v>24572</v>
      </c>
      <c r="I19">
        <v>13.13</v>
      </c>
      <c r="J19" t="s">
        <v>39</v>
      </c>
      <c r="K19" t="s">
        <v>40</v>
      </c>
      <c r="L19" t="s">
        <v>41</v>
      </c>
      <c r="M19">
        <v>1</v>
      </c>
      <c r="N19" t="s">
        <v>41</v>
      </c>
    </row>
    <row r="20" spans="1:14" x14ac:dyDescent="0.2">
      <c r="A20" t="s">
        <v>106</v>
      </c>
      <c r="B20" t="s">
        <v>107</v>
      </c>
      <c r="C20" t="s">
        <v>43</v>
      </c>
      <c r="D20" t="s">
        <v>38</v>
      </c>
      <c r="E20" s="2">
        <v>313192.32000000001</v>
      </c>
      <c r="F20">
        <v>0.52</v>
      </c>
      <c r="G20" s="2">
        <v>313192.32000000001</v>
      </c>
      <c r="H20" s="2">
        <v>13316</v>
      </c>
      <c r="I20">
        <v>23.52</v>
      </c>
      <c r="J20" t="s">
        <v>39</v>
      </c>
      <c r="K20" t="s">
        <v>40</v>
      </c>
      <c r="L20" t="s">
        <v>41</v>
      </c>
      <c r="M20">
        <v>1</v>
      </c>
      <c r="N20" t="s">
        <v>41</v>
      </c>
    </row>
    <row r="21" spans="1:14" x14ac:dyDescent="0.2">
      <c r="A21" t="s">
        <v>108</v>
      </c>
      <c r="B21" t="s">
        <v>109</v>
      </c>
      <c r="C21" t="s">
        <v>56</v>
      </c>
      <c r="D21" t="s">
        <v>38</v>
      </c>
      <c r="E21" s="2">
        <v>310986.71999999997</v>
      </c>
      <c r="F21">
        <v>0.51</v>
      </c>
      <c r="G21" s="2">
        <v>310986.71999999997</v>
      </c>
      <c r="H21" s="2">
        <v>24372</v>
      </c>
      <c r="I21">
        <v>12.76</v>
      </c>
      <c r="J21" t="s">
        <v>39</v>
      </c>
      <c r="K21" t="s">
        <v>40</v>
      </c>
      <c r="L21" t="s">
        <v>41</v>
      </c>
      <c r="M21">
        <v>1</v>
      </c>
      <c r="N21" t="s">
        <v>41</v>
      </c>
    </row>
    <row r="22" spans="1:14" x14ac:dyDescent="0.2">
      <c r="A22" t="s">
        <v>110</v>
      </c>
      <c r="B22" t="s">
        <v>111</v>
      </c>
      <c r="C22" t="s">
        <v>51</v>
      </c>
      <c r="D22" t="s">
        <v>38</v>
      </c>
      <c r="E22" s="2">
        <v>307945.28000000003</v>
      </c>
      <c r="F22">
        <v>0.51</v>
      </c>
      <c r="G22" s="2">
        <v>307945.28000000003</v>
      </c>
      <c r="H22" s="2">
        <v>37372</v>
      </c>
      <c r="I22">
        <v>8.24</v>
      </c>
      <c r="J22" t="s">
        <v>39</v>
      </c>
      <c r="K22" t="s">
        <v>40</v>
      </c>
      <c r="L22" t="s">
        <v>41</v>
      </c>
      <c r="M22">
        <v>1</v>
      </c>
      <c r="N22" t="s">
        <v>41</v>
      </c>
    </row>
    <row r="23" spans="1:14" x14ac:dyDescent="0.2">
      <c r="A23" t="s">
        <v>112</v>
      </c>
      <c r="B23" t="s">
        <v>113</v>
      </c>
      <c r="C23" t="s">
        <v>64</v>
      </c>
      <c r="D23" t="s">
        <v>38</v>
      </c>
      <c r="E23" s="2">
        <v>305826.65999999997</v>
      </c>
      <c r="F23">
        <v>0.5</v>
      </c>
      <c r="G23" s="2">
        <v>305826.65999999997</v>
      </c>
      <c r="H23" s="2">
        <v>137142</v>
      </c>
      <c r="I23">
        <v>2.23</v>
      </c>
      <c r="J23" t="s">
        <v>39</v>
      </c>
      <c r="K23" t="s">
        <v>40</v>
      </c>
      <c r="L23" t="s">
        <v>41</v>
      </c>
      <c r="M23">
        <v>1</v>
      </c>
      <c r="N23" t="s">
        <v>41</v>
      </c>
    </row>
    <row r="24" spans="1:14" x14ac:dyDescent="0.2">
      <c r="A24" t="s">
        <v>114</v>
      </c>
      <c r="B24" t="s">
        <v>115</v>
      </c>
      <c r="C24" t="s">
        <v>51</v>
      </c>
      <c r="D24" t="s">
        <v>38</v>
      </c>
      <c r="E24" s="2">
        <v>291784.24</v>
      </c>
      <c r="F24">
        <v>0.48</v>
      </c>
      <c r="G24" s="2">
        <v>291784.24</v>
      </c>
      <c r="H24" s="2">
        <v>7711</v>
      </c>
      <c r="I24">
        <v>37.840000000000003</v>
      </c>
      <c r="J24" t="s">
        <v>39</v>
      </c>
      <c r="K24" t="s">
        <v>40</v>
      </c>
      <c r="L24" t="s">
        <v>41</v>
      </c>
      <c r="M24">
        <v>1</v>
      </c>
      <c r="N24" t="s">
        <v>41</v>
      </c>
    </row>
    <row r="25" spans="1:14" x14ac:dyDescent="0.2">
      <c r="A25" t="s">
        <v>116</v>
      </c>
      <c r="B25" t="s">
        <v>117</v>
      </c>
      <c r="C25" t="s">
        <v>48</v>
      </c>
      <c r="D25" t="s">
        <v>38</v>
      </c>
      <c r="E25" s="2">
        <v>289997.55</v>
      </c>
      <c r="F25">
        <v>0.48</v>
      </c>
      <c r="G25" s="2">
        <v>289997.55</v>
      </c>
      <c r="H25" s="2">
        <v>28515</v>
      </c>
      <c r="I25">
        <v>10.17</v>
      </c>
      <c r="J25" t="s">
        <v>39</v>
      </c>
      <c r="K25" t="s">
        <v>40</v>
      </c>
      <c r="L25" t="s">
        <v>41</v>
      </c>
      <c r="M25">
        <v>1</v>
      </c>
      <c r="N25" t="s">
        <v>41</v>
      </c>
    </row>
    <row r="26" spans="1:14" x14ac:dyDescent="0.2">
      <c r="A26" t="s">
        <v>118</v>
      </c>
      <c r="B26" t="s">
        <v>119</v>
      </c>
      <c r="C26" t="s">
        <v>43</v>
      </c>
      <c r="D26" t="s">
        <v>38</v>
      </c>
      <c r="E26" s="2">
        <v>272952</v>
      </c>
      <c r="F26">
        <v>0.45</v>
      </c>
      <c r="G26" s="2">
        <v>272952</v>
      </c>
      <c r="H26" s="2">
        <v>33450</v>
      </c>
      <c r="I26">
        <v>8.16</v>
      </c>
      <c r="J26" t="s">
        <v>39</v>
      </c>
      <c r="K26" t="s">
        <v>40</v>
      </c>
      <c r="L26" t="s">
        <v>41</v>
      </c>
      <c r="M26">
        <v>1</v>
      </c>
      <c r="N26" t="s">
        <v>41</v>
      </c>
    </row>
    <row r="27" spans="1:14" x14ac:dyDescent="0.2">
      <c r="A27" t="s">
        <v>120</v>
      </c>
      <c r="B27" t="s">
        <v>121</v>
      </c>
      <c r="C27" t="s">
        <v>51</v>
      </c>
      <c r="D27" t="s">
        <v>38</v>
      </c>
      <c r="E27" s="2">
        <v>261324.57</v>
      </c>
      <c r="F27">
        <v>0.43</v>
      </c>
      <c r="G27" s="2">
        <v>261324.57</v>
      </c>
      <c r="H27" s="2">
        <v>11357</v>
      </c>
      <c r="I27">
        <v>23.01</v>
      </c>
      <c r="J27" t="s">
        <v>39</v>
      </c>
      <c r="K27" t="s">
        <v>40</v>
      </c>
      <c r="L27" t="s">
        <v>41</v>
      </c>
      <c r="M27">
        <v>1</v>
      </c>
      <c r="N27" t="s">
        <v>41</v>
      </c>
    </row>
    <row r="28" spans="1:14" x14ac:dyDescent="0.2">
      <c r="A28" t="s">
        <v>122</v>
      </c>
      <c r="B28" t="s">
        <v>123</v>
      </c>
      <c r="C28" t="s">
        <v>124</v>
      </c>
      <c r="D28" t="s">
        <v>38</v>
      </c>
      <c r="E28" s="2">
        <v>260258.81</v>
      </c>
      <c r="F28">
        <v>0.43</v>
      </c>
      <c r="G28" s="2">
        <v>260258.81</v>
      </c>
      <c r="H28" s="2">
        <v>14371</v>
      </c>
      <c r="I28">
        <v>18.11</v>
      </c>
      <c r="J28" t="s">
        <v>39</v>
      </c>
      <c r="K28" t="s">
        <v>40</v>
      </c>
      <c r="L28" t="s">
        <v>41</v>
      </c>
      <c r="M28">
        <v>1</v>
      </c>
      <c r="N28" t="s">
        <v>41</v>
      </c>
    </row>
    <row r="29" spans="1:14" x14ac:dyDescent="0.2">
      <c r="A29" t="s">
        <v>125</v>
      </c>
      <c r="B29" t="s">
        <v>126</v>
      </c>
      <c r="C29" t="s">
        <v>51</v>
      </c>
      <c r="D29" t="s">
        <v>38</v>
      </c>
      <c r="E29" s="2">
        <v>260002</v>
      </c>
      <c r="F29">
        <v>0.43</v>
      </c>
      <c r="G29" s="2">
        <v>260002</v>
      </c>
      <c r="H29" s="2">
        <v>7324</v>
      </c>
      <c r="I29">
        <v>35.5</v>
      </c>
      <c r="J29" t="s">
        <v>39</v>
      </c>
      <c r="K29" t="s">
        <v>40</v>
      </c>
      <c r="L29" t="s">
        <v>41</v>
      </c>
      <c r="M29">
        <v>1</v>
      </c>
      <c r="N29" t="s">
        <v>41</v>
      </c>
    </row>
    <row r="30" spans="1:14" x14ac:dyDescent="0.2">
      <c r="A30" t="s">
        <v>127</v>
      </c>
      <c r="B30" t="s">
        <v>128</v>
      </c>
      <c r="C30" t="s">
        <v>45</v>
      </c>
      <c r="D30" t="s">
        <v>38</v>
      </c>
      <c r="E30" s="2">
        <v>243988.26</v>
      </c>
      <c r="F30">
        <v>0.4</v>
      </c>
      <c r="G30" s="2">
        <v>243988.26</v>
      </c>
      <c r="H30" s="2">
        <v>10243</v>
      </c>
      <c r="I30">
        <v>23.82</v>
      </c>
      <c r="J30" t="s">
        <v>39</v>
      </c>
      <c r="K30" t="s">
        <v>40</v>
      </c>
      <c r="L30" t="s">
        <v>41</v>
      </c>
      <c r="M30">
        <v>1</v>
      </c>
      <c r="N30" t="s">
        <v>41</v>
      </c>
    </row>
    <row r="31" spans="1:14" x14ac:dyDescent="0.2">
      <c r="A31" t="s">
        <v>129</v>
      </c>
      <c r="B31" t="s">
        <v>130</v>
      </c>
      <c r="C31" t="s">
        <v>56</v>
      </c>
      <c r="D31" t="s">
        <v>38</v>
      </c>
      <c r="E31" s="2">
        <v>218044.27</v>
      </c>
      <c r="F31">
        <v>0.36</v>
      </c>
      <c r="G31" s="2">
        <v>218044.27</v>
      </c>
      <c r="H31" s="2">
        <v>38729</v>
      </c>
      <c r="I31">
        <v>5.63</v>
      </c>
      <c r="J31" t="s">
        <v>39</v>
      </c>
      <c r="K31" t="s">
        <v>40</v>
      </c>
      <c r="L31" t="s">
        <v>41</v>
      </c>
      <c r="M31">
        <v>1</v>
      </c>
      <c r="N31" t="s">
        <v>41</v>
      </c>
    </row>
    <row r="32" spans="1:14" x14ac:dyDescent="0.2">
      <c r="A32" t="s">
        <v>131</v>
      </c>
      <c r="B32" t="s">
        <v>132</v>
      </c>
      <c r="C32" t="s">
        <v>64</v>
      </c>
      <c r="D32" t="s">
        <v>38</v>
      </c>
      <c r="E32" s="2">
        <v>212684.13</v>
      </c>
      <c r="F32">
        <v>0.35</v>
      </c>
      <c r="G32" s="2">
        <v>212684.13</v>
      </c>
      <c r="H32" s="2">
        <v>11757</v>
      </c>
      <c r="I32">
        <v>18.09</v>
      </c>
      <c r="J32" t="s">
        <v>39</v>
      </c>
      <c r="K32" t="s">
        <v>40</v>
      </c>
      <c r="L32" t="s">
        <v>41</v>
      </c>
      <c r="M32">
        <v>1</v>
      </c>
      <c r="N32" t="s">
        <v>41</v>
      </c>
    </row>
    <row r="33" spans="1:14" x14ac:dyDescent="0.2">
      <c r="A33" t="s">
        <v>133</v>
      </c>
      <c r="B33" t="s">
        <v>134</v>
      </c>
      <c r="C33" t="s">
        <v>45</v>
      </c>
      <c r="D33" t="s">
        <v>38</v>
      </c>
      <c r="E33" s="2">
        <v>212040</v>
      </c>
      <c r="F33">
        <v>0.35</v>
      </c>
      <c r="G33" s="2">
        <v>212040</v>
      </c>
      <c r="H33" s="2">
        <v>14880</v>
      </c>
      <c r="I33">
        <v>14.25</v>
      </c>
      <c r="J33" t="s">
        <v>39</v>
      </c>
      <c r="K33" t="s">
        <v>40</v>
      </c>
      <c r="L33" t="s">
        <v>41</v>
      </c>
      <c r="M33">
        <v>1</v>
      </c>
      <c r="N33" t="s">
        <v>41</v>
      </c>
    </row>
    <row r="34" spans="1:14" x14ac:dyDescent="0.2">
      <c r="A34" t="s">
        <v>135</v>
      </c>
      <c r="B34" t="s">
        <v>136</v>
      </c>
      <c r="C34" t="s">
        <v>51</v>
      </c>
      <c r="D34" t="s">
        <v>38</v>
      </c>
      <c r="E34" s="2">
        <v>206853.7</v>
      </c>
      <c r="F34">
        <v>0.34</v>
      </c>
      <c r="G34" s="2">
        <v>206853.7</v>
      </c>
      <c r="H34" s="2">
        <v>6295</v>
      </c>
      <c r="I34">
        <v>32.86</v>
      </c>
      <c r="J34" t="s">
        <v>39</v>
      </c>
      <c r="K34" t="s">
        <v>40</v>
      </c>
      <c r="L34" t="s">
        <v>41</v>
      </c>
      <c r="M34">
        <v>1</v>
      </c>
      <c r="N34" t="s">
        <v>41</v>
      </c>
    </row>
    <row r="35" spans="1:14" x14ac:dyDescent="0.2">
      <c r="A35" t="s">
        <v>137</v>
      </c>
      <c r="B35" t="s">
        <v>138</v>
      </c>
      <c r="C35" t="s">
        <v>37</v>
      </c>
      <c r="D35" t="s">
        <v>38</v>
      </c>
      <c r="E35" s="2">
        <v>194586</v>
      </c>
      <c r="F35">
        <v>0.32</v>
      </c>
      <c r="G35" s="2">
        <v>194586</v>
      </c>
      <c r="H35" s="2">
        <v>18984</v>
      </c>
      <c r="I35">
        <v>10.25</v>
      </c>
      <c r="J35" t="s">
        <v>39</v>
      </c>
      <c r="K35" t="s">
        <v>40</v>
      </c>
      <c r="L35" t="s">
        <v>41</v>
      </c>
      <c r="M35">
        <v>1</v>
      </c>
      <c r="N35" t="s">
        <v>41</v>
      </c>
    </row>
    <row r="36" spans="1:14" x14ac:dyDescent="0.2">
      <c r="A36" t="s">
        <v>139</v>
      </c>
      <c r="B36" t="s">
        <v>140</v>
      </c>
      <c r="C36" t="s">
        <v>124</v>
      </c>
      <c r="D36" t="s">
        <v>38</v>
      </c>
      <c r="E36" s="2">
        <v>192966.32</v>
      </c>
      <c r="F36">
        <v>0.32</v>
      </c>
      <c r="G36" s="2">
        <v>192966.32</v>
      </c>
      <c r="H36" s="2">
        <v>9154</v>
      </c>
      <c r="I36">
        <v>21.08</v>
      </c>
      <c r="J36" t="s">
        <v>39</v>
      </c>
      <c r="K36" t="s">
        <v>40</v>
      </c>
      <c r="L36" t="s">
        <v>41</v>
      </c>
      <c r="M36">
        <v>1</v>
      </c>
      <c r="N36" t="s">
        <v>41</v>
      </c>
    </row>
    <row r="37" spans="1:14" x14ac:dyDescent="0.2">
      <c r="A37" t="s">
        <v>141</v>
      </c>
      <c r="B37" t="s">
        <v>142</v>
      </c>
      <c r="C37" t="s">
        <v>45</v>
      </c>
      <c r="D37" t="s">
        <v>38</v>
      </c>
      <c r="E37" s="2">
        <v>191631.65</v>
      </c>
      <c r="F37">
        <v>0.32</v>
      </c>
      <c r="G37" s="2">
        <v>191631.65</v>
      </c>
      <c r="H37" s="2">
        <v>5243</v>
      </c>
      <c r="I37">
        <v>36.549999999999997</v>
      </c>
      <c r="J37" t="s">
        <v>39</v>
      </c>
      <c r="K37" t="s">
        <v>40</v>
      </c>
      <c r="L37" t="s">
        <v>41</v>
      </c>
      <c r="M37">
        <v>1</v>
      </c>
      <c r="N37" t="s">
        <v>41</v>
      </c>
    </row>
    <row r="38" spans="1:14" x14ac:dyDescent="0.2">
      <c r="A38" t="s">
        <v>143</v>
      </c>
      <c r="B38" t="s">
        <v>144</v>
      </c>
      <c r="C38" t="s">
        <v>37</v>
      </c>
      <c r="D38" t="s">
        <v>38</v>
      </c>
      <c r="E38" s="2">
        <v>187734.54</v>
      </c>
      <c r="F38">
        <v>0.31</v>
      </c>
      <c r="G38" s="2">
        <v>187734.54</v>
      </c>
      <c r="H38" s="2">
        <v>21189</v>
      </c>
      <c r="I38">
        <v>8.86</v>
      </c>
      <c r="J38" t="s">
        <v>39</v>
      </c>
      <c r="K38" t="s">
        <v>40</v>
      </c>
      <c r="L38" t="s">
        <v>41</v>
      </c>
      <c r="M38">
        <v>1</v>
      </c>
      <c r="N38" t="s">
        <v>41</v>
      </c>
    </row>
    <row r="39" spans="1:14" x14ac:dyDescent="0.2">
      <c r="A39" t="s">
        <v>145</v>
      </c>
      <c r="B39" t="s">
        <v>146</v>
      </c>
      <c r="C39" t="s">
        <v>51</v>
      </c>
      <c r="D39" t="s">
        <v>38</v>
      </c>
      <c r="E39" s="2">
        <v>171123.03</v>
      </c>
      <c r="F39">
        <v>0.28000000000000003</v>
      </c>
      <c r="G39" s="2">
        <v>171123.03</v>
      </c>
      <c r="H39" s="2">
        <v>5417</v>
      </c>
      <c r="I39">
        <v>31.59</v>
      </c>
      <c r="J39" t="s">
        <v>39</v>
      </c>
      <c r="K39" t="s">
        <v>40</v>
      </c>
      <c r="L39" t="s">
        <v>41</v>
      </c>
      <c r="M39">
        <v>1</v>
      </c>
      <c r="N39" t="s">
        <v>41</v>
      </c>
    </row>
    <row r="40" spans="1:14" x14ac:dyDescent="0.2">
      <c r="A40" t="s">
        <v>147</v>
      </c>
      <c r="B40" t="s">
        <v>148</v>
      </c>
      <c r="C40" t="s">
        <v>37</v>
      </c>
      <c r="D40" t="s">
        <v>38</v>
      </c>
      <c r="E40" s="2">
        <v>163903.9</v>
      </c>
      <c r="F40">
        <v>0.27</v>
      </c>
      <c r="G40" s="2">
        <v>163903.9</v>
      </c>
      <c r="H40" s="2">
        <v>31826</v>
      </c>
      <c r="I40">
        <v>5.15</v>
      </c>
      <c r="J40" t="s">
        <v>39</v>
      </c>
      <c r="K40" t="s">
        <v>40</v>
      </c>
      <c r="L40" t="s">
        <v>41</v>
      </c>
      <c r="M40">
        <v>1</v>
      </c>
      <c r="N40" t="s">
        <v>41</v>
      </c>
    </row>
    <row r="41" spans="1:14" x14ac:dyDescent="0.2">
      <c r="A41" t="s">
        <v>149</v>
      </c>
      <c r="B41" t="s">
        <v>150</v>
      </c>
      <c r="C41" t="s">
        <v>86</v>
      </c>
      <c r="D41" t="s">
        <v>38</v>
      </c>
      <c r="E41" s="2">
        <v>160611.20000000001</v>
      </c>
      <c r="F41">
        <v>0.26</v>
      </c>
      <c r="G41" s="2">
        <v>160611.20000000001</v>
      </c>
      <c r="H41" s="2">
        <v>9470</v>
      </c>
      <c r="I41">
        <v>16.96</v>
      </c>
      <c r="J41" t="s">
        <v>39</v>
      </c>
      <c r="K41" t="s">
        <v>40</v>
      </c>
      <c r="L41" t="s">
        <v>41</v>
      </c>
      <c r="M41">
        <v>1</v>
      </c>
      <c r="N41" t="s">
        <v>41</v>
      </c>
    </row>
    <row r="42" spans="1:14" x14ac:dyDescent="0.2">
      <c r="A42" t="s">
        <v>151</v>
      </c>
      <c r="B42" t="s">
        <v>152</v>
      </c>
      <c r="C42" t="s">
        <v>64</v>
      </c>
      <c r="D42" t="s">
        <v>38</v>
      </c>
      <c r="E42" s="2">
        <v>160325.81</v>
      </c>
      <c r="F42">
        <v>0.26</v>
      </c>
      <c r="G42" s="2">
        <v>160325.81</v>
      </c>
      <c r="H42" s="2">
        <v>13283</v>
      </c>
      <c r="I42">
        <v>12.07</v>
      </c>
      <c r="J42" t="s">
        <v>39</v>
      </c>
      <c r="K42" t="s">
        <v>40</v>
      </c>
      <c r="L42" t="s">
        <v>41</v>
      </c>
      <c r="M42">
        <v>1</v>
      </c>
      <c r="N42" t="s">
        <v>41</v>
      </c>
    </row>
    <row r="43" spans="1:14" x14ac:dyDescent="0.2">
      <c r="A43" t="s">
        <v>153</v>
      </c>
      <c r="B43" t="s">
        <v>154</v>
      </c>
      <c r="C43" t="s">
        <v>48</v>
      </c>
      <c r="D43" t="s">
        <v>38</v>
      </c>
      <c r="E43" s="2">
        <v>158253.6</v>
      </c>
      <c r="F43">
        <v>0.26</v>
      </c>
      <c r="G43" s="2">
        <v>158253.6</v>
      </c>
      <c r="H43" s="2">
        <v>11320</v>
      </c>
      <c r="I43">
        <v>13.98</v>
      </c>
      <c r="J43" t="s">
        <v>39</v>
      </c>
      <c r="K43" t="s">
        <v>40</v>
      </c>
      <c r="L43" t="s">
        <v>41</v>
      </c>
      <c r="M43">
        <v>1</v>
      </c>
      <c r="N43" t="s">
        <v>41</v>
      </c>
    </row>
    <row r="44" spans="1:14" x14ac:dyDescent="0.2">
      <c r="A44" t="s">
        <v>155</v>
      </c>
      <c r="B44" t="s">
        <v>156</v>
      </c>
      <c r="C44" t="s">
        <v>48</v>
      </c>
      <c r="D44" t="s">
        <v>38</v>
      </c>
      <c r="E44" s="2">
        <v>153010</v>
      </c>
      <c r="F44">
        <v>0.25</v>
      </c>
      <c r="G44" s="2">
        <v>153010</v>
      </c>
      <c r="H44" s="2">
        <v>1177</v>
      </c>
      <c r="I44">
        <v>130</v>
      </c>
      <c r="J44" t="s">
        <v>39</v>
      </c>
      <c r="K44" t="s">
        <v>40</v>
      </c>
      <c r="L44" t="s">
        <v>41</v>
      </c>
      <c r="M44">
        <v>1</v>
      </c>
      <c r="N44" t="s">
        <v>41</v>
      </c>
    </row>
    <row r="45" spans="1:14" x14ac:dyDescent="0.2">
      <c r="A45" t="s">
        <v>157</v>
      </c>
      <c r="B45" t="s">
        <v>158</v>
      </c>
      <c r="C45" t="s">
        <v>56</v>
      </c>
      <c r="D45" t="s">
        <v>38</v>
      </c>
      <c r="E45" s="2">
        <v>148331.29999999999</v>
      </c>
      <c r="F45">
        <v>0.24</v>
      </c>
      <c r="G45" s="2">
        <v>148331.29999999999</v>
      </c>
      <c r="H45" s="2">
        <v>8710</v>
      </c>
      <c r="I45">
        <v>17.03</v>
      </c>
      <c r="J45" t="s">
        <v>39</v>
      </c>
      <c r="K45" t="s">
        <v>40</v>
      </c>
      <c r="L45" t="s">
        <v>41</v>
      </c>
      <c r="M45">
        <v>1</v>
      </c>
      <c r="N45" t="s">
        <v>41</v>
      </c>
    </row>
    <row r="46" spans="1:14" x14ac:dyDescent="0.2">
      <c r="A46" t="s">
        <v>159</v>
      </c>
      <c r="B46" t="s">
        <v>160</v>
      </c>
      <c r="C46" t="s">
        <v>48</v>
      </c>
      <c r="D46" t="s">
        <v>38</v>
      </c>
      <c r="E46" s="2">
        <v>141755.04</v>
      </c>
      <c r="F46">
        <v>0.23</v>
      </c>
      <c r="G46" s="2">
        <v>141755.04</v>
      </c>
      <c r="H46" s="2">
        <v>19208</v>
      </c>
      <c r="I46">
        <v>7.38</v>
      </c>
      <c r="J46" t="s">
        <v>39</v>
      </c>
      <c r="K46" t="s">
        <v>40</v>
      </c>
      <c r="L46" t="s">
        <v>41</v>
      </c>
      <c r="M46">
        <v>1</v>
      </c>
      <c r="N46" t="s">
        <v>41</v>
      </c>
    </row>
    <row r="47" spans="1:14" x14ac:dyDescent="0.2">
      <c r="A47" t="s">
        <v>161</v>
      </c>
      <c r="B47" t="s">
        <v>162</v>
      </c>
      <c r="C47" t="s">
        <v>86</v>
      </c>
      <c r="D47" t="s">
        <v>38</v>
      </c>
      <c r="E47" s="2">
        <v>128565.75</v>
      </c>
      <c r="F47">
        <v>0.21</v>
      </c>
      <c r="G47" s="2">
        <v>128565.75</v>
      </c>
      <c r="H47" s="2">
        <v>7585</v>
      </c>
      <c r="I47">
        <v>16.95</v>
      </c>
      <c r="J47" t="s">
        <v>39</v>
      </c>
      <c r="K47" t="s">
        <v>40</v>
      </c>
      <c r="L47" t="s">
        <v>41</v>
      </c>
      <c r="M47">
        <v>1</v>
      </c>
      <c r="N47" t="s">
        <v>41</v>
      </c>
    </row>
    <row r="48" spans="1:14" x14ac:dyDescent="0.2">
      <c r="A48" t="s">
        <v>163</v>
      </c>
      <c r="B48" t="s">
        <v>164</v>
      </c>
      <c r="C48" t="s">
        <v>43</v>
      </c>
      <c r="D48" t="s">
        <v>38</v>
      </c>
      <c r="E48" s="2">
        <v>127767.22</v>
      </c>
      <c r="F48">
        <v>0.21</v>
      </c>
      <c r="G48" s="2">
        <v>127767.22</v>
      </c>
      <c r="H48" s="2">
        <v>7882</v>
      </c>
      <c r="I48">
        <v>16.21</v>
      </c>
      <c r="J48" t="s">
        <v>39</v>
      </c>
      <c r="K48" t="s">
        <v>40</v>
      </c>
      <c r="L48" t="s">
        <v>41</v>
      </c>
      <c r="M48">
        <v>1</v>
      </c>
      <c r="N48" t="s">
        <v>41</v>
      </c>
    </row>
    <row r="49" spans="1:14" x14ac:dyDescent="0.2">
      <c r="A49" t="s">
        <v>165</v>
      </c>
      <c r="B49" t="s">
        <v>166</v>
      </c>
      <c r="C49" t="s">
        <v>37</v>
      </c>
      <c r="D49" t="s">
        <v>38</v>
      </c>
      <c r="E49" s="2">
        <v>120304.48</v>
      </c>
      <c r="F49">
        <v>0.2</v>
      </c>
      <c r="G49" s="2">
        <v>120304.48</v>
      </c>
      <c r="H49" s="2">
        <v>7256</v>
      </c>
      <c r="I49">
        <v>16.579999999999998</v>
      </c>
      <c r="J49" t="s">
        <v>39</v>
      </c>
      <c r="K49" t="s">
        <v>40</v>
      </c>
      <c r="L49" t="s">
        <v>41</v>
      </c>
      <c r="M49">
        <v>1</v>
      </c>
      <c r="N49" t="s">
        <v>41</v>
      </c>
    </row>
    <row r="50" spans="1:14" x14ac:dyDescent="0.2">
      <c r="A50" t="s">
        <v>167</v>
      </c>
      <c r="B50" t="s">
        <v>168</v>
      </c>
      <c r="C50" t="s">
        <v>51</v>
      </c>
      <c r="D50" t="s">
        <v>38</v>
      </c>
      <c r="E50" s="2">
        <v>113177.52</v>
      </c>
      <c r="F50">
        <v>0.19</v>
      </c>
      <c r="G50" s="2">
        <v>113177.52</v>
      </c>
      <c r="H50" s="2">
        <v>5436</v>
      </c>
      <c r="I50">
        <v>20.82</v>
      </c>
      <c r="J50" t="s">
        <v>39</v>
      </c>
      <c r="K50" t="s">
        <v>40</v>
      </c>
      <c r="L50" t="s">
        <v>41</v>
      </c>
      <c r="M50">
        <v>1</v>
      </c>
      <c r="N50" t="s">
        <v>41</v>
      </c>
    </row>
    <row r="51" spans="1:14" x14ac:dyDescent="0.2">
      <c r="A51" t="s">
        <v>169</v>
      </c>
      <c r="B51" t="s">
        <v>170</v>
      </c>
      <c r="C51" t="s">
        <v>86</v>
      </c>
      <c r="D51" t="s">
        <v>38</v>
      </c>
      <c r="E51" s="2">
        <v>107316.24</v>
      </c>
      <c r="F51">
        <v>0.18</v>
      </c>
      <c r="G51" s="2">
        <v>107316.24</v>
      </c>
      <c r="H51" s="2">
        <v>3628</v>
      </c>
      <c r="I51">
        <v>29.58</v>
      </c>
      <c r="J51" t="s">
        <v>39</v>
      </c>
      <c r="K51" t="s">
        <v>40</v>
      </c>
      <c r="L51" t="s">
        <v>41</v>
      </c>
      <c r="M51">
        <v>1</v>
      </c>
      <c r="N51" t="s">
        <v>41</v>
      </c>
    </row>
    <row r="52" spans="1:14" x14ac:dyDescent="0.2">
      <c r="A52" t="s">
        <v>171</v>
      </c>
      <c r="B52" t="s">
        <v>172</v>
      </c>
      <c r="C52" t="s">
        <v>124</v>
      </c>
      <c r="D52" t="s">
        <v>38</v>
      </c>
      <c r="E52" s="2">
        <v>105744.21</v>
      </c>
      <c r="F52">
        <v>0.17</v>
      </c>
      <c r="G52" s="2">
        <v>105744.21</v>
      </c>
      <c r="H52" s="2">
        <v>6123</v>
      </c>
      <c r="I52">
        <v>17.27</v>
      </c>
      <c r="J52" t="s">
        <v>39</v>
      </c>
      <c r="K52" t="s">
        <v>40</v>
      </c>
      <c r="L52" t="s">
        <v>41</v>
      </c>
      <c r="M52">
        <v>1</v>
      </c>
      <c r="N52" t="s">
        <v>41</v>
      </c>
    </row>
    <row r="53" spans="1:14" x14ac:dyDescent="0.2">
      <c r="A53" t="s">
        <v>173</v>
      </c>
      <c r="B53" t="s">
        <v>174</v>
      </c>
      <c r="C53" t="s">
        <v>45</v>
      </c>
      <c r="D53" t="s">
        <v>38</v>
      </c>
      <c r="E53" s="2">
        <v>98950.95</v>
      </c>
      <c r="F53">
        <v>0.16</v>
      </c>
      <c r="G53" s="2">
        <v>98950.95</v>
      </c>
      <c r="H53" s="2">
        <v>2331</v>
      </c>
      <c r="I53">
        <v>42.45</v>
      </c>
      <c r="J53" t="s">
        <v>39</v>
      </c>
      <c r="K53" t="s">
        <v>40</v>
      </c>
      <c r="L53" t="s">
        <v>41</v>
      </c>
      <c r="M53">
        <v>1</v>
      </c>
      <c r="N53" t="s">
        <v>41</v>
      </c>
    </row>
    <row r="54" spans="1:14" x14ac:dyDescent="0.2">
      <c r="A54" t="s">
        <v>175</v>
      </c>
      <c r="B54" t="s">
        <v>176</v>
      </c>
      <c r="C54" t="s">
        <v>56</v>
      </c>
      <c r="D54" t="s">
        <v>38</v>
      </c>
      <c r="E54" s="2">
        <v>97037.5</v>
      </c>
      <c r="F54">
        <v>0.16</v>
      </c>
      <c r="G54" s="2">
        <v>97037.5</v>
      </c>
      <c r="H54" s="2">
        <v>5545</v>
      </c>
      <c r="I54">
        <v>17.5</v>
      </c>
      <c r="J54" t="s">
        <v>39</v>
      </c>
      <c r="K54" t="s">
        <v>40</v>
      </c>
      <c r="L54" t="s">
        <v>41</v>
      </c>
      <c r="M54">
        <v>1</v>
      </c>
      <c r="N54" t="s">
        <v>41</v>
      </c>
    </row>
    <row r="55" spans="1:14" x14ac:dyDescent="0.2">
      <c r="A55" t="s">
        <v>177</v>
      </c>
      <c r="B55" t="s">
        <v>178</v>
      </c>
      <c r="C55" t="s">
        <v>56</v>
      </c>
      <c r="D55" t="s">
        <v>38</v>
      </c>
      <c r="E55" s="2">
        <v>95110.14</v>
      </c>
      <c r="F55">
        <v>0.16</v>
      </c>
      <c r="G55" s="2">
        <v>95110.14</v>
      </c>
      <c r="H55" s="2">
        <v>4089</v>
      </c>
      <c r="I55">
        <v>23.26</v>
      </c>
      <c r="J55" t="s">
        <v>39</v>
      </c>
      <c r="K55" t="s">
        <v>40</v>
      </c>
      <c r="L55" t="s">
        <v>41</v>
      </c>
      <c r="M55">
        <v>1</v>
      </c>
      <c r="N55" t="s">
        <v>41</v>
      </c>
    </row>
    <row r="56" spans="1:14" x14ac:dyDescent="0.2">
      <c r="A56" t="s">
        <v>179</v>
      </c>
      <c r="B56" t="s">
        <v>180</v>
      </c>
      <c r="C56" t="s">
        <v>37</v>
      </c>
      <c r="D56" t="s">
        <v>38</v>
      </c>
      <c r="E56" s="2">
        <v>88239.6</v>
      </c>
      <c r="F56">
        <v>0.15</v>
      </c>
      <c r="G56" s="2">
        <v>88239.6</v>
      </c>
      <c r="H56" s="2">
        <v>7620</v>
      </c>
      <c r="I56">
        <v>11.58</v>
      </c>
      <c r="J56" t="s">
        <v>39</v>
      </c>
      <c r="K56" t="s">
        <v>40</v>
      </c>
      <c r="L56" t="s">
        <v>41</v>
      </c>
      <c r="M56">
        <v>1</v>
      </c>
      <c r="N56" t="s">
        <v>41</v>
      </c>
    </row>
    <row r="57" spans="1:14" x14ac:dyDescent="0.2">
      <c r="A57" t="s">
        <v>181</v>
      </c>
      <c r="B57" t="s">
        <v>182</v>
      </c>
      <c r="C57" t="s">
        <v>56</v>
      </c>
      <c r="D57" t="s">
        <v>38</v>
      </c>
      <c r="E57" s="2">
        <v>87466.32</v>
      </c>
      <c r="F57">
        <v>0.14000000000000001</v>
      </c>
      <c r="G57" s="2">
        <v>87466.32</v>
      </c>
      <c r="H57" s="2">
        <v>13688</v>
      </c>
      <c r="I57">
        <v>6.39</v>
      </c>
      <c r="J57" t="s">
        <v>39</v>
      </c>
      <c r="K57" t="s">
        <v>40</v>
      </c>
      <c r="L57" t="s">
        <v>41</v>
      </c>
      <c r="M57">
        <v>1</v>
      </c>
      <c r="N57" t="s">
        <v>41</v>
      </c>
    </row>
    <row r="58" spans="1:14" x14ac:dyDescent="0.2">
      <c r="A58" t="s">
        <v>183</v>
      </c>
      <c r="B58" t="s">
        <v>184</v>
      </c>
      <c r="C58" t="s">
        <v>86</v>
      </c>
      <c r="D58" t="s">
        <v>38</v>
      </c>
      <c r="E58" s="2">
        <v>83337.8</v>
      </c>
      <c r="F58">
        <v>0.14000000000000001</v>
      </c>
      <c r="G58" s="2">
        <v>83337.8</v>
      </c>
      <c r="H58" s="2">
        <v>3133</v>
      </c>
      <c r="I58">
        <v>26.6</v>
      </c>
      <c r="J58" t="s">
        <v>39</v>
      </c>
      <c r="K58" t="s">
        <v>40</v>
      </c>
      <c r="L58" t="s">
        <v>41</v>
      </c>
      <c r="M58">
        <v>1</v>
      </c>
      <c r="N58" t="s">
        <v>41</v>
      </c>
    </row>
    <row r="59" spans="1:14" x14ac:dyDescent="0.2">
      <c r="A59" t="s">
        <v>185</v>
      </c>
      <c r="B59" t="s">
        <v>186</v>
      </c>
      <c r="C59" t="s">
        <v>56</v>
      </c>
      <c r="D59" t="s">
        <v>38</v>
      </c>
      <c r="E59" s="2">
        <v>82199.34</v>
      </c>
      <c r="F59">
        <v>0.14000000000000001</v>
      </c>
      <c r="G59" s="2">
        <v>82199.34</v>
      </c>
      <c r="H59" s="2">
        <v>15138</v>
      </c>
      <c r="I59">
        <v>5.43</v>
      </c>
      <c r="J59" t="s">
        <v>39</v>
      </c>
      <c r="K59" t="s">
        <v>40</v>
      </c>
      <c r="L59" t="s">
        <v>41</v>
      </c>
      <c r="M59">
        <v>1</v>
      </c>
      <c r="N59" t="s">
        <v>41</v>
      </c>
    </row>
    <row r="60" spans="1:14" x14ac:dyDescent="0.2">
      <c r="A60" t="s">
        <v>187</v>
      </c>
      <c r="B60" t="s">
        <v>188</v>
      </c>
      <c r="C60" t="s">
        <v>37</v>
      </c>
      <c r="D60" t="s">
        <v>38</v>
      </c>
      <c r="E60" s="2">
        <v>79262.679999999993</v>
      </c>
      <c r="F60">
        <v>0.13</v>
      </c>
      <c r="G60" s="2">
        <v>79262.679999999993</v>
      </c>
      <c r="H60" s="2">
        <v>14899</v>
      </c>
      <c r="I60">
        <v>5.32</v>
      </c>
      <c r="J60" t="s">
        <v>39</v>
      </c>
      <c r="K60" t="s">
        <v>40</v>
      </c>
      <c r="L60" t="s">
        <v>41</v>
      </c>
      <c r="M60">
        <v>1</v>
      </c>
      <c r="N60" t="s">
        <v>41</v>
      </c>
    </row>
    <row r="61" spans="1:14" x14ac:dyDescent="0.2">
      <c r="A61" t="s">
        <v>189</v>
      </c>
      <c r="B61" t="s">
        <v>190</v>
      </c>
      <c r="C61" t="s">
        <v>86</v>
      </c>
      <c r="D61" t="s">
        <v>38</v>
      </c>
      <c r="E61" s="2">
        <v>74433.600000000006</v>
      </c>
      <c r="F61">
        <v>0.12</v>
      </c>
      <c r="G61" s="2">
        <v>74433.600000000006</v>
      </c>
      <c r="H61" s="2">
        <v>34460</v>
      </c>
      <c r="I61">
        <v>2.16</v>
      </c>
      <c r="J61" t="s">
        <v>39</v>
      </c>
      <c r="K61" t="s">
        <v>40</v>
      </c>
      <c r="L61" t="s">
        <v>41</v>
      </c>
      <c r="M61">
        <v>1</v>
      </c>
      <c r="N61" t="s">
        <v>41</v>
      </c>
    </row>
    <row r="62" spans="1:14" x14ac:dyDescent="0.2">
      <c r="A62" t="s">
        <v>191</v>
      </c>
      <c r="B62" t="s">
        <v>192</v>
      </c>
      <c r="C62" t="s">
        <v>51</v>
      </c>
      <c r="D62" t="s">
        <v>38</v>
      </c>
      <c r="E62" s="2">
        <v>73387.360000000001</v>
      </c>
      <c r="F62">
        <v>0.12</v>
      </c>
      <c r="G62" s="2">
        <v>73387.360000000001</v>
      </c>
      <c r="H62" s="2">
        <v>8368</v>
      </c>
      <c r="I62">
        <v>8.77</v>
      </c>
      <c r="J62" t="s">
        <v>39</v>
      </c>
      <c r="K62" t="s">
        <v>40</v>
      </c>
      <c r="L62" t="s">
        <v>41</v>
      </c>
      <c r="M62">
        <v>1</v>
      </c>
      <c r="N62" t="s">
        <v>41</v>
      </c>
    </row>
    <row r="63" spans="1:14" x14ac:dyDescent="0.2">
      <c r="A63" t="s">
        <v>193</v>
      </c>
      <c r="B63" t="s">
        <v>194</v>
      </c>
      <c r="C63" t="s">
        <v>86</v>
      </c>
      <c r="D63" t="s">
        <v>38</v>
      </c>
      <c r="E63" s="2">
        <v>72008.100000000006</v>
      </c>
      <c r="F63">
        <v>0.12</v>
      </c>
      <c r="G63" s="2">
        <v>72008.100000000006</v>
      </c>
      <c r="H63" s="2">
        <v>8422</v>
      </c>
      <c r="I63">
        <v>8.5500000000000007</v>
      </c>
      <c r="J63" t="s">
        <v>39</v>
      </c>
      <c r="K63" t="s">
        <v>40</v>
      </c>
      <c r="L63" t="s">
        <v>41</v>
      </c>
      <c r="M63">
        <v>1</v>
      </c>
      <c r="N63" t="s">
        <v>41</v>
      </c>
    </row>
    <row r="64" spans="1:14" x14ac:dyDescent="0.2">
      <c r="A64" t="s">
        <v>195</v>
      </c>
      <c r="B64" t="s">
        <v>196</v>
      </c>
      <c r="C64" t="s">
        <v>86</v>
      </c>
      <c r="D64" t="s">
        <v>38</v>
      </c>
      <c r="E64" s="2">
        <v>68915</v>
      </c>
      <c r="F64">
        <v>0.11</v>
      </c>
      <c r="G64" s="2">
        <v>68915</v>
      </c>
      <c r="H64" s="2">
        <v>3580</v>
      </c>
      <c r="I64">
        <v>19.25</v>
      </c>
      <c r="J64" t="s">
        <v>39</v>
      </c>
      <c r="K64" t="s">
        <v>40</v>
      </c>
      <c r="L64" t="s">
        <v>41</v>
      </c>
      <c r="M64">
        <v>1</v>
      </c>
      <c r="N64" t="s">
        <v>41</v>
      </c>
    </row>
    <row r="65" spans="1:14" x14ac:dyDescent="0.2">
      <c r="A65" t="s">
        <v>197</v>
      </c>
      <c r="B65" t="s">
        <v>198</v>
      </c>
      <c r="C65" t="s">
        <v>86</v>
      </c>
      <c r="D65" t="s">
        <v>38</v>
      </c>
      <c r="E65" s="2">
        <v>66627.360000000001</v>
      </c>
      <c r="F65">
        <v>0.11</v>
      </c>
      <c r="G65" s="2">
        <v>66627.360000000001</v>
      </c>
      <c r="H65" s="2">
        <v>3816</v>
      </c>
      <c r="I65">
        <v>17.46</v>
      </c>
      <c r="J65" t="s">
        <v>39</v>
      </c>
      <c r="K65" t="s">
        <v>40</v>
      </c>
      <c r="L65" t="s">
        <v>41</v>
      </c>
      <c r="M65">
        <v>1</v>
      </c>
      <c r="N65" t="s">
        <v>41</v>
      </c>
    </row>
    <row r="66" spans="1:14" x14ac:dyDescent="0.2">
      <c r="A66" t="s">
        <v>199</v>
      </c>
      <c r="B66" t="s">
        <v>200</v>
      </c>
      <c r="C66" t="s">
        <v>48</v>
      </c>
      <c r="D66" t="s">
        <v>38</v>
      </c>
      <c r="E66" s="2">
        <v>66067.75</v>
      </c>
      <c r="F66">
        <v>0.11</v>
      </c>
      <c r="G66" s="2">
        <v>66067.75</v>
      </c>
      <c r="H66" s="2">
        <v>13909</v>
      </c>
      <c r="I66">
        <v>4.75</v>
      </c>
      <c r="J66" t="s">
        <v>39</v>
      </c>
      <c r="K66" t="s">
        <v>40</v>
      </c>
      <c r="L66" t="s">
        <v>41</v>
      </c>
      <c r="M66">
        <v>1</v>
      </c>
      <c r="N66" t="s">
        <v>41</v>
      </c>
    </row>
    <row r="67" spans="1:14" x14ac:dyDescent="0.2">
      <c r="A67" t="s">
        <v>201</v>
      </c>
      <c r="B67" t="s">
        <v>202</v>
      </c>
      <c r="C67" t="s">
        <v>86</v>
      </c>
      <c r="D67" t="s">
        <v>38</v>
      </c>
      <c r="E67" s="2">
        <v>65897</v>
      </c>
      <c r="F67">
        <v>0.11</v>
      </c>
      <c r="G67" s="2">
        <v>65897</v>
      </c>
      <c r="H67" s="2">
        <v>10138</v>
      </c>
      <c r="I67">
        <v>6.5</v>
      </c>
      <c r="J67" t="s">
        <v>39</v>
      </c>
      <c r="K67" t="s">
        <v>40</v>
      </c>
      <c r="L67" t="s">
        <v>41</v>
      </c>
      <c r="M67">
        <v>1</v>
      </c>
      <c r="N67" t="s">
        <v>41</v>
      </c>
    </row>
    <row r="68" spans="1:14" x14ac:dyDescent="0.2">
      <c r="A68" t="s">
        <v>203</v>
      </c>
      <c r="B68" t="s">
        <v>204</v>
      </c>
      <c r="C68" t="s">
        <v>86</v>
      </c>
      <c r="D68" t="s">
        <v>38</v>
      </c>
      <c r="E68" s="2">
        <v>59471.49</v>
      </c>
      <c r="F68">
        <v>0.1</v>
      </c>
      <c r="G68" s="2">
        <v>59471.49</v>
      </c>
      <c r="H68" s="2">
        <v>54561</v>
      </c>
      <c r="I68">
        <v>1.0900000000000001</v>
      </c>
      <c r="J68" t="s">
        <v>39</v>
      </c>
      <c r="K68" t="s">
        <v>40</v>
      </c>
      <c r="L68" t="s">
        <v>41</v>
      </c>
      <c r="M68">
        <v>1</v>
      </c>
      <c r="N68" t="s">
        <v>41</v>
      </c>
    </row>
    <row r="69" spans="1:14" x14ac:dyDescent="0.2">
      <c r="A69" t="s">
        <v>205</v>
      </c>
      <c r="B69" t="s">
        <v>206</v>
      </c>
      <c r="C69" t="s">
        <v>86</v>
      </c>
      <c r="D69" t="s">
        <v>38</v>
      </c>
      <c r="E69" s="2">
        <v>57772.800000000003</v>
      </c>
      <c r="F69">
        <v>0.1</v>
      </c>
      <c r="G69" s="2">
        <v>57772.800000000003</v>
      </c>
      <c r="H69" s="2">
        <v>10880</v>
      </c>
      <c r="I69">
        <v>5.31</v>
      </c>
      <c r="J69" t="s">
        <v>39</v>
      </c>
      <c r="K69" t="s">
        <v>40</v>
      </c>
      <c r="L69" t="s">
        <v>41</v>
      </c>
      <c r="M69">
        <v>1</v>
      </c>
      <c r="N69" t="s">
        <v>41</v>
      </c>
    </row>
    <row r="70" spans="1:14" x14ac:dyDescent="0.2">
      <c r="A70" t="s">
        <v>207</v>
      </c>
      <c r="B70" t="s">
        <v>208</v>
      </c>
      <c r="C70" t="s">
        <v>37</v>
      </c>
      <c r="D70" t="s">
        <v>38</v>
      </c>
      <c r="E70" s="2">
        <v>51536.12</v>
      </c>
      <c r="F70">
        <v>0.08</v>
      </c>
      <c r="G70" s="2">
        <v>51536.12</v>
      </c>
      <c r="H70" s="2">
        <v>8647</v>
      </c>
      <c r="I70">
        <v>5.96</v>
      </c>
      <c r="J70" t="s">
        <v>39</v>
      </c>
      <c r="K70" t="s">
        <v>40</v>
      </c>
      <c r="L70" t="s">
        <v>41</v>
      </c>
      <c r="M70">
        <v>1</v>
      </c>
      <c r="N70" t="s">
        <v>41</v>
      </c>
    </row>
    <row r="71" spans="1:14" x14ac:dyDescent="0.2">
      <c r="A71" t="s">
        <v>209</v>
      </c>
      <c r="B71" t="s">
        <v>210</v>
      </c>
      <c r="C71" t="s">
        <v>86</v>
      </c>
      <c r="D71" t="s">
        <v>38</v>
      </c>
      <c r="E71" s="2">
        <v>43166.8</v>
      </c>
      <c r="F71">
        <v>7.0000000000000007E-2</v>
      </c>
      <c r="G71" s="2">
        <v>43166.8</v>
      </c>
      <c r="H71" s="2">
        <v>3470</v>
      </c>
      <c r="I71">
        <v>12.44</v>
      </c>
      <c r="J71" t="s">
        <v>39</v>
      </c>
      <c r="K71" t="s">
        <v>40</v>
      </c>
      <c r="L71" t="s">
        <v>41</v>
      </c>
      <c r="M71">
        <v>1</v>
      </c>
      <c r="N71" t="s">
        <v>41</v>
      </c>
    </row>
    <row r="72" spans="1:14" x14ac:dyDescent="0.2">
      <c r="A72" t="s">
        <v>211</v>
      </c>
      <c r="B72" t="s">
        <v>212</v>
      </c>
      <c r="C72" t="s">
        <v>48</v>
      </c>
      <c r="D72" t="s">
        <v>38</v>
      </c>
      <c r="E72" s="2">
        <v>39847.519999999997</v>
      </c>
      <c r="F72">
        <v>7.0000000000000007E-2</v>
      </c>
      <c r="G72" s="2">
        <v>39847.519999999997</v>
      </c>
      <c r="H72" s="2">
        <v>9398</v>
      </c>
      <c r="I72">
        <v>4.24</v>
      </c>
      <c r="J72" t="s">
        <v>39</v>
      </c>
      <c r="K72" t="s">
        <v>40</v>
      </c>
      <c r="L72" t="s">
        <v>41</v>
      </c>
      <c r="M72">
        <v>1</v>
      </c>
      <c r="N72" t="s">
        <v>41</v>
      </c>
    </row>
    <row r="73" spans="1:14" x14ac:dyDescent="0.2">
      <c r="A73" t="s">
        <v>213</v>
      </c>
      <c r="B73" t="s">
        <v>214</v>
      </c>
      <c r="C73" t="s">
        <v>97</v>
      </c>
      <c r="D73" t="s">
        <v>38</v>
      </c>
      <c r="E73" s="2">
        <v>39591</v>
      </c>
      <c r="F73">
        <v>7.0000000000000007E-2</v>
      </c>
      <c r="G73" s="2">
        <v>39591</v>
      </c>
      <c r="H73" s="2">
        <v>11925</v>
      </c>
      <c r="I73">
        <v>3.32</v>
      </c>
      <c r="J73" t="s">
        <v>39</v>
      </c>
      <c r="K73" t="s">
        <v>40</v>
      </c>
      <c r="L73" t="s">
        <v>41</v>
      </c>
      <c r="M73">
        <v>1</v>
      </c>
      <c r="N73" t="s">
        <v>41</v>
      </c>
    </row>
    <row r="74" spans="1:14" x14ac:dyDescent="0.2">
      <c r="A74" t="s">
        <v>215</v>
      </c>
      <c r="B74" t="s">
        <v>216</v>
      </c>
      <c r="C74" t="s">
        <v>56</v>
      </c>
      <c r="D74" t="s">
        <v>38</v>
      </c>
      <c r="E74" s="2">
        <v>37844.15</v>
      </c>
      <c r="F74">
        <v>0.06</v>
      </c>
      <c r="G74" s="2">
        <v>37844.15</v>
      </c>
      <c r="H74" s="2">
        <v>7435</v>
      </c>
      <c r="I74">
        <v>5.09</v>
      </c>
      <c r="J74" t="s">
        <v>39</v>
      </c>
      <c r="K74" t="s">
        <v>40</v>
      </c>
      <c r="L74" t="s">
        <v>41</v>
      </c>
      <c r="M74">
        <v>1</v>
      </c>
      <c r="N74" t="s">
        <v>41</v>
      </c>
    </row>
    <row r="75" spans="1:14" x14ac:dyDescent="0.2">
      <c r="A75" t="s">
        <v>217</v>
      </c>
      <c r="B75" t="s">
        <v>218</v>
      </c>
      <c r="C75" t="s">
        <v>86</v>
      </c>
      <c r="D75" t="s">
        <v>38</v>
      </c>
      <c r="E75" s="2">
        <v>35934.03</v>
      </c>
      <c r="F75">
        <v>0.06</v>
      </c>
      <c r="G75" s="2">
        <v>35934.03</v>
      </c>
      <c r="H75" s="2">
        <v>8829</v>
      </c>
      <c r="I75">
        <v>4.07</v>
      </c>
      <c r="J75" t="s">
        <v>39</v>
      </c>
      <c r="K75" t="s">
        <v>40</v>
      </c>
      <c r="L75" t="s">
        <v>41</v>
      </c>
      <c r="M75">
        <v>1</v>
      </c>
      <c r="N75" t="s">
        <v>41</v>
      </c>
    </row>
    <row r="76" spans="1:14" x14ac:dyDescent="0.2">
      <c r="A76" t="s">
        <v>219</v>
      </c>
      <c r="B76" t="s">
        <v>220</v>
      </c>
      <c r="C76" t="s">
        <v>48</v>
      </c>
      <c r="D76" t="s">
        <v>38</v>
      </c>
      <c r="E76" s="2">
        <v>32953.86</v>
      </c>
      <c r="F76">
        <v>0.05</v>
      </c>
      <c r="G76" s="2">
        <v>32953.86</v>
      </c>
      <c r="H76" s="2">
        <v>9309</v>
      </c>
      <c r="I76">
        <v>3.54</v>
      </c>
      <c r="J76" t="s">
        <v>39</v>
      </c>
      <c r="K76" t="s">
        <v>40</v>
      </c>
      <c r="L76" t="s">
        <v>41</v>
      </c>
      <c r="M76">
        <v>1</v>
      </c>
      <c r="N76" t="s">
        <v>41</v>
      </c>
    </row>
    <row r="77" spans="1:14" x14ac:dyDescent="0.2">
      <c r="A77" t="s">
        <v>221</v>
      </c>
      <c r="B77" t="s">
        <v>222</v>
      </c>
      <c r="C77" t="s">
        <v>86</v>
      </c>
      <c r="D77" t="s">
        <v>38</v>
      </c>
      <c r="E77" s="2">
        <v>31265.759999999998</v>
      </c>
      <c r="F77">
        <v>0.05</v>
      </c>
      <c r="G77" s="2">
        <v>31265.759999999998</v>
      </c>
      <c r="H77" s="2">
        <v>4916</v>
      </c>
      <c r="I77">
        <v>6.36</v>
      </c>
      <c r="J77" t="s">
        <v>39</v>
      </c>
      <c r="K77" t="s">
        <v>40</v>
      </c>
      <c r="L77" t="s">
        <v>41</v>
      </c>
      <c r="M77">
        <v>1</v>
      </c>
      <c r="N77" t="s">
        <v>41</v>
      </c>
    </row>
    <row r="78" spans="1:14" x14ac:dyDescent="0.2">
      <c r="A78" t="s">
        <v>223</v>
      </c>
      <c r="B78" t="s">
        <v>224</v>
      </c>
      <c r="C78" t="s">
        <v>86</v>
      </c>
      <c r="D78" t="s">
        <v>38</v>
      </c>
      <c r="E78" s="2">
        <v>29739.18</v>
      </c>
      <c r="F78">
        <v>0.05</v>
      </c>
      <c r="G78" s="2">
        <v>29739.18</v>
      </c>
      <c r="H78" s="2">
        <v>2746</v>
      </c>
      <c r="I78">
        <v>10.83</v>
      </c>
      <c r="J78" t="s">
        <v>39</v>
      </c>
      <c r="K78" t="s">
        <v>40</v>
      </c>
      <c r="L78" t="s">
        <v>41</v>
      </c>
      <c r="M78">
        <v>1</v>
      </c>
      <c r="N78" t="s">
        <v>41</v>
      </c>
    </row>
    <row r="79" spans="1:14" x14ac:dyDescent="0.2">
      <c r="A79" t="s">
        <v>225</v>
      </c>
      <c r="B79" t="s">
        <v>226</v>
      </c>
      <c r="C79" t="s">
        <v>56</v>
      </c>
      <c r="D79" t="s">
        <v>38</v>
      </c>
      <c r="E79" s="2">
        <v>26950.95</v>
      </c>
      <c r="F79">
        <v>0.04</v>
      </c>
      <c r="G79" s="2">
        <v>26950.95</v>
      </c>
      <c r="H79" s="2">
        <v>10569</v>
      </c>
      <c r="I79">
        <v>2.5499999999999998</v>
      </c>
      <c r="J79" t="s">
        <v>39</v>
      </c>
      <c r="K79" t="s">
        <v>40</v>
      </c>
      <c r="L79" t="s">
        <v>41</v>
      </c>
      <c r="M79">
        <v>1</v>
      </c>
      <c r="N79" t="s">
        <v>41</v>
      </c>
    </row>
    <row r="80" spans="1:14" x14ac:dyDescent="0.2">
      <c r="A80" t="s">
        <v>227</v>
      </c>
      <c r="B80" t="s">
        <v>228</v>
      </c>
      <c r="C80" t="s">
        <v>86</v>
      </c>
      <c r="D80" t="s">
        <v>38</v>
      </c>
      <c r="E80" s="2">
        <v>20960.82</v>
      </c>
      <c r="F80">
        <v>0.03</v>
      </c>
      <c r="G80" s="2">
        <v>20960.82</v>
      </c>
      <c r="H80" s="2">
        <v>15189</v>
      </c>
      <c r="I80">
        <v>1.38</v>
      </c>
      <c r="J80" t="s">
        <v>39</v>
      </c>
      <c r="K80" t="s">
        <v>40</v>
      </c>
      <c r="L80" t="s">
        <v>41</v>
      </c>
      <c r="M80">
        <v>1</v>
      </c>
      <c r="N80" t="s">
        <v>41</v>
      </c>
    </row>
    <row r="81" spans="1:14" x14ac:dyDescent="0.2">
      <c r="A81" t="s">
        <v>229</v>
      </c>
      <c r="B81" t="s">
        <v>230</v>
      </c>
      <c r="C81" t="s">
        <v>48</v>
      </c>
      <c r="D81" t="s">
        <v>38</v>
      </c>
      <c r="E81" s="2">
        <v>12297.96</v>
      </c>
      <c r="F81">
        <v>0.02</v>
      </c>
      <c r="G81" s="2">
        <v>12297.96</v>
      </c>
      <c r="H81" s="2">
        <v>3474</v>
      </c>
      <c r="I81">
        <v>3.54</v>
      </c>
      <c r="J81" t="s">
        <v>39</v>
      </c>
      <c r="K81" t="s">
        <v>40</v>
      </c>
      <c r="L81" t="s">
        <v>41</v>
      </c>
      <c r="M81">
        <v>1</v>
      </c>
      <c r="N81" t="s">
        <v>41</v>
      </c>
    </row>
    <row r="82" spans="1:14" x14ac:dyDescent="0.2">
      <c r="A82" t="s">
        <v>231</v>
      </c>
      <c r="B82" t="s">
        <v>232</v>
      </c>
      <c r="C82" t="s">
        <v>45</v>
      </c>
      <c r="D82" t="s">
        <v>38</v>
      </c>
      <c r="E82" s="2">
        <v>5444.76</v>
      </c>
      <c r="F82">
        <v>0.01</v>
      </c>
      <c r="G82" s="2">
        <v>5444.76</v>
      </c>
      <c r="H82" s="2">
        <v>16014</v>
      </c>
      <c r="I82">
        <v>0.34</v>
      </c>
      <c r="J82" t="s">
        <v>39</v>
      </c>
      <c r="K82" t="s">
        <v>40</v>
      </c>
      <c r="L82" t="s">
        <v>41</v>
      </c>
      <c r="M82">
        <v>1</v>
      </c>
      <c r="N82" t="s">
        <v>41</v>
      </c>
    </row>
    <row r="83" spans="1:14" x14ac:dyDescent="0.2">
      <c r="A83" t="s">
        <v>233</v>
      </c>
      <c r="B83" t="s">
        <v>150</v>
      </c>
      <c r="C83" t="s">
        <v>86</v>
      </c>
      <c r="D83" t="s">
        <v>38</v>
      </c>
      <c r="E83">
        <v>147.06</v>
      </c>
      <c r="F83">
        <v>0</v>
      </c>
      <c r="G83">
        <v>147.06</v>
      </c>
      <c r="H83">
        <v>171</v>
      </c>
      <c r="I83">
        <v>0.86</v>
      </c>
      <c r="J83" t="s">
        <v>39</v>
      </c>
      <c r="K83" t="s">
        <v>40</v>
      </c>
      <c r="L83" t="s">
        <v>41</v>
      </c>
      <c r="M83">
        <v>1</v>
      </c>
      <c r="N83" t="s">
        <v>41</v>
      </c>
    </row>
    <row r="84" spans="1:14" x14ac:dyDescent="0.2">
      <c r="A84" t="s">
        <v>234</v>
      </c>
      <c r="B84" t="s">
        <v>235</v>
      </c>
      <c r="C84" t="s">
        <v>37</v>
      </c>
      <c r="D84" t="s">
        <v>38</v>
      </c>
      <c r="E84">
        <v>4.59</v>
      </c>
      <c r="F84">
        <v>0</v>
      </c>
      <c r="G84">
        <v>4.59</v>
      </c>
      <c r="H84">
        <v>1</v>
      </c>
      <c r="I84">
        <v>4.59</v>
      </c>
      <c r="J84" t="s">
        <v>39</v>
      </c>
      <c r="K84" t="s">
        <v>40</v>
      </c>
      <c r="L84" t="s">
        <v>41</v>
      </c>
      <c r="M84">
        <v>1</v>
      </c>
      <c r="N84" t="s">
        <v>41</v>
      </c>
    </row>
  </sheetData>
  <autoFilter ref="A1:O1" xr:uid="{9661EC22-F151-1F4B-BECA-6B865FEE785F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9931-434B-DC4B-8983-2B506DCABBD5}">
  <dimension ref="A1:V750"/>
  <sheetViews>
    <sheetView showGridLines="0" workbookViewId="0">
      <selection sqref="A1:V1"/>
    </sheetView>
  </sheetViews>
  <sheetFormatPr baseColWidth="10" defaultRowHeight="16" x14ac:dyDescent="0.2"/>
  <cols>
    <col min="3" max="4" width="12.6640625" bestFit="1" customWidth="1"/>
  </cols>
  <sheetData>
    <row r="1" spans="1:22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67</v>
      </c>
      <c r="P1" t="s">
        <v>69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2">
      <c r="A2" s="4">
        <v>44564</v>
      </c>
      <c r="B2" s="3">
        <v>87.36</v>
      </c>
      <c r="C2">
        <v>57.05</v>
      </c>
      <c r="D2">
        <v>10.7</v>
      </c>
      <c r="E2">
        <v>15.97</v>
      </c>
      <c r="F2">
        <v>12.62</v>
      </c>
      <c r="G2">
        <v>29.98</v>
      </c>
      <c r="H2">
        <v>10.61</v>
      </c>
      <c r="I2">
        <v>28.88</v>
      </c>
      <c r="J2">
        <v>39.950000000000003</v>
      </c>
      <c r="K2">
        <v>14.09</v>
      </c>
      <c r="L2">
        <v>9.6300000000000008</v>
      </c>
      <c r="M2">
        <v>12.99</v>
      </c>
      <c r="N2">
        <v>5.75</v>
      </c>
      <c r="O2">
        <v>36.35</v>
      </c>
      <c r="P2">
        <v>25.21</v>
      </c>
      <c r="Q2">
        <v>53.61</v>
      </c>
      <c r="R2">
        <v>18.48</v>
      </c>
      <c r="S2">
        <v>22.07</v>
      </c>
      <c r="T2">
        <v>20.260000000000002</v>
      </c>
      <c r="U2">
        <v>45.65</v>
      </c>
      <c r="V2" s="6">
        <v>41.52</v>
      </c>
    </row>
    <row r="3" spans="1:22" x14ac:dyDescent="0.2">
      <c r="A3" s="4">
        <v>44565</v>
      </c>
      <c r="B3" s="3">
        <v>86.7</v>
      </c>
      <c r="C3">
        <v>56.37</v>
      </c>
      <c r="D3">
        <v>10.74</v>
      </c>
      <c r="E3">
        <v>16.420000000000002</v>
      </c>
      <c r="F3">
        <v>12.78</v>
      </c>
      <c r="G3">
        <v>29.83</v>
      </c>
      <c r="H3">
        <v>10.62</v>
      </c>
      <c r="I3">
        <v>28.27</v>
      </c>
      <c r="J3">
        <v>38.85</v>
      </c>
      <c r="K3">
        <v>14.18</v>
      </c>
      <c r="L3">
        <v>9.83</v>
      </c>
      <c r="M3">
        <v>12.97</v>
      </c>
      <c r="N3">
        <v>5.79</v>
      </c>
      <c r="O3">
        <v>36.24</v>
      </c>
      <c r="P3">
        <v>25.19</v>
      </c>
      <c r="Q3">
        <v>54.78</v>
      </c>
      <c r="R3">
        <v>18.14</v>
      </c>
      <c r="S3">
        <v>21.87</v>
      </c>
      <c r="T3">
        <v>20.69</v>
      </c>
      <c r="U3">
        <v>45.91</v>
      </c>
      <c r="V3" s="6">
        <v>40.5</v>
      </c>
    </row>
    <row r="4" spans="1:22" x14ac:dyDescent="0.2">
      <c r="A4" s="4">
        <v>44566</v>
      </c>
      <c r="B4" s="3">
        <v>85.06</v>
      </c>
      <c r="C4">
        <v>56.91</v>
      </c>
      <c r="D4">
        <v>10.32</v>
      </c>
      <c r="E4">
        <v>16.11</v>
      </c>
      <c r="F4">
        <v>12.25</v>
      </c>
      <c r="G4">
        <v>28.26</v>
      </c>
      <c r="H4">
        <v>10.44</v>
      </c>
      <c r="I4">
        <v>28.15</v>
      </c>
      <c r="J4">
        <v>37.18</v>
      </c>
      <c r="K4">
        <v>14.08</v>
      </c>
      <c r="L4">
        <v>9.6300000000000008</v>
      </c>
      <c r="M4">
        <v>12.72</v>
      </c>
      <c r="N4">
        <v>5.73</v>
      </c>
      <c r="O4">
        <v>36.159999999999997</v>
      </c>
      <c r="P4">
        <v>23.7</v>
      </c>
      <c r="Q4">
        <v>54.16</v>
      </c>
      <c r="R4">
        <v>17.2</v>
      </c>
      <c r="S4">
        <v>21.58</v>
      </c>
      <c r="T4">
        <v>18.46</v>
      </c>
      <c r="U4">
        <v>44.58</v>
      </c>
      <c r="V4" s="6">
        <v>37.76</v>
      </c>
    </row>
    <row r="5" spans="1:22" x14ac:dyDescent="0.2">
      <c r="A5" s="4">
        <v>44567</v>
      </c>
      <c r="B5" s="3">
        <v>85.2</v>
      </c>
      <c r="C5">
        <v>58.06</v>
      </c>
      <c r="D5">
        <v>10.31</v>
      </c>
      <c r="E5">
        <v>16.440000000000001</v>
      </c>
      <c r="F5">
        <v>12.24</v>
      </c>
      <c r="G5">
        <v>28.25</v>
      </c>
      <c r="H5">
        <v>10.52</v>
      </c>
      <c r="I5">
        <v>28.11</v>
      </c>
      <c r="J5">
        <v>36.21</v>
      </c>
      <c r="K5">
        <v>14.28</v>
      </c>
      <c r="L5">
        <v>9.86</v>
      </c>
      <c r="M5">
        <v>12.51</v>
      </c>
      <c r="N5">
        <v>5.78</v>
      </c>
      <c r="O5">
        <v>36.18</v>
      </c>
      <c r="P5">
        <v>23.85</v>
      </c>
      <c r="Q5">
        <v>53.73</v>
      </c>
      <c r="R5">
        <v>17.079999999999998</v>
      </c>
      <c r="S5">
        <v>21.4</v>
      </c>
      <c r="T5">
        <v>18.93</v>
      </c>
      <c r="U5">
        <v>44.76</v>
      </c>
      <c r="V5" s="6">
        <v>38.17</v>
      </c>
    </row>
    <row r="6" spans="1:22" x14ac:dyDescent="0.2">
      <c r="A6" s="4">
        <v>44568</v>
      </c>
      <c r="B6" s="3">
        <v>86.25</v>
      </c>
      <c r="C6">
        <v>61.43</v>
      </c>
      <c r="D6">
        <v>10.36</v>
      </c>
      <c r="E6">
        <v>16.8</v>
      </c>
      <c r="F6">
        <v>12.34</v>
      </c>
      <c r="G6">
        <v>27.54</v>
      </c>
      <c r="H6">
        <v>10.54</v>
      </c>
      <c r="I6">
        <v>26.88</v>
      </c>
      <c r="J6">
        <v>35.46</v>
      </c>
      <c r="K6">
        <v>14.49</v>
      </c>
      <c r="L6">
        <v>10.09</v>
      </c>
      <c r="M6">
        <v>12.31</v>
      </c>
      <c r="N6">
        <v>5.85</v>
      </c>
      <c r="O6">
        <v>35.24</v>
      </c>
      <c r="P6">
        <v>24.05</v>
      </c>
      <c r="Q6">
        <v>53.37</v>
      </c>
      <c r="R6">
        <v>17.170000000000002</v>
      </c>
      <c r="S6">
        <v>21.35</v>
      </c>
      <c r="T6">
        <v>19.79</v>
      </c>
      <c r="U6">
        <v>44.38</v>
      </c>
      <c r="V6" s="6">
        <v>38.86</v>
      </c>
    </row>
    <row r="7" spans="1:22" x14ac:dyDescent="0.2">
      <c r="A7" s="4">
        <v>44571</v>
      </c>
      <c r="B7" s="3">
        <v>86</v>
      </c>
      <c r="C7">
        <v>60.7</v>
      </c>
      <c r="D7">
        <v>10.3</v>
      </c>
      <c r="E7">
        <v>16.96</v>
      </c>
      <c r="F7">
        <v>12.3</v>
      </c>
      <c r="G7">
        <v>26.74</v>
      </c>
      <c r="H7">
        <v>10.59</v>
      </c>
      <c r="I7">
        <v>26.1</v>
      </c>
      <c r="J7">
        <v>34.78</v>
      </c>
      <c r="K7">
        <v>14.54</v>
      </c>
      <c r="L7">
        <v>10.039999999999999</v>
      </c>
      <c r="M7">
        <v>12.41</v>
      </c>
      <c r="N7">
        <v>5.85</v>
      </c>
      <c r="O7">
        <v>35.9</v>
      </c>
      <c r="P7">
        <v>23.72</v>
      </c>
      <c r="Q7">
        <v>53.24</v>
      </c>
      <c r="R7">
        <v>17.25</v>
      </c>
      <c r="S7">
        <v>21.72</v>
      </c>
      <c r="T7">
        <v>20.11</v>
      </c>
      <c r="U7">
        <v>43.51</v>
      </c>
      <c r="V7" s="6">
        <v>37.26</v>
      </c>
    </row>
    <row r="8" spans="1:22" x14ac:dyDescent="0.2">
      <c r="A8" s="4">
        <v>44572</v>
      </c>
      <c r="B8" s="3">
        <v>87.6</v>
      </c>
      <c r="C8">
        <v>61.86</v>
      </c>
      <c r="D8">
        <v>10.6</v>
      </c>
      <c r="E8">
        <v>17.34</v>
      </c>
      <c r="F8">
        <v>12.8</v>
      </c>
      <c r="G8">
        <v>27.19</v>
      </c>
      <c r="H8">
        <v>10.63</v>
      </c>
      <c r="I8">
        <v>26.41</v>
      </c>
      <c r="J8">
        <v>34.81</v>
      </c>
      <c r="K8">
        <v>14.56</v>
      </c>
      <c r="L8">
        <v>10.07</v>
      </c>
      <c r="M8">
        <v>12.44</v>
      </c>
      <c r="N8">
        <v>5.94</v>
      </c>
      <c r="O8">
        <v>35.71</v>
      </c>
      <c r="P8">
        <v>23.46</v>
      </c>
      <c r="Q8">
        <v>53.56</v>
      </c>
      <c r="R8">
        <v>18.010000000000002</v>
      </c>
      <c r="S8">
        <v>22.21</v>
      </c>
      <c r="T8">
        <v>21.17</v>
      </c>
      <c r="U8">
        <v>44.14</v>
      </c>
      <c r="V8" s="6">
        <v>38.53</v>
      </c>
    </row>
    <row r="9" spans="1:22" x14ac:dyDescent="0.2">
      <c r="A9" s="4">
        <v>44573</v>
      </c>
      <c r="B9" s="3">
        <v>89</v>
      </c>
      <c r="C9">
        <v>62.53</v>
      </c>
      <c r="D9">
        <v>10.93</v>
      </c>
      <c r="E9">
        <v>17.260000000000002</v>
      </c>
      <c r="F9">
        <v>13.23</v>
      </c>
      <c r="G9">
        <v>28.3</v>
      </c>
      <c r="H9">
        <v>10.74</v>
      </c>
      <c r="I9">
        <v>27.8</v>
      </c>
      <c r="J9">
        <v>35.28</v>
      </c>
      <c r="K9">
        <v>14.45</v>
      </c>
      <c r="L9">
        <v>10.43</v>
      </c>
      <c r="M9">
        <v>12.61</v>
      </c>
      <c r="N9">
        <v>5.92</v>
      </c>
      <c r="O9">
        <v>36.43</v>
      </c>
      <c r="P9">
        <v>23.09</v>
      </c>
      <c r="Q9">
        <v>55.44</v>
      </c>
      <c r="R9">
        <v>18.25</v>
      </c>
      <c r="S9">
        <v>22.75</v>
      </c>
      <c r="T9">
        <v>21.33</v>
      </c>
      <c r="U9">
        <v>44.51</v>
      </c>
      <c r="V9" s="6">
        <v>38.9</v>
      </c>
    </row>
    <row r="10" spans="1:22" x14ac:dyDescent="0.2">
      <c r="A10" s="4">
        <v>44574</v>
      </c>
      <c r="B10" s="3">
        <v>88.7</v>
      </c>
      <c r="C10">
        <v>61.58</v>
      </c>
      <c r="D10">
        <v>11.15</v>
      </c>
      <c r="E10">
        <v>17.579999999999998</v>
      </c>
      <c r="F10">
        <v>13.55</v>
      </c>
      <c r="G10">
        <v>27.11</v>
      </c>
      <c r="H10">
        <v>10.91</v>
      </c>
      <c r="I10">
        <v>27.81</v>
      </c>
      <c r="J10">
        <v>35.25</v>
      </c>
      <c r="K10">
        <v>14.71</v>
      </c>
      <c r="L10">
        <v>10.41</v>
      </c>
      <c r="M10">
        <v>12.7</v>
      </c>
      <c r="N10">
        <v>6.09</v>
      </c>
      <c r="O10">
        <v>37.06</v>
      </c>
      <c r="P10">
        <v>22.12</v>
      </c>
      <c r="Q10">
        <v>56.26</v>
      </c>
      <c r="R10">
        <v>17.75</v>
      </c>
      <c r="S10">
        <v>22.59</v>
      </c>
      <c r="T10">
        <v>21.98</v>
      </c>
      <c r="U10">
        <v>44.36</v>
      </c>
      <c r="V10" s="6">
        <v>39.090000000000003</v>
      </c>
    </row>
    <row r="11" spans="1:22" x14ac:dyDescent="0.2">
      <c r="A11" s="4">
        <v>44575</v>
      </c>
      <c r="B11" s="3">
        <v>90</v>
      </c>
      <c r="C11">
        <v>61.94</v>
      </c>
      <c r="D11">
        <v>11.56</v>
      </c>
      <c r="E11">
        <v>17.45</v>
      </c>
      <c r="F11">
        <v>13.83</v>
      </c>
      <c r="G11">
        <v>28.75</v>
      </c>
      <c r="H11">
        <v>11.19</v>
      </c>
      <c r="I11">
        <v>27.98</v>
      </c>
      <c r="J11">
        <v>35.11</v>
      </c>
      <c r="K11">
        <v>14.95</v>
      </c>
      <c r="L11">
        <v>10.97</v>
      </c>
      <c r="M11">
        <v>12.79</v>
      </c>
      <c r="N11">
        <v>6.16</v>
      </c>
      <c r="O11">
        <v>37.39</v>
      </c>
      <c r="P11">
        <v>21.99</v>
      </c>
      <c r="Q11">
        <v>56.47</v>
      </c>
      <c r="R11">
        <v>18.28</v>
      </c>
      <c r="S11">
        <v>22.62</v>
      </c>
      <c r="T11">
        <v>22.86</v>
      </c>
      <c r="U11">
        <v>45.99</v>
      </c>
      <c r="V11" s="6">
        <v>38.71</v>
      </c>
    </row>
    <row r="12" spans="1:22" x14ac:dyDescent="0.2">
      <c r="A12" s="4">
        <v>44578</v>
      </c>
      <c r="B12" s="3">
        <v>89.2</v>
      </c>
      <c r="C12">
        <v>61.62</v>
      </c>
      <c r="D12">
        <v>11.58</v>
      </c>
      <c r="E12">
        <v>17.45</v>
      </c>
      <c r="F12">
        <v>13.79</v>
      </c>
      <c r="G12">
        <v>28.42</v>
      </c>
      <c r="H12">
        <v>11.21</v>
      </c>
      <c r="I12">
        <v>28.05</v>
      </c>
      <c r="J12">
        <v>35.409999999999997</v>
      </c>
      <c r="K12">
        <v>15.03</v>
      </c>
      <c r="L12">
        <v>11.1</v>
      </c>
      <c r="M12">
        <v>12.54</v>
      </c>
      <c r="N12">
        <v>6.15</v>
      </c>
      <c r="O12">
        <v>36.979999999999997</v>
      </c>
      <c r="P12">
        <v>21.53</v>
      </c>
      <c r="Q12">
        <v>55.81</v>
      </c>
      <c r="R12">
        <v>18.190000000000001</v>
      </c>
      <c r="S12">
        <v>22.29</v>
      </c>
      <c r="T12">
        <v>22.78</v>
      </c>
      <c r="U12">
        <v>45.28</v>
      </c>
      <c r="V12" s="6">
        <v>37.380000000000003</v>
      </c>
    </row>
    <row r="13" spans="1:22" x14ac:dyDescent="0.2">
      <c r="A13" s="4">
        <v>44579</v>
      </c>
      <c r="B13" s="3">
        <v>89.57</v>
      </c>
      <c r="C13">
        <v>63.12</v>
      </c>
      <c r="D13">
        <v>11.63</v>
      </c>
      <c r="E13">
        <v>17.55</v>
      </c>
      <c r="F13">
        <v>13.84</v>
      </c>
      <c r="G13">
        <v>28.6</v>
      </c>
      <c r="H13">
        <v>11.31</v>
      </c>
      <c r="I13">
        <v>28.06</v>
      </c>
      <c r="J13">
        <v>34.86</v>
      </c>
      <c r="K13">
        <v>15.31</v>
      </c>
      <c r="L13">
        <v>11.06</v>
      </c>
      <c r="M13">
        <v>12.35</v>
      </c>
      <c r="N13">
        <v>6.19</v>
      </c>
      <c r="O13">
        <v>36.6</v>
      </c>
      <c r="P13">
        <v>21.15</v>
      </c>
      <c r="Q13">
        <v>56.55</v>
      </c>
      <c r="R13">
        <v>17.399999999999999</v>
      </c>
      <c r="S13">
        <v>21.84</v>
      </c>
      <c r="T13">
        <v>23.88</v>
      </c>
      <c r="U13">
        <v>44.59</v>
      </c>
      <c r="V13" s="6">
        <v>36.729999999999997</v>
      </c>
    </row>
    <row r="14" spans="1:22" x14ac:dyDescent="0.2">
      <c r="A14" s="4">
        <v>44580</v>
      </c>
      <c r="B14" s="3">
        <v>91.03</v>
      </c>
      <c r="C14">
        <v>64.510000000000005</v>
      </c>
      <c r="D14">
        <v>11.58</v>
      </c>
      <c r="E14">
        <v>17.43</v>
      </c>
      <c r="F14">
        <v>13.71</v>
      </c>
      <c r="G14">
        <v>28.56</v>
      </c>
      <c r="H14">
        <v>11.41</v>
      </c>
      <c r="I14">
        <v>29.25</v>
      </c>
      <c r="J14">
        <v>35.69</v>
      </c>
      <c r="K14">
        <v>15.11</v>
      </c>
      <c r="L14">
        <v>11.01</v>
      </c>
      <c r="M14">
        <v>12.32</v>
      </c>
      <c r="N14">
        <v>6.2</v>
      </c>
      <c r="O14">
        <v>36.61</v>
      </c>
      <c r="P14">
        <v>20.56</v>
      </c>
      <c r="Q14">
        <v>56.31</v>
      </c>
      <c r="R14">
        <v>18.34</v>
      </c>
      <c r="S14">
        <v>22.2</v>
      </c>
      <c r="T14">
        <v>23.95</v>
      </c>
      <c r="U14">
        <v>44.72</v>
      </c>
      <c r="V14" s="6">
        <v>37.9</v>
      </c>
    </row>
    <row r="15" spans="1:22" x14ac:dyDescent="0.2">
      <c r="A15" s="4">
        <v>44581</v>
      </c>
      <c r="B15" s="3">
        <v>91.88</v>
      </c>
      <c r="C15">
        <v>63.42</v>
      </c>
      <c r="D15">
        <v>11.66</v>
      </c>
      <c r="E15">
        <v>17.29</v>
      </c>
      <c r="F15">
        <v>13.8</v>
      </c>
      <c r="G15">
        <v>28.78</v>
      </c>
      <c r="H15">
        <v>11.48</v>
      </c>
      <c r="I15">
        <v>29.61</v>
      </c>
      <c r="J15">
        <v>36</v>
      </c>
      <c r="K15">
        <v>15.1</v>
      </c>
      <c r="L15">
        <v>11.9</v>
      </c>
      <c r="M15">
        <v>12.28</v>
      </c>
      <c r="N15">
        <v>6.19</v>
      </c>
      <c r="O15">
        <v>36.32</v>
      </c>
      <c r="P15">
        <v>21</v>
      </c>
      <c r="Q15">
        <v>54.91</v>
      </c>
      <c r="R15">
        <v>19.670000000000002</v>
      </c>
      <c r="S15">
        <v>22.26</v>
      </c>
      <c r="T15">
        <v>24.16</v>
      </c>
      <c r="U15">
        <v>48.56</v>
      </c>
      <c r="V15" s="6">
        <v>38.94</v>
      </c>
    </row>
    <row r="16" spans="1:22" x14ac:dyDescent="0.2">
      <c r="A16" s="4">
        <v>44582</v>
      </c>
      <c r="B16" s="3">
        <v>91.55</v>
      </c>
      <c r="C16">
        <v>62.1</v>
      </c>
      <c r="D16">
        <v>11.68</v>
      </c>
      <c r="E16">
        <v>17.3</v>
      </c>
      <c r="F16">
        <v>13.84</v>
      </c>
      <c r="G16">
        <v>28.66</v>
      </c>
      <c r="H16">
        <v>11.48</v>
      </c>
      <c r="I16">
        <v>30.09</v>
      </c>
      <c r="J16">
        <v>36</v>
      </c>
      <c r="K16">
        <v>14.94</v>
      </c>
      <c r="L16">
        <v>12.25</v>
      </c>
      <c r="M16">
        <v>12.45</v>
      </c>
      <c r="N16">
        <v>6.16</v>
      </c>
      <c r="O16">
        <v>36.31</v>
      </c>
      <c r="P16">
        <v>20.51</v>
      </c>
      <c r="Q16">
        <v>54.25</v>
      </c>
      <c r="R16">
        <v>19.670000000000002</v>
      </c>
      <c r="S16">
        <v>22.14</v>
      </c>
      <c r="T16">
        <v>23.56</v>
      </c>
      <c r="U16">
        <v>49.25</v>
      </c>
      <c r="V16" s="6">
        <v>39.46</v>
      </c>
    </row>
    <row r="17" spans="1:22" x14ac:dyDescent="0.2">
      <c r="A17" s="4">
        <v>44585</v>
      </c>
      <c r="B17" s="3">
        <v>90.58</v>
      </c>
      <c r="C17">
        <v>61.34</v>
      </c>
      <c r="D17">
        <v>11.75</v>
      </c>
      <c r="E17">
        <v>17.28</v>
      </c>
      <c r="F17">
        <v>13.87</v>
      </c>
      <c r="G17">
        <v>28</v>
      </c>
      <c r="H17">
        <v>11.54</v>
      </c>
      <c r="I17">
        <v>29.49</v>
      </c>
      <c r="J17">
        <v>35.450000000000003</v>
      </c>
      <c r="K17">
        <v>15.26</v>
      </c>
      <c r="L17">
        <v>11.73</v>
      </c>
      <c r="M17">
        <v>12.45</v>
      </c>
      <c r="N17">
        <v>6.12</v>
      </c>
      <c r="O17">
        <v>35.92</v>
      </c>
      <c r="P17">
        <v>20.62</v>
      </c>
      <c r="Q17">
        <v>53.01</v>
      </c>
      <c r="R17">
        <v>19.86</v>
      </c>
      <c r="S17">
        <v>21.76</v>
      </c>
      <c r="T17">
        <v>23.13</v>
      </c>
      <c r="U17">
        <v>48.1</v>
      </c>
      <c r="V17" s="6">
        <v>38.340000000000003</v>
      </c>
    </row>
    <row r="18" spans="1:22" x14ac:dyDescent="0.2">
      <c r="A18" s="4">
        <v>44586</v>
      </c>
      <c r="B18" s="3">
        <v>92.54</v>
      </c>
      <c r="C18">
        <v>61.48</v>
      </c>
      <c r="D18">
        <v>12.13</v>
      </c>
      <c r="E18">
        <v>17.899999999999999</v>
      </c>
      <c r="F18">
        <v>14.33</v>
      </c>
      <c r="G18">
        <v>28.28</v>
      </c>
      <c r="H18">
        <v>11.83</v>
      </c>
      <c r="I18">
        <v>30.12</v>
      </c>
      <c r="J18">
        <v>35.64</v>
      </c>
      <c r="K18">
        <v>15.86</v>
      </c>
      <c r="L18">
        <v>11.96</v>
      </c>
      <c r="M18">
        <v>12.77</v>
      </c>
      <c r="N18">
        <v>6.28</v>
      </c>
      <c r="O18">
        <v>36.14</v>
      </c>
      <c r="P18">
        <v>20.74</v>
      </c>
      <c r="Q18">
        <v>51.63</v>
      </c>
      <c r="R18">
        <v>20.81</v>
      </c>
      <c r="S18">
        <v>22.18</v>
      </c>
      <c r="T18">
        <v>23.84</v>
      </c>
      <c r="U18">
        <v>50.01</v>
      </c>
      <c r="V18" s="6">
        <v>39.9</v>
      </c>
    </row>
    <row r="19" spans="1:22" x14ac:dyDescent="0.2">
      <c r="A19" s="4">
        <v>44587</v>
      </c>
      <c r="B19" s="3">
        <v>93.2</v>
      </c>
      <c r="C19">
        <v>61.65</v>
      </c>
      <c r="D19">
        <v>12.45</v>
      </c>
      <c r="E19">
        <v>18.09</v>
      </c>
      <c r="F19">
        <v>14.75</v>
      </c>
      <c r="G19">
        <v>28.78</v>
      </c>
      <c r="H19">
        <v>11.72</v>
      </c>
      <c r="I19">
        <v>31.07</v>
      </c>
      <c r="J19">
        <v>36.229999999999997</v>
      </c>
      <c r="K19">
        <v>15.88</v>
      </c>
      <c r="L19">
        <v>12.38</v>
      </c>
      <c r="M19">
        <v>12.71</v>
      </c>
      <c r="N19">
        <v>6.34</v>
      </c>
      <c r="O19">
        <v>35.01</v>
      </c>
      <c r="P19">
        <v>20.309999999999999</v>
      </c>
      <c r="Q19">
        <v>50.66</v>
      </c>
      <c r="R19">
        <v>21.38</v>
      </c>
      <c r="S19">
        <v>22.16</v>
      </c>
      <c r="T19">
        <v>23.55</v>
      </c>
      <c r="U19">
        <v>51.81</v>
      </c>
      <c r="V19" s="6">
        <v>41.39</v>
      </c>
    </row>
    <row r="20" spans="1:22" x14ac:dyDescent="0.2">
      <c r="A20" s="4">
        <v>44588</v>
      </c>
      <c r="B20" s="3">
        <v>94.33</v>
      </c>
      <c r="C20">
        <v>61.79</v>
      </c>
      <c r="D20">
        <v>12.46</v>
      </c>
      <c r="E20">
        <v>18.16</v>
      </c>
      <c r="F20">
        <v>14.8</v>
      </c>
      <c r="G20">
        <v>30.34</v>
      </c>
      <c r="H20">
        <v>11.88</v>
      </c>
      <c r="I20">
        <v>30.89</v>
      </c>
      <c r="J20">
        <v>37</v>
      </c>
      <c r="K20">
        <v>15.96</v>
      </c>
      <c r="L20">
        <v>12.99</v>
      </c>
      <c r="M20">
        <v>13.05</v>
      </c>
      <c r="N20">
        <v>6.43</v>
      </c>
      <c r="O20">
        <v>35.28</v>
      </c>
      <c r="P20">
        <v>20.05</v>
      </c>
      <c r="Q20">
        <v>53.25</v>
      </c>
      <c r="R20">
        <v>22.14</v>
      </c>
      <c r="S20">
        <v>22.4</v>
      </c>
      <c r="T20">
        <v>23.77</v>
      </c>
      <c r="U20">
        <v>51.82</v>
      </c>
      <c r="V20" s="6">
        <v>41.55</v>
      </c>
    </row>
    <row r="21" spans="1:22" x14ac:dyDescent="0.2">
      <c r="A21" s="4">
        <v>44589</v>
      </c>
      <c r="B21" s="3">
        <v>93.65</v>
      </c>
      <c r="C21">
        <v>61.19</v>
      </c>
      <c r="D21">
        <v>11.96</v>
      </c>
      <c r="E21">
        <v>18.41</v>
      </c>
      <c r="F21">
        <v>14.36</v>
      </c>
      <c r="G21">
        <v>29.61</v>
      </c>
      <c r="H21">
        <v>11.96</v>
      </c>
      <c r="I21">
        <v>31.36</v>
      </c>
      <c r="J21">
        <v>36.5</v>
      </c>
      <c r="K21">
        <v>16.190000000000001</v>
      </c>
      <c r="L21">
        <v>13.24</v>
      </c>
      <c r="M21">
        <v>12.65</v>
      </c>
      <c r="N21">
        <v>6.49</v>
      </c>
      <c r="O21">
        <v>36.06</v>
      </c>
      <c r="P21">
        <v>19.79</v>
      </c>
      <c r="Q21">
        <v>53.99</v>
      </c>
      <c r="R21">
        <v>21.62</v>
      </c>
      <c r="S21">
        <v>22.65</v>
      </c>
      <c r="T21">
        <v>23.8</v>
      </c>
      <c r="U21">
        <v>51.53</v>
      </c>
      <c r="V21" s="6">
        <v>41.53</v>
      </c>
    </row>
    <row r="22" spans="1:22" x14ac:dyDescent="0.2">
      <c r="A22" s="4">
        <v>44592</v>
      </c>
      <c r="B22" s="3">
        <v>93.72</v>
      </c>
      <c r="C22">
        <v>59.15</v>
      </c>
      <c r="D22">
        <v>11.89</v>
      </c>
      <c r="E22">
        <v>18.809999999999999</v>
      </c>
      <c r="F22">
        <v>14.12</v>
      </c>
      <c r="G22">
        <v>30.11</v>
      </c>
      <c r="H22">
        <v>12.02</v>
      </c>
      <c r="I22">
        <v>31.24</v>
      </c>
      <c r="J22">
        <v>37.36</v>
      </c>
      <c r="K22">
        <v>16.329999999999998</v>
      </c>
      <c r="L22">
        <v>13.13</v>
      </c>
      <c r="M22">
        <v>12.68</v>
      </c>
      <c r="N22">
        <v>6.57</v>
      </c>
      <c r="O22">
        <v>35.090000000000003</v>
      </c>
      <c r="P22">
        <v>20.29</v>
      </c>
      <c r="Q22">
        <v>53.9</v>
      </c>
      <c r="R22">
        <v>22.28</v>
      </c>
      <c r="S22">
        <v>22.96</v>
      </c>
      <c r="T22">
        <v>23.88</v>
      </c>
      <c r="U22">
        <v>52.57</v>
      </c>
      <c r="V22" s="6">
        <v>41.84</v>
      </c>
    </row>
    <row r="23" spans="1:22" x14ac:dyDescent="0.2">
      <c r="A23" s="4">
        <v>44593</v>
      </c>
      <c r="B23" s="3">
        <v>95.3</v>
      </c>
      <c r="C23">
        <v>62.39</v>
      </c>
      <c r="D23">
        <v>12.13</v>
      </c>
      <c r="E23">
        <v>18.940000000000001</v>
      </c>
      <c r="F23">
        <v>14.53</v>
      </c>
      <c r="G23">
        <v>30.02</v>
      </c>
      <c r="H23">
        <v>12</v>
      </c>
      <c r="I23">
        <v>30.65</v>
      </c>
      <c r="J23">
        <v>37.020000000000003</v>
      </c>
      <c r="K23">
        <v>16.39</v>
      </c>
      <c r="L23">
        <v>12.81</v>
      </c>
      <c r="M23">
        <v>12.58</v>
      </c>
      <c r="N23">
        <v>6.58</v>
      </c>
      <c r="O23">
        <v>34.979999999999997</v>
      </c>
      <c r="P23">
        <v>20.66</v>
      </c>
      <c r="Q23">
        <v>54.3</v>
      </c>
      <c r="R23">
        <v>22.33</v>
      </c>
      <c r="S23">
        <v>22.95</v>
      </c>
      <c r="T23">
        <v>23.7</v>
      </c>
      <c r="U23">
        <v>52.63</v>
      </c>
      <c r="V23" s="6">
        <v>42.66</v>
      </c>
    </row>
    <row r="24" spans="1:22" x14ac:dyDescent="0.2">
      <c r="A24" s="4">
        <v>44594</v>
      </c>
      <c r="B24" s="3">
        <v>94.25</v>
      </c>
      <c r="C24">
        <v>62.74</v>
      </c>
      <c r="D24">
        <v>11.96</v>
      </c>
      <c r="E24">
        <v>18.64</v>
      </c>
      <c r="F24">
        <v>14.27</v>
      </c>
      <c r="G24">
        <v>29.75</v>
      </c>
      <c r="H24">
        <v>11.8</v>
      </c>
      <c r="I24">
        <v>29.99</v>
      </c>
      <c r="J24">
        <v>36.42</v>
      </c>
      <c r="K24">
        <v>16.09</v>
      </c>
      <c r="L24">
        <v>12.69</v>
      </c>
      <c r="M24">
        <v>12.3</v>
      </c>
      <c r="N24">
        <v>6.47</v>
      </c>
      <c r="O24">
        <v>34.799999999999997</v>
      </c>
      <c r="P24">
        <v>19.97</v>
      </c>
      <c r="Q24">
        <v>53.96</v>
      </c>
      <c r="R24">
        <v>21.68</v>
      </c>
      <c r="S24">
        <v>22.93</v>
      </c>
      <c r="T24">
        <v>22.99</v>
      </c>
      <c r="U24">
        <v>52.44</v>
      </c>
      <c r="V24" s="6">
        <v>43.04</v>
      </c>
    </row>
    <row r="25" spans="1:22" x14ac:dyDescent="0.2">
      <c r="A25" s="4">
        <v>44595</v>
      </c>
      <c r="B25" s="3">
        <v>93.7</v>
      </c>
      <c r="C25">
        <v>62.71</v>
      </c>
      <c r="D25">
        <v>11.79</v>
      </c>
      <c r="E25">
        <v>18.86</v>
      </c>
      <c r="F25">
        <v>14.12</v>
      </c>
      <c r="G25">
        <v>28.98</v>
      </c>
      <c r="H25">
        <v>11.88</v>
      </c>
      <c r="I25">
        <v>30.4</v>
      </c>
      <c r="J25">
        <v>36.69</v>
      </c>
      <c r="K25">
        <v>16.329999999999998</v>
      </c>
      <c r="L25">
        <v>12.7</v>
      </c>
      <c r="M25">
        <v>12.25</v>
      </c>
      <c r="N25">
        <v>6.49</v>
      </c>
      <c r="O25">
        <v>33.869999999999997</v>
      </c>
      <c r="P25">
        <v>19.100000000000001</v>
      </c>
      <c r="Q25">
        <v>53.78</v>
      </c>
      <c r="R25">
        <v>21.39</v>
      </c>
      <c r="S25">
        <v>23.38</v>
      </c>
      <c r="T25">
        <v>22.7</v>
      </c>
      <c r="U25">
        <v>51.58</v>
      </c>
      <c r="V25" s="6">
        <v>43.55</v>
      </c>
    </row>
    <row r="26" spans="1:22" x14ac:dyDescent="0.2">
      <c r="A26" s="4">
        <v>44596</v>
      </c>
      <c r="B26" s="3">
        <v>94.19</v>
      </c>
      <c r="C26">
        <v>64.349999999999994</v>
      </c>
      <c r="D26">
        <v>12</v>
      </c>
      <c r="E26">
        <v>18.91</v>
      </c>
      <c r="F26">
        <v>14.37</v>
      </c>
      <c r="G26">
        <v>28.89</v>
      </c>
      <c r="H26">
        <v>11.86</v>
      </c>
      <c r="I26">
        <v>29.82</v>
      </c>
      <c r="J26">
        <v>35.869999999999997</v>
      </c>
      <c r="K26">
        <v>16.43</v>
      </c>
      <c r="L26">
        <v>12.69</v>
      </c>
      <c r="M26">
        <v>12.21</v>
      </c>
      <c r="N26">
        <v>6.62</v>
      </c>
      <c r="O26">
        <v>34.24</v>
      </c>
      <c r="P26">
        <v>18.95</v>
      </c>
      <c r="Q26">
        <v>55.15</v>
      </c>
      <c r="R26">
        <v>21.21</v>
      </c>
      <c r="S26">
        <v>23.96</v>
      </c>
      <c r="T26">
        <v>24.37</v>
      </c>
      <c r="U26">
        <v>51.33</v>
      </c>
      <c r="V26" s="6">
        <v>43.17</v>
      </c>
    </row>
    <row r="27" spans="1:22" x14ac:dyDescent="0.2">
      <c r="A27" s="4">
        <v>44599</v>
      </c>
      <c r="B27" s="3">
        <v>94.48</v>
      </c>
      <c r="C27">
        <v>65.92</v>
      </c>
      <c r="D27">
        <v>11.82</v>
      </c>
      <c r="E27">
        <v>18.809999999999999</v>
      </c>
      <c r="F27">
        <v>14.2</v>
      </c>
      <c r="G27">
        <v>29.03</v>
      </c>
      <c r="H27">
        <v>11.72</v>
      </c>
      <c r="I27">
        <v>29.62</v>
      </c>
      <c r="J27">
        <v>35.61</v>
      </c>
      <c r="K27">
        <v>16.38</v>
      </c>
      <c r="L27">
        <v>12.3</v>
      </c>
      <c r="M27">
        <v>12.11</v>
      </c>
      <c r="N27">
        <v>6.53</v>
      </c>
      <c r="O27">
        <v>35.92</v>
      </c>
      <c r="P27">
        <v>19.18</v>
      </c>
      <c r="Q27">
        <v>55.13</v>
      </c>
      <c r="R27">
        <v>20.8</v>
      </c>
      <c r="S27">
        <v>24</v>
      </c>
      <c r="T27">
        <v>24.13</v>
      </c>
      <c r="U27">
        <v>49.97</v>
      </c>
      <c r="V27" s="6">
        <v>43.33</v>
      </c>
    </row>
    <row r="28" spans="1:22" x14ac:dyDescent="0.2">
      <c r="A28" s="4">
        <v>44600</v>
      </c>
      <c r="B28" s="3">
        <v>94.7</v>
      </c>
      <c r="C28">
        <v>66.84</v>
      </c>
      <c r="D28">
        <v>11.7</v>
      </c>
      <c r="E28">
        <v>19.02</v>
      </c>
      <c r="F28">
        <v>14</v>
      </c>
      <c r="G28">
        <v>28.3</v>
      </c>
      <c r="H28">
        <v>11.85</v>
      </c>
      <c r="I28">
        <v>29.35</v>
      </c>
      <c r="J28">
        <v>35.81</v>
      </c>
      <c r="K28">
        <v>16.28</v>
      </c>
      <c r="L28">
        <v>12.17</v>
      </c>
      <c r="M28">
        <v>12</v>
      </c>
      <c r="N28">
        <v>6.54</v>
      </c>
      <c r="O28">
        <v>37.58</v>
      </c>
      <c r="P28">
        <v>19.350000000000001</v>
      </c>
      <c r="Q28">
        <v>55.05</v>
      </c>
      <c r="R28">
        <v>21.13</v>
      </c>
      <c r="S28">
        <v>23.76</v>
      </c>
      <c r="T28">
        <v>23.83</v>
      </c>
      <c r="U28">
        <v>50.33</v>
      </c>
      <c r="V28" s="6">
        <v>43.28</v>
      </c>
    </row>
    <row r="29" spans="1:22" x14ac:dyDescent="0.2">
      <c r="A29" s="4">
        <v>44601</v>
      </c>
      <c r="B29" s="3">
        <v>94.95</v>
      </c>
      <c r="C29">
        <v>66.849999999999994</v>
      </c>
      <c r="D29">
        <v>11.75</v>
      </c>
      <c r="E29">
        <v>18.260000000000002</v>
      </c>
      <c r="F29">
        <v>14.01</v>
      </c>
      <c r="G29">
        <v>28.36</v>
      </c>
      <c r="H29">
        <v>11.75</v>
      </c>
      <c r="I29">
        <v>30.09</v>
      </c>
      <c r="J29">
        <v>35.799999999999997</v>
      </c>
      <c r="K29">
        <v>14.89</v>
      </c>
      <c r="L29">
        <v>12.72</v>
      </c>
      <c r="M29">
        <v>12.32</v>
      </c>
      <c r="N29">
        <v>6.43</v>
      </c>
      <c r="O29">
        <v>38.17</v>
      </c>
      <c r="P29">
        <v>20.059999999999999</v>
      </c>
      <c r="Q29">
        <v>55.17</v>
      </c>
      <c r="R29">
        <v>21.59</v>
      </c>
      <c r="S29">
        <v>24</v>
      </c>
      <c r="T29">
        <v>24.46</v>
      </c>
      <c r="U29">
        <v>50.9</v>
      </c>
      <c r="V29" s="6">
        <v>44.85</v>
      </c>
    </row>
    <row r="30" spans="1:22" x14ac:dyDescent="0.2">
      <c r="A30" s="4">
        <v>44602</v>
      </c>
      <c r="B30" s="3">
        <v>95.35</v>
      </c>
      <c r="C30">
        <v>68.650000000000006</v>
      </c>
      <c r="D30">
        <v>11.93</v>
      </c>
      <c r="E30">
        <v>18.61</v>
      </c>
      <c r="F30">
        <v>14.25</v>
      </c>
      <c r="G30">
        <v>27.85</v>
      </c>
      <c r="H30">
        <v>11.87</v>
      </c>
      <c r="I30">
        <v>30.09</v>
      </c>
      <c r="J30">
        <v>35.979999999999997</v>
      </c>
      <c r="K30">
        <v>15.1</v>
      </c>
      <c r="L30">
        <v>12.66</v>
      </c>
      <c r="M30">
        <v>12.5</v>
      </c>
      <c r="N30">
        <v>6.5</v>
      </c>
      <c r="O30">
        <v>38.24</v>
      </c>
      <c r="P30">
        <v>19.920000000000002</v>
      </c>
      <c r="Q30">
        <v>53.13</v>
      </c>
      <c r="R30">
        <v>21.45</v>
      </c>
      <c r="S30">
        <v>23.97</v>
      </c>
      <c r="T30">
        <v>24.71</v>
      </c>
      <c r="U30">
        <v>51.03</v>
      </c>
      <c r="V30" s="6">
        <v>44.92</v>
      </c>
    </row>
    <row r="31" spans="1:22" x14ac:dyDescent="0.2">
      <c r="A31" s="4">
        <v>44603</v>
      </c>
      <c r="B31" s="3">
        <v>95.45</v>
      </c>
      <c r="C31">
        <v>67.260000000000005</v>
      </c>
      <c r="D31">
        <v>12.41</v>
      </c>
      <c r="E31">
        <v>19.71</v>
      </c>
      <c r="F31">
        <v>14.89</v>
      </c>
      <c r="G31">
        <v>27.65</v>
      </c>
      <c r="H31">
        <v>12.29</v>
      </c>
      <c r="I31">
        <v>29.5</v>
      </c>
      <c r="J31">
        <v>36.049999999999997</v>
      </c>
      <c r="K31">
        <v>15.15</v>
      </c>
      <c r="L31">
        <v>12.5</v>
      </c>
      <c r="M31">
        <v>12.59</v>
      </c>
      <c r="N31">
        <v>6.78</v>
      </c>
      <c r="O31">
        <v>38.520000000000003</v>
      </c>
      <c r="P31">
        <v>19.02</v>
      </c>
      <c r="Q31">
        <v>52.55</v>
      </c>
      <c r="R31">
        <v>21.35</v>
      </c>
      <c r="S31">
        <v>23.78</v>
      </c>
      <c r="T31">
        <v>25.76</v>
      </c>
      <c r="U31">
        <v>51.45</v>
      </c>
      <c r="V31" s="6">
        <v>44.95</v>
      </c>
    </row>
    <row r="32" spans="1:22" x14ac:dyDescent="0.2">
      <c r="A32" s="4">
        <v>44606</v>
      </c>
      <c r="B32" s="3">
        <v>95.6</v>
      </c>
      <c r="C32">
        <v>66.97</v>
      </c>
      <c r="D32">
        <v>12.13</v>
      </c>
      <c r="E32">
        <v>19.66</v>
      </c>
      <c r="F32">
        <v>14.5</v>
      </c>
      <c r="G32">
        <v>28.5</v>
      </c>
      <c r="H32">
        <v>12.34</v>
      </c>
      <c r="I32">
        <v>29.58</v>
      </c>
      <c r="J32">
        <v>35.43</v>
      </c>
      <c r="K32">
        <v>15.17</v>
      </c>
      <c r="L32">
        <v>12.68</v>
      </c>
      <c r="M32">
        <v>12.76</v>
      </c>
      <c r="N32">
        <v>6.76</v>
      </c>
      <c r="O32">
        <v>38.54</v>
      </c>
      <c r="P32">
        <v>18.850000000000001</v>
      </c>
      <c r="Q32">
        <v>53.13</v>
      </c>
      <c r="R32">
        <v>21.52</v>
      </c>
      <c r="S32">
        <v>23.87</v>
      </c>
      <c r="T32">
        <v>26.46</v>
      </c>
      <c r="U32">
        <v>52.59</v>
      </c>
      <c r="V32" s="6">
        <v>45.08</v>
      </c>
    </row>
    <row r="33" spans="1:22" x14ac:dyDescent="0.2">
      <c r="A33" s="4">
        <v>44607</v>
      </c>
      <c r="B33" s="3">
        <v>96.36</v>
      </c>
      <c r="C33">
        <v>64.98</v>
      </c>
      <c r="D33">
        <v>11.94</v>
      </c>
      <c r="E33">
        <v>19.850000000000001</v>
      </c>
      <c r="F33">
        <v>14.2</v>
      </c>
      <c r="G33">
        <v>30.79</v>
      </c>
      <c r="H33">
        <v>12.93</v>
      </c>
      <c r="I33">
        <v>31.43</v>
      </c>
      <c r="J33">
        <v>36.43</v>
      </c>
      <c r="K33">
        <v>15.19</v>
      </c>
      <c r="L33">
        <v>13.11</v>
      </c>
      <c r="M33">
        <v>13.03</v>
      </c>
      <c r="N33">
        <v>6.84</v>
      </c>
      <c r="O33">
        <v>38.68</v>
      </c>
      <c r="P33">
        <v>19.75</v>
      </c>
      <c r="Q33">
        <v>52.14</v>
      </c>
      <c r="R33">
        <v>22.83</v>
      </c>
      <c r="S33">
        <v>24.58</v>
      </c>
      <c r="T33">
        <v>25.71</v>
      </c>
      <c r="U33">
        <v>54.35</v>
      </c>
      <c r="V33" s="6">
        <v>47.24</v>
      </c>
    </row>
    <row r="34" spans="1:22" x14ac:dyDescent="0.2">
      <c r="A34" s="4">
        <v>44608</v>
      </c>
      <c r="B34" s="3">
        <v>96.97</v>
      </c>
      <c r="C34">
        <v>65.459999999999994</v>
      </c>
      <c r="D34">
        <v>12.11</v>
      </c>
      <c r="E34">
        <v>19.64</v>
      </c>
      <c r="F34">
        <v>14.52</v>
      </c>
      <c r="G34">
        <v>29.31</v>
      </c>
      <c r="H34">
        <v>13</v>
      </c>
      <c r="I34">
        <v>31.13</v>
      </c>
      <c r="J34">
        <v>36.82</v>
      </c>
      <c r="K34">
        <v>15.37</v>
      </c>
      <c r="L34">
        <v>13.1</v>
      </c>
      <c r="M34">
        <v>12.78</v>
      </c>
      <c r="N34">
        <v>6.82</v>
      </c>
      <c r="O34">
        <v>37.18</v>
      </c>
      <c r="P34">
        <v>20.04</v>
      </c>
      <c r="Q34">
        <v>52.15</v>
      </c>
      <c r="R34">
        <v>23.31</v>
      </c>
      <c r="S34">
        <v>24.74</v>
      </c>
      <c r="T34">
        <v>25.2</v>
      </c>
      <c r="U34">
        <v>53.87</v>
      </c>
      <c r="V34" s="6">
        <v>47.72</v>
      </c>
    </row>
    <row r="35" spans="1:22" x14ac:dyDescent="0.2">
      <c r="A35" s="4">
        <v>44609</v>
      </c>
      <c r="B35" s="3">
        <v>95.36</v>
      </c>
      <c r="C35">
        <v>62.64</v>
      </c>
      <c r="D35">
        <v>12.06</v>
      </c>
      <c r="E35">
        <v>19.37</v>
      </c>
      <c r="F35">
        <v>14.45</v>
      </c>
      <c r="G35">
        <v>28.7</v>
      </c>
      <c r="H35">
        <v>13</v>
      </c>
      <c r="I35">
        <v>31.14</v>
      </c>
      <c r="J35">
        <v>37.44</v>
      </c>
      <c r="K35">
        <v>15.19</v>
      </c>
      <c r="L35">
        <v>12.75</v>
      </c>
      <c r="M35">
        <v>12.58</v>
      </c>
      <c r="N35">
        <v>6.75</v>
      </c>
      <c r="O35">
        <v>37.270000000000003</v>
      </c>
      <c r="P35">
        <v>19.32</v>
      </c>
      <c r="Q35">
        <v>52.72</v>
      </c>
      <c r="R35">
        <v>23.31</v>
      </c>
      <c r="S35">
        <v>24.74</v>
      </c>
      <c r="T35">
        <v>24.85</v>
      </c>
      <c r="U35">
        <v>53.3</v>
      </c>
      <c r="V35" s="6">
        <v>47.36</v>
      </c>
    </row>
    <row r="36" spans="1:22" x14ac:dyDescent="0.2">
      <c r="A36" s="4">
        <v>44610</v>
      </c>
      <c r="B36" s="3">
        <v>94.65</v>
      </c>
      <c r="C36">
        <v>62.77</v>
      </c>
      <c r="D36">
        <v>12.13</v>
      </c>
      <c r="E36">
        <v>19.440000000000001</v>
      </c>
      <c r="F36">
        <v>14.36</v>
      </c>
      <c r="G36">
        <v>27.91</v>
      </c>
      <c r="H36">
        <v>13.27</v>
      </c>
      <c r="I36">
        <v>30.67</v>
      </c>
      <c r="J36">
        <v>37.840000000000003</v>
      </c>
      <c r="K36">
        <v>15.27</v>
      </c>
      <c r="L36">
        <v>12.82</v>
      </c>
      <c r="M36">
        <v>12.51</v>
      </c>
      <c r="N36">
        <v>6.78</v>
      </c>
      <c r="O36">
        <v>36.299999999999997</v>
      </c>
      <c r="P36">
        <v>19.14</v>
      </c>
      <c r="Q36">
        <v>51.93</v>
      </c>
      <c r="R36">
        <v>23.24</v>
      </c>
      <c r="S36">
        <v>24.97</v>
      </c>
      <c r="T36">
        <v>24.34</v>
      </c>
      <c r="U36">
        <v>52.43</v>
      </c>
      <c r="V36" s="6">
        <v>47.23</v>
      </c>
    </row>
    <row r="37" spans="1:22" x14ac:dyDescent="0.2">
      <c r="A37" s="4">
        <v>44613</v>
      </c>
      <c r="B37" s="3">
        <v>94.22</v>
      </c>
      <c r="C37">
        <v>62.82</v>
      </c>
      <c r="D37">
        <v>12.45</v>
      </c>
      <c r="E37">
        <v>18.97</v>
      </c>
      <c r="F37">
        <v>14.74</v>
      </c>
      <c r="G37">
        <v>27.83</v>
      </c>
      <c r="H37">
        <v>12.98</v>
      </c>
      <c r="I37">
        <v>29.97</v>
      </c>
      <c r="J37">
        <v>39.18</v>
      </c>
      <c r="K37">
        <v>15.09</v>
      </c>
      <c r="L37">
        <v>12.64</v>
      </c>
      <c r="M37">
        <v>12.24</v>
      </c>
      <c r="N37">
        <v>6.58</v>
      </c>
      <c r="O37">
        <v>35.86</v>
      </c>
      <c r="P37">
        <v>18.329999999999998</v>
      </c>
      <c r="Q37">
        <v>51.83</v>
      </c>
      <c r="R37">
        <v>22.59</v>
      </c>
      <c r="S37">
        <v>24.4</v>
      </c>
      <c r="T37">
        <v>25.23</v>
      </c>
      <c r="U37">
        <v>52.08</v>
      </c>
      <c r="V37" s="6">
        <v>46.28</v>
      </c>
    </row>
    <row r="38" spans="1:22" x14ac:dyDescent="0.2">
      <c r="A38" s="4">
        <v>44614</v>
      </c>
      <c r="B38" s="3">
        <v>95.15</v>
      </c>
      <c r="C38">
        <v>63.91</v>
      </c>
      <c r="D38">
        <v>12.41</v>
      </c>
      <c r="E38">
        <v>19.14</v>
      </c>
      <c r="F38">
        <v>14.52</v>
      </c>
      <c r="G38">
        <v>27.84</v>
      </c>
      <c r="H38">
        <v>13.1</v>
      </c>
      <c r="I38">
        <v>30.19</v>
      </c>
      <c r="J38">
        <v>39.71</v>
      </c>
      <c r="K38">
        <v>15.04</v>
      </c>
      <c r="L38">
        <v>12.92</v>
      </c>
      <c r="M38">
        <v>12.46</v>
      </c>
      <c r="N38">
        <v>6.59</v>
      </c>
      <c r="O38">
        <v>36.79</v>
      </c>
      <c r="P38">
        <v>17.48</v>
      </c>
      <c r="Q38">
        <v>51.86</v>
      </c>
      <c r="R38">
        <v>23.59</v>
      </c>
      <c r="S38">
        <v>25.12</v>
      </c>
      <c r="T38">
        <v>24.5</v>
      </c>
      <c r="U38">
        <v>55.24</v>
      </c>
      <c r="V38" s="6">
        <v>48.15</v>
      </c>
    </row>
    <row r="39" spans="1:22" x14ac:dyDescent="0.2">
      <c r="A39" s="4">
        <v>44615</v>
      </c>
      <c r="B39" s="3">
        <v>93.8</v>
      </c>
      <c r="C39">
        <v>63.24</v>
      </c>
      <c r="D39">
        <v>12.58</v>
      </c>
      <c r="E39">
        <v>18.87</v>
      </c>
      <c r="F39">
        <v>14.52</v>
      </c>
      <c r="G39">
        <v>26.96</v>
      </c>
      <c r="H39">
        <v>13.17</v>
      </c>
      <c r="I39">
        <v>30.84</v>
      </c>
      <c r="J39">
        <v>39.72</v>
      </c>
      <c r="K39">
        <v>14.97</v>
      </c>
      <c r="L39">
        <v>13.1</v>
      </c>
      <c r="M39">
        <v>12.55</v>
      </c>
      <c r="N39">
        <v>6.5</v>
      </c>
      <c r="O39">
        <v>36.590000000000003</v>
      </c>
      <c r="P39">
        <v>17.07</v>
      </c>
      <c r="Q39">
        <v>48.69</v>
      </c>
      <c r="R39">
        <v>23.27</v>
      </c>
      <c r="S39">
        <v>25.4</v>
      </c>
      <c r="T39">
        <v>24.85</v>
      </c>
      <c r="U39">
        <v>52.35</v>
      </c>
      <c r="V39" s="6">
        <v>52.4</v>
      </c>
    </row>
    <row r="40" spans="1:22" x14ac:dyDescent="0.2">
      <c r="A40" s="4">
        <v>44616</v>
      </c>
      <c r="B40" s="3">
        <v>93.75</v>
      </c>
      <c r="C40">
        <v>64.02</v>
      </c>
      <c r="D40">
        <v>12.28</v>
      </c>
      <c r="E40">
        <v>18.55</v>
      </c>
      <c r="F40">
        <v>14.29</v>
      </c>
      <c r="G40">
        <v>27.64</v>
      </c>
      <c r="H40">
        <v>12.75</v>
      </c>
      <c r="I40">
        <v>29.92</v>
      </c>
      <c r="J40">
        <v>40.22</v>
      </c>
      <c r="K40">
        <v>14.51</v>
      </c>
      <c r="L40">
        <v>13.2</v>
      </c>
      <c r="M40">
        <v>12.57</v>
      </c>
      <c r="N40">
        <v>6.39</v>
      </c>
      <c r="O40">
        <v>36.5</v>
      </c>
      <c r="P40">
        <v>17.43</v>
      </c>
      <c r="Q40">
        <v>49.1</v>
      </c>
      <c r="R40">
        <v>23.65</v>
      </c>
      <c r="S40">
        <v>25.62</v>
      </c>
      <c r="T40">
        <v>24.82</v>
      </c>
      <c r="U40">
        <v>52.34</v>
      </c>
      <c r="V40" s="6">
        <v>48.39</v>
      </c>
    </row>
    <row r="41" spans="1:22" x14ac:dyDescent="0.2">
      <c r="A41" s="4">
        <v>44617</v>
      </c>
      <c r="B41" s="3">
        <v>95</v>
      </c>
      <c r="C41">
        <v>67.489999999999995</v>
      </c>
      <c r="D41">
        <v>12.5</v>
      </c>
      <c r="E41">
        <v>18.93</v>
      </c>
      <c r="F41">
        <v>14.56</v>
      </c>
      <c r="G41">
        <v>27.72</v>
      </c>
      <c r="H41">
        <v>12.96</v>
      </c>
      <c r="I41">
        <v>30.78</v>
      </c>
      <c r="J41">
        <v>41.41</v>
      </c>
      <c r="K41">
        <v>14.59</v>
      </c>
      <c r="L41">
        <v>13.09</v>
      </c>
      <c r="M41">
        <v>12.88</v>
      </c>
      <c r="N41">
        <v>6.46</v>
      </c>
      <c r="O41">
        <v>35.89</v>
      </c>
      <c r="P41">
        <v>17.579999999999998</v>
      </c>
      <c r="Q41">
        <v>50.14</v>
      </c>
      <c r="R41">
        <v>23.68</v>
      </c>
      <c r="S41">
        <v>25.57</v>
      </c>
      <c r="T41">
        <v>25.78</v>
      </c>
      <c r="U41">
        <v>51.6</v>
      </c>
      <c r="V41" s="6">
        <v>48.15</v>
      </c>
    </row>
    <row r="42" spans="1:22" x14ac:dyDescent="0.2">
      <c r="A42" s="4">
        <v>44622</v>
      </c>
      <c r="B42" s="3">
        <v>97.5</v>
      </c>
      <c r="C42">
        <v>72.88</v>
      </c>
      <c r="D42">
        <v>12.75</v>
      </c>
      <c r="E42">
        <v>18.61</v>
      </c>
      <c r="F42">
        <v>15.02</v>
      </c>
      <c r="G42">
        <v>28.52</v>
      </c>
      <c r="H42">
        <v>13.1</v>
      </c>
      <c r="I42">
        <v>30.54</v>
      </c>
      <c r="J42">
        <v>41.79</v>
      </c>
      <c r="K42">
        <v>14.43</v>
      </c>
      <c r="L42">
        <v>12.86</v>
      </c>
      <c r="M42">
        <v>12.3</v>
      </c>
      <c r="N42">
        <v>6.41</v>
      </c>
      <c r="O42">
        <v>36.549999999999997</v>
      </c>
      <c r="P42">
        <v>17.739999999999998</v>
      </c>
      <c r="Q42">
        <v>50.07</v>
      </c>
      <c r="R42">
        <v>22.98</v>
      </c>
      <c r="S42">
        <v>25.57</v>
      </c>
      <c r="T42">
        <v>28.1</v>
      </c>
      <c r="U42">
        <v>50.74</v>
      </c>
      <c r="V42" s="6">
        <v>48.99</v>
      </c>
    </row>
    <row r="43" spans="1:22" x14ac:dyDescent="0.2">
      <c r="A43" s="4">
        <v>44623</v>
      </c>
      <c r="B43" s="3">
        <v>97.23</v>
      </c>
      <c r="C43">
        <v>72.92</v>
      </c>
      <c r="D43">
        <v>12.59</v>
      </c>
      <c r="E43">
        <v>18.63</v>
      </c>
      <c r="F43">
        <v>14.9</v>
      </c>
      <c r="G43">
        <v>29.46</v>
      </c>
      <c r="H43">
        <v>13.07</v>
      </c>
      <c r="I43">
        <v>31.06</v>
      </c>
      <c r="J43">
        <v>42.12</v>
      </c>
      <c r="K43">
        <v>14.71</v>
      </c>
      <c r="L43">
        <v>13.26</v>
      </c>
      <c r="M43">
        <v>12.01</v>
      </c>
      <c r="N43">
        <v>6.43</v>
      </c>
      <c r="O43">
        <v>35.94</v>
      </c>
      <c r="P43">
        <v>17</v>
      </c>
      <c r="Q43">
        <v>48.92</v>
      </c>
      <c r="R43">
        <v>22.83</v>
      </c>
      <c r="S43">
        <v>25.62</v>
      </c>
      <c r="T43">
        <v>28.41</v>
      </c>
      <c r="U43">
        <v>49.84</v>
      </c>
      <c r="V43" s="6">
        <v>48.48</v>
      </c>
    </row>
    <row r="44" spans="1:22" x14ac:dyDescent="0.2">
      <c r="A44" s="4">
        <v>44624</v>
      </c>
      <c r="B44" s="3">
        <v>96.32</v>
      </c>
      <c r="C44">
        <v>74.58</v>
      </c>
      <c r="D44">
        <v>12.59</v>
      </c>
      <c r="E44">
        <v>18.350000000000001</v>
      </c>
      <c r="F44">
        <v>14.8</v>
      </c>
      <c r="G44">
        <v>29.71</v>
      </c>
      <c r="H44">
        <v>12.75</v>
      </c>
      <c r="I44">
        <v>30.71</v>
      </c>
      <c r="J44">
        <v>42.39</v>
      </c>
      <c r="K44">
        <v>14.29</v>
      </c>
      <c r="L44">
        <v>12.97</v>
      </c>
      <c r="M44">
        <v>11.8</v>
      </c>
      <c r="N44">
        <v>6.36</v>
      </c>
      <c r="O44">
        <v>35.83</v>
      </c>
      <c r="P44">
        <v>16.41</v>
      </c>
      <c r="Q44">
        <v>52.2</v>
      </c>
      <c r="R44">
        <v>22.2</v>
      </c>
      <c r="S44">
        <v>25.35</v>
      </c>
      <c r="T44">
        <v>28.15</v>
      </c>
      <c r="U44">
        <v>47.73</v>
      </c>
      <c r="V44" s="6">
        <v>48.43</v>
      </c>
    </row>
    <row r="45" spans="1:22" x14ac:dyDescent="0.2">
      <c r="A45" s="4">
        <v>44627</v>
      </c>
      <c r="B45" s="3">
        <v>94.3</v>
      </c>
      <c r="C45">
        <v>76.84</v>
      </c>
      <c r="D45">
        <v>11.69</v>
      </c>
      <c r="E45">
        <v>17.95</v>
      </c>
      <c r="F45">
        <v>13.66</v>
      </c>
      <c r="G45">
        <v>29.3</v>
      </c>
      <c r="H45">
        <v>12.2</v>
      </c>
      <c r="I45">
        <v>29.11</v>
      </c>
      <c r="J45">
        <v>41.4</v>
      </c>
      <c r="K45">
        <v>13.92</v>
      </c>
      <c r="L45">
        <v>12.48</v>
      </c>
      <c r="M45">
        <v>11.38</v>
      </c>
      <c r="N45">
        <v>6.16</v>
      </c>
      <c r="O45">
        <v>35.1</v>
      </c>
      <c r="P45">
        <v>15.3</v>
      </c>
      <c r="Q45">
        <v>52.88</v>
      </c>
      <c r="R45">
        <v>21.2</v>
      </c>
      <c r="S45">
        <v>24.99</v>
      </c>
      <c r="T45">
        <v>27.51</v>
      </c>
      <c r="U45">
        <v>45.75</v>
      </c>
      <c r="V45" s="6">
        <v>49.08</v>
      </c>
    </row>
    <row r="46" spans="1:22" x14ac:dyDescent="0.2">
      <c r="A46" s="4">
        <v>44628</v>
      </c>
      <c r="B46" s="3">
        <v>94.55</v>
      </c>
      <c r="C46">
        <v>73.47</v>
      </c>
      <c r="D46">
        <v>11.94</v>
      </c>
      <c r="E46">
        <v>17.78</v>
      </c>
      <c r="F46">
        <v>13.88</v>
      </c>
      <c r="G46">
        <v>29.76</v>
      </c>
      <c r="H46">
        <v>12.29</v>
      </c>
      <c r="I46">
        <v>29.49</v>
      </c>
      <c r="J46">
        <v>41.11</v>
      </c>
      <c r="K46">
        <v>14.1</v>
      </c>
      <c r="L46">
        <v>12.23</v>
      </c>
      <c r="M46">
        <v>11.39</v>
      </c>
      <c r="N46">
        <v>6.14</v>
      </c>
      <c r="O46">
        <v>35.229999999999997</v>
      </c>
      <c r="P46">
        <v>15.58</v>
      </c>
      <c r="Q46">
        <v>52.75</v>
      </c>
      <c r="R46">
        <v>21.61</v>
      </c>
      <c r="S46">
        <v>24.89</v>
      </c>
      <c r="T46">
        <v>27.9</v>
      </c>
      <c r="U46">
        <v>46.45</v>
      </c>
      <c r="V46" s="6">
        <v>48.79</v>
      </c>
    </row>
    <row r="47" spans="1:22" x14ac:dyDescent="0.2">
      <c r="A47" s="4">
        <v>44629</v>
      </c>
      <c r="B47" s="3">
        <v>95.83</v>
      </c>
      <c r="C47">
        <v>71.540000000000006</v>
      </c>
      <c r="D47">
        <v>11.97</v>
      </c>
      <c r="E47">
        <v>18.670000000000002</v>
      </c>
      <c r="F47">
        <v>13.88</v>
      </c>
      <c r="G47">
        <v>30.8</v>
      </c>
      <c r="H47">
        <v>12.99</v>
      </c>
      <c r="I47">
        <v>30.93</v>
      </c>
      <c r="J47">
        <v>43.39</v>
      </c>
      <c r="K47">
        <v>15.01</v>
      </c>
      <c r="L47">
        <v>12.39</v>
      </c>
      <c r="M47">
        <v>11.8</v>
      </c>
      <c r="N47">
        <v>6.47</v>
      </c>
      <c r="O47">
        <v>36.200000000000003</v>
      </c>
      <c r="P47">
        <v>16.46</v>
      </c>
      <c r="Q47">
        <v>53.79</v>
      </c>
      <c r="R47">
        <v>23.09</v>
      </c>
      <c r="S47">
        <v>25.77</v>
      </c>
      <c r="T47">
        <v>26.1</v>
      </c>
      <c r="U47">
        <v>50.04</v>
      </c>
      <c r="V47" s="6">
        <v>49.45</v>
      </c>
    </row>
    <row r="48" spans="1:22" x14ac:dyDescent="0.2">
      <c r="A48" s="4">
        <v>44630</v>
      </c>
      <c r="B48" s="3">
        <v>95.82</v>
      </c>
      <c r="C48">
        <v>73.900000000000006</v>
      </c>
      <c r="D48">
        <v>12.39</v>
      </c>
      <c r="E48">
        <v>18.68</v>
      </c>
      <c r="F48">
        <v>14.27</v>
      </c>
      <c r="G48">
        <v>29.91</v>
      </c>
      <c r="H48">
        <v>12.82</v>
      </c>
      <c r="I48">
        <v>30.7</v>
      </c>
      <c r="J48">
        <v>42.29</v>
      </c>
      <c r="K48">
        <v>14.91</v>
      </c>
      <c r="L48">
        <v>11.95</v>
      </c>
      <c r="M48">
        <v>11.34</v>
      </c>
      <c r="N48">
        <v>6.39</v>
      </c>
      <c r="O48">
        <v>35.33</v>
      </c>
      <c r="P48">
        <v>14.01</v>
      </c>
      <c r="Q48">
        <v>55.38</v>
      </c>
      <c r="R48">
        <v>22.53</v>
      </c>
      <c r="S48">
        <v>25.7</v>
      </c>
      <c r="T48">
        <v>25.78</v>
      </c>
      <c r="U48">
        <v>49.39</v>
      </c>
      <c r="V48" s="6">
        <v>48.41</v>
      </c>
    </row>
    <row r="49" spans="1:22" x14ac:dyDescent="0.2">
      <c r="A49" s="4">
        <v>44631</v>
      </c>
      <c r="B49" s="3">
        <v>95.85</v>
      </c>
      <c r="C49">
        <v>73.510000000000005</v>
      </c>
      <c r="D49">
        <v>11.95</v>
      </c>
      <c r="E49">
        <v>18.47</v>
      </c>
      <c r="F49">
        <v>13.93</v>
      </c>
      <c r="G49">
        <v>29.59</v>
      </c>
      <c r="H49">
        <v>12.57</v>
      </c>
      <c r="I49">
        <v>30.12</v>
      </c>
      <c r="J49">
        <v>41.84</v>
      </c>
      <c r="K49">
        <v>14.85</v>
      </c>
      <c r="L49">
        <v>11.91</v>
      </c>
      <c r="M49">
        <v>11.17</v>
      </c>
      <c r="N49">
        <v>6.33</v>
      </c>
      <c r="O49">
        <v>35.1</v>
      </c>
      <c r="P49">
        <v>13.17</v>
      </c>
      <c r="Q49">
        <v>55.61</v>
      </c>
      <c r="R49">
        <v>22.18</v>
      </c>
      <c r="S49">
        <v>25.34</v>
      </c>
      <c r="T49">
        <v>24.87</v>
      </c>
      <c r="U49">
        <v>48.18</v>
      </c>
      <c r="V49" s="6">
        <v>48.24</v>
      </c>
    </row>
    <row r="50" spans="1:22" x14ac:dyDescent="0.2">
      <c r="A50" s="4">
        <v>44634</v>
      </c>
      <c r="B50" s="3">
        <v>92.73</v>
      </c>
      <c r="C50">
        <v>69.569999999999993</v>
      </c>
      <c r="D50">
        <v>11.72</v>
      </c>
      <c r="E50">
        <v>18.73</v>
      </c>
      <c r="F50">
        <v>13.76</v>
      </c>
      <c r="G50">
        <v>29.25</v>
      </c>
      <c r="H50">
        <v>12.64</v>
      </c>
      <c r="I50">
        <v>29.82</v>
      </c>
      <c r="J50">
        <v>42.43</v>
      </c>
      <c r="K50">
        <v>14.96</v>
      </c>
      <c r="L50">
        <v>11.91</v>
      </c>
      <c r="M50">
        <v>11.28</v>
      </c>
      <c r="N50">
        <v>6.38</v>
      </c>
      <c r="O50">
        <v>35.21</v>
      </c>
      <c r="P50">
        <v>13.13</v>
      </c>
      <c r="Q50">
        <v>54.46</v>
      </c>
      <c r="R50">
        <v>21.74</v>
      </c>
      <c r="S50">
        <v>25.63</v>
      </c>
      <c r="T50">
        <v>23.52</v>
      </c>
      <c r="U50">
        <v>47.99</v>
      </c>
      <c r="V50" s="6">
        <v>47.56</v>
      </c>
    </row>
    <row r="51" spans="1:22" x14ac:dyDescent="0.2">
      <c r="A51" s="4">
        <v>44635</v>
      </c>
      <c r="B51" s="3">
        <v>92.1</v>
      </c>
      <c r="C51">
        <v>67.569999999999993</v>
      </c>
      <c r="D51">
        <v>11.44</v>
      </c>
      <c r="E51">
        <v>18.670000000000002</v>
      </c>
      <c r="F51">
        <v>13.5</v>
      </c>
      <c r="G51">
        <v>28.47</v>
      </c>
      <c r="H51">
        <v>12.49</v>
      </c>
      <c r="I51">
        <v>29.88</v>
      </c>
      <c r="J51">
        <v>42.73</v>
      </c>
      <c r="K51">
        <v>14.92</v>
      </c>
      <c r="L51">
        <v>11.94</v>
      </c>
      <c r="M51">
        <v>11.41</v>
      </c>
      <c r="N51">
        <v>6.32</v>
      </c>
      <c r="O51">
        <v>35.659999999999997</v>
      </c>
      <c r="P51">
        <v>13.5</v>
      </c>
      <c r="Q51">
        <v>53.32</v>
      </c>
      <c r="R51">
        <v>21.86</v>
      </c>
      <c r="S51">
        <v>25.68</v>
      </c>
      <c r="T51">
        <v>23.67</v>
      </c>
      <c r="U51">
        <v>47.67</v>
      </c>
      <c r="V51" s="6">
        <v>48.28</v>
      </c>
    </row>
    <row r="52" spans="1:22" x14ac:dyDescent="0.2">
      <c r="A52" s="4">
        <v>44636</v>
      </c>
      <c r="B52" s="3">
        <v>92.38</v>
      </c>
      <c r="C52">
        <v>69.209999999999994</v>
      </c>
      <c r="D52">
        <v>11.34</v>
      </c>
      <c r="E52">
        <v>19.03</v>
      </c>
      <c r="F52">
        <v>13.51</v>
      </c>
      <c r="G52">
        <v>30.15</v>
      </c>
      <c r="H52">
        <v>12.66</v>
      </c>
      <c r="I52">
        <v>29.62</v>
      </c>
      <c r="J52">
        <v>43.28</v>
      </c>
      <c r="K52">
        <v>15.14</v>
      </c>
      <c r="L52">
        <v>12.21</v>
      </c>
      <c r="M52">
        <v>11.67</v>
      </c>
      <c r="N52">
        <v>6.44</v>
      </c>
      <c r="O52">
        <v>36.39</v>
      </c>
      <c r="P52">
        <v>14.28</v>
      </c>
      <c r="Q52">
        <v>55.18</v>
      </c>
      <c r="R52">
        <v>22.55</v>
      </c>
      <c r="S52">
        <v>25.85</v>
      </c>
      <c r="T52">
        <v>23.12</v>
      </c>
      <c r="U52">
        <v>48.42</v>
      </c>
      <c r="V52" s="6">
        <v>49.1</v>
      </c>
    </row>
    <row r="53" spans="1:22" x14ac:dyDescent="0.2">
      <c r="A53" s="4">
        <v>44637</v>
      </c>
      <c r="B53" s="3">
        <v>95.25</v>
      </c>
      <c r="C53">
        <v>71.62</v>
      </c>
      <c r="D53">
        <v>11.03</v>
      </c>
      <c r="E53">
        <v>19.45</v>
      </c>
      <c r="F53">
        <v>13.16</v>
      </c>
      <c r="G53">
        <v>31.21</v>
      </c>
      <c r="H53">
        <v>12.77</v>
      </c>
      <c r="I53">
        <v>30.19</v>
      </c>
      <c r="J53">
        <v>44.33</v>
      </c>
      <c r="K53">
        <v>15.19</v>
      </c>
      <c r="L53">
        <v>12.48</v>
      </c>
      <c r="M53">
        <v>11.8</v>
      </c>
      <c r="N53">
        <v>6.61</v>
      </c>
      <c r="O53">
        <v>36.97</v>
      </c>
      <c r="P53">
        <v>14.68</v>
      </c>
      <c r="Q53">
        <v>56.07</v>
      </c>
      <c r="R53">
        <v>23.17</v>
      </c>
      <c r="S53">
        <v>26.24</v>
      </c>
      <c r="T53">
        <v>25.01</v>
      </c>
      <c r="U53">
        <v>48.98</v>
      </c>
      <c r="V53" s="6">
        <v>48.91</v>
      </c>
    </row>
    <row r="54" spans="1:22" x14ac:dyDescent="0.2">
      <c r="A54" s="4">
        <v>44638</v>
      </c>
      <c r="B54" s="3">
        <v>97.25</v>
      </c>
      <c r="C54">
        <v>72.98</v>
      </c>
      <c r="D54">
        <v>11.25</v>
      </c>
      <c r="E54">
        <v>19.59</v>
      </c>
      <c r="F54">
        <v>13.27</v>
      </c>
      <c r="G54">
        <v>31.39</v>
      </c>
      <c r="H54">
        <v>12.75</v>
      </c>
      <c r="I54">
        <v>31.04</v>
      </c>
      <c r="J54">
        <v>45.16</v>
      </c>
      <c r="K54">
        <v>15.16</v>
      </c>
      <c r="L54">
        <v>12.67</v>
      </c>
      <c r="M54">
        <v>12.07</v>
      </c>
      <c r="N54">
        <v>6.71</v>
      </c>
      <c r="O54">
        <v>37.32</v>
      </c>
      <c r="P54">
        <v>15.06</v>
      </c>
      <c r="Q54">
        <v>58.5</v>
      </c>
      <c r="R54">
        <v>23.6</v>
      </c>
      <c r="S54">
        <v>26.74</v>
      </c>
      <c r="T54">
        <v>25.87</v>
      </c>
      <c r="U54">
        <v>50.52</v>
      </c>
      <c r="V54" s="6">
        <v>49</v>
      </c>
    </row>
    <row r="55" spans="1:22" x14ac:dyDescent="0.2">
      <c r="A55" s="4">
        <v>44641</v>
      </c>
      <c r="B55" s="3">
        <v>97.93</v>
      </c>
      <c r="C55">
        <v>75.040000000000006</v>
      </c>
      <c r="D55">
        <v>11.68</v>
      </c>
      <c r="E55">
        <v>20.07</v>
      </c>
      <c r="F55">
        <v>13.72</v>
      </c>
      <c r="G55">
        <v>30.69</v>
      </c>
      <c r="H55">
        <v>13.01</v>
      </c>
      <c r="I55">
        <v>30.67</v>
      </c>
      <c r="J55">
        <v>45.5</v>
      </c>
      <c r="K55">
        <v>15.52</v>
      </c>
      <c r="L55">
        <v>12.46</v>
      </c>
      <c r="M55">
        <v>12.01</v>
      </c>
      <c r="N55">
        <v>6.88</v>
      </c>
      <c r="O55">
        <v>37.630000000000003</v>
      </c>
      <c r="P55">
        <v>15.19</v>
      </c>
      <c r="Q55">
        <v>56.33</v>
      </c>
      <c r="R55">
        <v>23.02</v>
      </c>
      <c r="S55">
        <v>26.82</v>
      </c>
      <c r="T55">
        <v>26.13</v>
      </c>
      <c r="U55">
        <v>49.56</v>
      </c>
      <c r="V55" s="6">
        <v>48.39</v>
      </c>
    </row>
    <row r="56" spans="1:22" x14ac:dyDescent="0.2">
      <c r="A56" s="4">
        <v>44642</v>
      </c>
      <c r="B56" s="3">
        <v>98.71</v>
      </c>
      <c r="C56">
        <v>73.37</v>
      </c>
      <c r="D56">
        <v>11.63</v>
      </c>
      <c r="E56">
        <v>20.350000000000001</v>
      </c>
      <c r="F56">
        <v>13.63</v>
      </c>
      <c r="G56">
        <v>31.11</v>
      </c>
      <c r="H56">
        <v>13.27</v>
      </c>
      <c r="I56">
        <v>31.74</v>
      </c>
      <c r="J56">
        <v>46</v>
      </c>
      <c r="K56">
        <v>15.71</v>
      </c>
      <c r="L56">
        <v>13.14</v>
      </c>
      <c r="M56">
        <v>12.18</v>
      </c>
      <c r="N56">
        <v>6.99</v>
      </c>
      <c r="O56">
        <v>36.950000000000003</v>
      </c>
      <c r="P56">
        <v>15.32</v>
      </c>
      <c r="Q56">
        <v>55.78</v>
      </c>
      <c r="R56">
        <v>23.68</v>
      </c>
      <c r="S56">
        <v>27.24</v>
      </c>
      <c r="T56">
        <v>26.52</v>
      </c>
      <c r="U56">
        <v>51.48</v>
      </c>
      <c r="V56" s="6">
        <v>49.37</v>
      </c>
    </row>
    <row r="57" spans="1:22" x14ac:dyDescent="0.2">
      <c r="A57" s="4">
        <v>44643</v>
      </c>
      <c r="B57" s="3">
        <v>98.8</v>
      </c>
      <c r="C57">
        <v>73.209999999999994</v>
      </c>
      <c r="D57">
        <v>11.78</v>
      </c>
      <c r="E57">
        <v>20.260000000000002</v>
      </c>
      <c r="F57">
        <v>13.76</v>
      </c>
      <c r="G57">
        <v>30.88</v>
      </c>
      <c r="H57">
        <v>13.2</v>
      </c>
      <c r="I57">
        <v>31.71</v>
      </c>
      <c r="J57">
        <v>45.73</v>
      </c>
      <c r="K57">
        <v>15.61</v>
      </c>
      <c r="L57">
        <v>13.26</v>
      </c>
      <c r="M57">
        <v>12.02</v>
      </c>
      <c r="N57">
        <v>6.96</v>
      </c>
      <c r="O57">
        <v>36.36</v>
      </c>
      <c r="P57">
        <v>15.15</v>
      </c>
      <c r="Q57">
        <v>54.45</v>
      </c>
      <c r="R57">
        <v>24</v>
      </c>
      <c r="S57">
        <v>27.1</v>
      </c>
      <c r="T57">
        <v>27.3</v>
      </c>
      <c r="U57">
        <v>51.6</v>
      </c>
      <c r="V57" s="6">
        <v>49.51</v>
      </c>
    </row>
    <row r="58" spans="1:22" x14ac:dyDescent="0.2">
      <c r="A58" s="4">
        <v>44644</v>
      </c>
      <c r="B58" s="3">
        <v>100.07</v>
      </c>
      <c r="C58">
        <v>73.599999999999994</v>
      </c>
      <c r="D58">
        <v>11.92</v>
      </c>
      <c r="E58">
        <v>20.39</v>
      </c>
      <c r="F58">
        <v>14</v>
      </c>
      <c r="G58">
        <v>31.24</v>
      </c>
      <c r="H58">
        <v>13.35</v>
      </c>
      <c r="I58">
        <v>32.03</v>
      </c>
      <c r="J58">
        <v>46.15</v>
      </c>
      <c r="K58">
        <v>15.84</v>
      </c>
      <c r="L58">
        <v>13.37</v>
      </c>
      <c r="M58">
        <v>12.03</v>
      </c>
      <c r="N58">
        <v>7.04</v>
      </c>
      <c r="O58">
        <v>36.79</v>
      </c>
      <c r="P58">
        <v>15.33</v>
      </c>
      <c r="Q58">
        <v>54.96</v>
      </c>
      <c r="R58">
        <v>24.47</v>
      </c>
      <c r="S58">
        <v>27.5</v>
      </c>
      <c r="T58">
        <v>26.07</v>
      </c>
      <c r="U58">
        <v>53.07</v>
      </c>
      <c r="V58" s="6">
        <v>49.5</v>
      </c>
    </row>
    <row r="59" spans="1:22" x14ac:dyDescent="0.2">
      <c r="A59" s="4">
        <v>44645</v>
      </c>
      <c r="B59" s="3">
        <v>100.16</v>
      </c>
      <c r="C59">
        <v>72.33</v>
      </c>
      <c r="D59">
        <v>11.88</v>
      </c>
      <c r="E59">
        <v>20.43</v>
      </c>
      <c r="F59">
        <v>14.01</v>
      </c>
      <c r="G59">
        <v>31</v>
      </c>
      <c r="H59">
        <v>13.34</v>
      </c>
      <c r="I59">
        <v>32.340000000000003</v>
      </c>
      <c r="J59">
        <v>44.84</v>
      </c>
      <c r="K59">
        <v>15.98</v>
      </c>
      <c r="L59">
        <v>13.76</v>
      </c>
      <c r="M59">
        <v>12.13</v>
      </c>
      <c r="N59">
        <v>7.02</v>
      </c>
      <c r="O59">
        <v>35.42</v>
      </c>
      <c r="P59">
        <v>15.17</v>
      </c>
      <c r="Q59">
        <v>51.67</v>
      </c>
      <c r="R59">
        <v>24.85</v>
      </c>
      <c r="S59">
        <v>27.3</v>
      </c>
      <c r="T59">
        <v>25.19</v>
      </c>
      <c r="U59">
        <v>54.57</v>
      </c>
      <c r="V59" s="6">
        <v>49.34</v>
      </c>
    </row>
    <row r="60" spans="1:22" x14ac:dyDescent="0.2">
      <c r="A60" s="4">
        <v>44648</v>
      </c>
      <c r="B60" s="3">
        <v>99.8</v>
      </c>
      <c r="C60">
        <v>72.41</v>
      </c>
      <c r="D60">
        <v>11.62</v>
      </c>
      <c r="E60">
        <v>20.41</v>
      </c>
      <c r="F60">
        <v>13.64</v>
      </c>
      <c r="G60">
        <v>31.71</v>
      </c>
      <c r="H60">
        <v>13.21</v>
      </c>
      <c r="I60">
        <v>32.380000000000003</v>
      </c>
      <c r="J60">
        <v>44.08</v>
      </c>
      <c r="K60">
        <v>15.9</v>
      </c>
      <c r="L60">
        <v>13.71</v>
      </c>
      <c r="M60">
        <v>12.49</v>
      </c>
      <c r="N60">
        <v>7</v>
      </c>
      <c r="O60">
        <v>36</v>
      </c>
      <c r="P60">
        <v>15.07</v>
      </c>
      <c r="Q60">
        <v>52.35</v>
      </c>
      <c r="R60">
        <v>24.89</v>
      </c>
      <c r="S60">
        <v>27.5</v>
      </c>
      <c r="T60">
        <v>24.99</v>
      </c>
      <c r="U60">
        <v>54.93</v>
      </c>
      <c r="V60" s="6">
        <v>48.73</v>
      </c>
    </row>
    <row r="61" spans="1:22" x14ac:dyDescent="0.2">
      <c r="A61" s="4">
        <v>44649</v>
      </c>
      <c r="B61" s="3">
        <v>101.1</v>
      </c>
      <c r="C61">
        <v>71.790000000000006</v>
      </c>
      <c r="D61">
        <v>11.88</v>
      </c>
      <c r="E61">
        <v>20.65</v>
      </c>
      <c r="F61">
        <v>13.81</v>
      </c>
      <c r="G61">
        <v>32.04</v>
      </c>
      <c r="H61">
        <v>13.27</v>
      </c>
      <c r="I61">
        <v>32.79</v>
      </c>
      <c r="J61">
        <v>44.94</v>
      </c>
      <c r="K61">
        <v>16.190000000000001</v>
      </c>
      <c r="L61">
        <v>14.12</v>
      </c>
      <c r="M61">
        <v>12.92</v>
      </c>
      <c r="N61">
        <v>7.06</v>
      </c>
      <c r="O61">
        <v>36.39</v>
      </c>
      <c r="P61">
        <v>15.6</v>
      </c>
      <c r="Q61">
        <v>51.62</v>
      </c>
      <c r="R61">
        <v>25.03</v>
      </c>
      <c r="S61">
        <v>27.57</v>
      </c>
      <c r="T61">
        <v>25.2</v>
      </c>
      <c r="U61">
        <v>55.75</v>
      </c>
      <c r="V61" s="6">
        <v>48.62</v>
      </c>
    </row>
    <row r="62" spans="1:22" x14ac:dyDescent="0.2">
      <c r="A62" s="4">
        <v>44650</v>
      </c>
      <c r="B62" s="3">
        <v>100.92</v>
      </c>
      <c r="C62">
        <v>72.81</v>
      </c>
      <c r="D62">
        <v>12.13</v>
      </c>
      <c r="E62">
        <v>20.7</v>
      </c>
      <c r="F62">
        <v>14.05</v>
      </c>
      <c r="G62">
        <v>32.229999999999997</v>
      </c>
      <c r="H62">
        <v>13.19</v>
      </c>
      <c r="I62">
        <v>32.71</v>
      </c>
      <c r="J62">
        <v>45.24</v>
      </c>
      <c r="K62">
        <v>16.09</v>
      </c>
      <c r="L62">
        <v>14.24</v>
      </c>
      <c r="M62">
        <v>12.85</v>
      </c>
      <c r="N62">
        <v>7.05</v>
      </c>
      <c r="O62">
        <v>36.86</v>
      </c>
      <c r="P62">
        <v>15.23</v>
      </c>
      <c r="Q62">
        <v>52.05</v>
      </c>
      <c r="R62">
        <v>24.28</v>
      </c>
      <c r="S62">
        <v>27.32</v>
      </c>
      <c r="T62">
        <v>25.04</v>
      </c>
      <c r="U62">
        <v>55.37</v>
      </c>
      <c r="V62" s="6">
        <v>47</v>
      </c>
    </row>
    <row r="63" spans="1:22" x14ac:dyDescent="0.2">
      <c r="A63" s="4">
        <v>44651</v>
      </c>
      <c r="B63" s="3">
        <v>101.1</v>
      </c>
      <c r="C63">
        <v>72.61</v>
      </c>
      <c r="D63">
        <v>12.3</v>
      </c>
      <c r="E63">
        <v>20.440000000000001</v>
      </c>
      <c r="F63">
        <v>14.1</v>
      </c>
      <c r="G63">
        <v>32.909999999999997</v>
      </c>
      <c r="H63">
        <v>13.12</v>
      </c>
      <c r="I63">
        <v>33.619999999999997</v>
      </c>
      <c r="J63">
        <v>47.71</v>
      </c>
      <c r="K63">
        <v>15.94</v>
      </c>
      <c r="L63">
        <v>14.28</v>
      </c>
      <c r="M63">
        <v>13.05</v>
      </c>
      <c r="N63">
        <v>6.99</v>
      </c>
      <c r="O63">
        <v>37.229999999999997</v>
      </c>
      <c r="P63">
        <v>14.94</v>
      </c>
      <c r="Q63">
        <v>50.21</v>
      </c>
      <c r="R63">
        <v>24</v>
      </c>
      <c r="S63">
        <v>27.21</v>
      </c>
      <c r="T63">
        <v>23.77</v>
      </c>
      <c r="U63">
        <v>54.92</v>
      </c>
      <c r="V63" s="6">
        <v>47.11</v>
      </c>
    </row>
    <row r="64" spans="1:22" x14ac:dyDescent="0.2">
      <c r="A64" s="4">
        <v>44652</v>
      </c>
      <c r="B64" s="3">
        <v>102.11</v>
      </c>
      <c r="C64">
        <v>73.64</v>
      </c>
      <c r="D64">
        <v>12.14</v>
      </c>
      <c r="E64">
        <v>20.49</v>
      </c>
      <c r="F64">
        <v>14.1</v>
      </c>
      <c r="G64">
        <v>33.39</v>
      </c>
      <c r="H64">
        <v>13.11</v>
      </c>
      <c r="I64">
        <v>34.79</v>
      </c>
      <c r="J64">
        <v>51.27</v>
      </c>
      <c r="K64">
        <v>15.77</v>
      </c>
      <c r="L64">
        <v>14.58</v>
      </c>
      <c r="M64">
        <v>13.04</v>
      </c>
      <c r="N64">
        <v>7.02</v>
      </c>
      <c r="O64">
        <v>37.51</v>
      </c>
      <c r="P64">
        <v>15.04</v>
      </c>
      <c r="Q64">
        <v>49.36</v>
      </c>
      <c r="R64">
        <v>24.55</v>
      </c>
      <c r="S64">
        <v>27.51</v>
      </c>
      <c r="T64">
        <v>24.45</v>
      </c>
      <c r="U64">
        <v>56.03</v>
      </c>
      <c r="V64" s="6">
        <v>47.79</v>
      </c>
    </row>
    <row r="65" spans="1:22" x14ac:dyDescent="0.2">
      <c r="A65" s="4">
        <v>44655</v>
      </c>
      <c r="B65" s="3">
        <v>102.01</v>
      </c>
      <c r="C65">
        <v>74.38</v>
      </c>
      <c r="D65">
        <v>12.02</v>
      </c>
      <c r="E65">
        <v>20.309999999999999</v>
      </c>
      <c r="F65">
        <v>13.96</v>
      </c>
      <c r="G65">
        <v>33.049999999999997</v>
      </c>
      <c r="H65">
        <v>12.99</v>
      </c>
      <c r="I65">
        <v>35.049999999999997</v>
      </c>
      <c r="J65">
        <v>51.55</v>
      </c>
      <c r="K65">
        <v>15.7</v>
      </c>
      <c r="L65">
        <v>14.67</v>
      </c>
      <c r="M65">
        <v>12.87</v>
      </c>
      <c r="N65">
        <v>6.97</v>
      </c>
      <c r="O65">
        <v>38</v>
      </c>
      <c r="P65">
        <v>15.23</v>
      </c>
      <c r="Q65">
        <v>49.27</v>
      </c>
      <c r="R65">
        <v>24.32</v>
      </c>
      <c r="S65">
        <v>27.38</v>
      </c>
      <c r="T65">
        <v>24.32</v>
      </c>
      <c r="U65">
        <v>55.76</v>
      </c>
      <c r="V65" s="6">
        <v>48.19</v>
      </c>
    </row>
    <row r="66" spans="1:22" x14ac:dyDescent="0.2">
      <c r="A66" s="4">
        <v>44656</v>
      </c>
      <c r="B66" s="3">
        <v>99.85</v>
      </c>
      <c r="C66">
        <v>72.23</v>
      </c>
      <c r="D66">
        <v>11.91</v>
      </c>
      <c r="E66">
        <v>19.899999999999999</v>
      </c>
      <c r="F66">
        <v>13.94</v>
      </c>
      <c r="G66">
        <v>32.68</v>
      </c>
      <c r="H66">
        <v>12.64</v>
      </c>
      <c r="I66">
        <v>33.700000000000003</v>
      </c>
      <c r="J66">
        <v>51.11</v>
      </c>
      <c r="K66">
        <v>15.26</v>
      </c>
      <c r="L66">
        <v>14.38</v>
      </c>
      <c r="M66">
        <v>12.77</v>
      </c>
      <c r="N66">
        <v>6.79</v>
      </c>
      <c r="O66">
        <v>37.79</v>
      </c>
      <c r="P66">
        <v>14.4</v>
      </c>
      <c r="Q66">
        <v>49.32</v>
      </c>
      <c r="R66">
        <v>23.36</v>
      </c>
      <c r="S66">
        <v>27.05</v>
      </c>
      <c r="T66">
        <v>24.01</v>
      </c>
      <c r="U66">
        <v>54.74</v>
      </c>
      <c r="V66" s="6">
        <v>47.18</v>
      </c>
    </row>
    <row r="67" spans="1:22" x14ac:dyDescent="0.2">
      <c r="A67" s="4">
        <v>44657</v>
      </c>
      <c r="B67" s="3">
        <v>99.4</v>
      </c>
      <c r="C67">
        <v>73.33</v>
      </c>
      <c r="D67">
        <v>11.9</v>
      </c>
      <c r="E67">
        <v>19.89</v>
      </c>
      <c r="F67">
        <v>13.98</v>
      </c>
      <c r="G67">
        <v>32.4</v>
      </c>
      <c r="H67">
        <v>12.71</v>
      </c>
      <c r="I67">
        <v>34.97</v>
      </c>
      <c r="J67">
        <v>50.32</v>
      </c>
      <c r="K67">
        <v>15.18</v>
      </c>
      <c r="L67">
        <v>14.42</v>
      </c>
      <c r="M67">
        <v>12.67</v>
      </c>
      <c r="N67">
        <v>6.74</v>
      </c>
      <c r="O67">
        <v>37.590000000000003</v>
      </c>
      <c r="P67">
        <v>14.2</v>
      </c>
      <c r="Q67">
        <v>50.38</v>
      </c>
      <c r="R67">
        <v>23.15</v>
      </c>
      <c r="S67">
        <v>26.59</v>
      </c>
      <c r="T67">
        <v>23.51</v>
      </c>
      <c r="U67">
        <v>53.1</v>
      </c>
      <c r="V67" s="6">
        <v>45.94</v>
      </c>
    </row>
    <row r="68" spans="1:22" x14ac:dyDescent="0.2">
      <c r="A68" s="4">
        <v>44658</v>
      </c>
      <c r="B68" s="3">
        <v>100</v>
      </c>
      <c r="C68">
        <v>73.77</v>
      </c>
      <c r="D68">
        <v>12.52</v>
      </c>
      <c r="E68">
        <v>19.87</v>
      </c>
      <c r="F68">
        <v>14.68</v>
      </c>
      <c r="G68">
        <v>32.200000000000003</v>
      </c>
      <c r="H68">
        <v>12.94</v>
      </c>
      <c r="I68">
        <v>36.06</v>
      </c>
      <c r="J68">
        <v>51.8</v>
      </c>
      <c r="K68">
        <v>15.25</v>
      </c>
      <c r="L68">
        <v>14.4</v>
      </c>
      <c r="M68">
        <v>12.76</v>
      </c>
      <c r="N68">
        <v>6.68</v>
      </c>
      <c r="O68">
        <v>37.6</v>
      </c>
      <c r="P68">
        <v>14.11</v>
      </c>
      <c r="Q68">
        <v>49.59</v>
      </c>
      <c r="R68">
        <v>23.63</v>
      </c>
      <c r="S68">
        <v>26.02</v>
      </c>
      <c r="T68">
        <v>23.52</v>
      </c>
      <c r="U68">
        <v>52.31</v>
      </c>
      <c r="V68" s="6">
        <v>45</v>
      </c>
    </row>
    <row r="69" spans="1:22" x14ac:dyDescent="0.2">
      <c r="A69" s="4">
        <v>44659</v>
      </c>
      <c r="B69" s="3">
        <v>99.82</v>
      </c>
      <c r="C69">
        <v>72.260000000000005</v>
      </c>
      <c r="D69">
        <v>12.58</v>
      </c>
      <c r="E69">
        <v>19.84</v>
      </c>
      <c r="F69">
        <v>14.84</v>
      </c>
      <c r="G69">
        <v>32.22</v>
      </c>
      <c r="H69">
        <v>13.17</v>
      </c>
      <c r="I69">
        <v>37.979999999999997</v>
      </c>
      <c r="J69">
        <v>51.65</v>
      </c>
      <c r="K69">
        <v>15.42</v>
      </c>
      <c r="L69">
        <v>14.18</v>
      </c>
      <c r="M69">
        <v>12.65</v>
      </c>
      <c r="N69">
        <v>6.68</v>
      </c>
      <c r="O69">
        <v>38.76</v>
      </c>
      <c r="P69">
        <v>13.93</v>
      </c>
      <c r="Q69">
        <v>49.62</v>
      </c>
      <c r="R69">
        <v>23.59</v>
      </c>
      <c r="S69">
        <v>25.84</v>
      </c>
      <c r="T69">
        <v>23.54</v>
      </c>
      <c r="U69">
        <v>51.93</v>
      </c>
      <c r="V69" s="6">
        <v>44.13</v>
      </c>
    </row>
    <row r="70" spans="1:22" x14ac:dyDescent="0.2">
      <c r="A70" s="4">
        <v>44662</v>
      </c>
      <c r="B70" s="3">
        <v>98.35</v>
      </c>
      <c r="C70">
        <v>71.39</v>
      </c>
      <c r="D70">
        <v>12.48</v>
      </c>
      <c r="E70">
        <v>19.760000000000002</v>
      </c>
      <c r="F70">
        <v>14.65</v>
      </c>
      <c r="G70">
        <v>30.72</v>
      </c>
      <c r="H70">
        <v>13.26</v>
      </c>
      <c r="I70">
        <v>36.94</v>
      </c>
      <c r="J70">
        <v>51.33</v>
      </c>
      <c r="K70">
        <v>15.4</v>
      </c>
      <c r="L70">
        <v>13.52</v>
      </c>
      <c r="M70">
        <v>12.88</v>
      </c>
      <c r="N70">
        <v>6.62</v>
      </c>
      <c r="O70">
        <v>38.1</v>
      </c>
      <c r="P70">
        <v>13.78</v>
      </c>
      <c r="Q70">
        <v>49.34</v>
      </c>
      <c r="R70">
        <v>23.27</v>
      </c>
      <c r="S70">
        <v>25.5</v>
      </c>
      <c r="T70">
        <v>23.31</v>
      </c>
      <c r="U70">
        <v>51.87</v>
      </c>
      <c r="V70" s="6">
        <v>42.95</v>
      </c>
    </row>
    <row r="71" spans="1:22" x14ac:dyDescent="0.2">
      <c r="A71" s="4">
        <v>44663</v>
      </c>
      <c r="B71" s="3">
        <v>98.11</v>
      </c>
      <c r="C71">
        <v>70.91</v>
      </c>
      <c r="D71">
        <v>12.45</v>
      </c>
      <c r="E71">
        <v>19.41</v>
      </c>
      <c r="F71">
        <v>14.66</v>
      </c>
      <c r="G71">
        <v>30.55</v>
      </c>
      <c r="H71">
        <v>13.23</v>
      </c>
      <c r="I71">
        <v>37.4</v>
      </c>
      <c r="J71">
        <v>50.51</v>
      </c>
      <c r="K71">
        <v>15.26</v>
      </c>
      <c r="L71">
        <v>13.04</v>
      </c>
      <c r="M71">
        <v>12.75</v>
      </c>
      <c r="N71">
        <v>6.56</v>
      </c>
      <c r="O71">
        <v>37.36</v>
      </c>
      <c r="P71">
        <v>13.55</v>
      </c>
      <c r="Q71">
        <v>48.71</v>
      </c>
      <c r="R71">
        <v>22.86</v>
      </c>
      <c r="S71">
        <v>25.48</v>
      </c>
      <c r="T71">
        <v>23.71</v>
      </c>
      <c r="U71">
        <v>52.13</v>
      </c>
      <c r="V71" s="6">
        <v>42.29</v>
      </c>
    </row>
    <row r="72" spans="1:22" x14ac:dyDescent="0.2">
      <c r="A72" s="4">
        <v>44664</v>
      </c>
      <c r="B72" s="3">
        <v>98.51</v>
      </c>
      <c r="C72">
        <v>70.94</v>
      </c>
      <c r="D72">
        <v>12.71</v>
      </c>
      <c r="E72">
        <v>19.47</v>
      </c>
      <c r="F72">
        <v>15.02</v>
      </c>
      <c r="G72">
        <v>30.73</v>
      </c>
      <c r="H72">
        <v>13.29</v>
      </c>
      <c r="I72">
        <v>38.42</v>
      </c>
      <c r="J72">
        <v>50.78</v>
      </c>
      <c r="K72">
        <v>15.42</v>
      </c>
      <c r="L72">
        <v>13.09</v>
      </c>
      <c r="M72">
        <v>12.56</v>
      </c>
      <c r="N72">
        <v>6.56</v>
      </c>
      <c r="O72">
        <v>37.450000000000003</v>
      </c>
      <c r="P72">
        <v>13.89</v>
      </c>
      <c r="Q72">
        <v>48.97</v>
      </c>
      <c r="R72">
        <v>23.39</v>
      </c>
      <c r="S72">
        <v>25.4</v>
      </c>
      <c r="T72">
        <v>24.3</v>
      </c>
      <c r="U72">
        <v>51.82</v>
      </c>
      <c r="V72" s="6">
        <v>41.54</v>
      </c>
    </row>
    <row r="73" spans="1:22" x14ac:dyDescent="0.2">
      <c r="A73" s="4">
        <v>44665</v>
      </c>
      <c r="B73" s="3">
        <v>97.43</v>
      </c>
      <c r="C73">
        <v>69.94</v>
      </c>
      <c r="D73">
        <v>12.58</v>
      </c>
      <c r="E73">
        <v>19.59</v>
      </c>
      <c r="F73">
        <v>15.1</v>
      </c>
      <c r="G73">
        <v>30.47</v>
      </c>
      <c r="H73">
        <v>13.31</v>
      </c>
      <c r="I73">
        <v>38.42</v>
      </c>
      <c r="J73">
        <v>50.28</v>
      </c>
      <c r="K73">
        <v>15.38</v>
      </c>
      <c r="L73">
        <v>13.17</v>
      </c>
      <c r="M73">
        <v>12.45</v>
      </c>
      <c r="N73">
        <v>6.57</v>
      </c>
      <c r="O73">
        <v>38.479999999999997</v>
      </c>
      <c r="P73">
        <v>13.69</v>
      </c>
      <c r="Q73">
        <v>48.81</v>
      </c>
      <c r="R73">
        <v>23.14</v>
      </c>
      <c r="S73">
        <v>25.89</v>
      </c>
      <c r="T73">
        <v>24.86</v>
      </c>
      <c r="U73">
        <v>51.4</v>
      </c>
      <c r="V73" s="6">
        <v>40.159999999999997</v>
      </c>
    </row>
    <row r="74" spans="1:22" x14ac:dyDescent="0.2">
      <c r="A74" s="4">
        <v>44669</v>
      </c>
      <c r="B74" s="3">
        <v>97.23</v>
      </c>
      <c r="C74">
        <v>68.790000000000006</v>
      </c>
      <c r="D74">
        <v>12.36</v>
      </c>
      <c r="E74">
        <v>19.7</v>
      </c>
      <c r="F74">
        <v>14.83</v>
      </c>
      <c r="G74">
        <v>30.11</v>
      </c>
      <c r="H74">
        <v>13.8</v>
      </c>
      <c r="I74">
        <v>37.6</v>
      </c>
      <c r="J74">
        <v>50.21</v>
      </c>
      <c r="K74">
        <v>15.66</v>
      </c>
      <c r="L74">
        <v>13.19</v>
      </c>
      <c r="M74">
        <v>12.46</v>
      </c>
      <c r="N74">
        <v>6.61</v>
      </c>
      <c r="O74">
        <v>38.58</v>
      </c>
      <c r="P74">
        <v>13.51</v>
      </c>
      <c r="Q74">
        <v>47.43</v>
      </c>
      <c r="R74">
        <v>23.27</v>
      </c>
      <c r="S74">
        <v>25.6</v>
      </c>
      <c r="T74">
        <v>24.8</v>
      </c>
      <c r="U74">
        <v>51.51</v>
      </c>
      <c r="V74" s="6">
        <v>40.14</v>
      </c>
    </row>
    <row r="75" spans="1:22" x14ac:dyDescent="0.2">
      <c r="A75" s="4">
        <v>44670</v>
      </c>
      <c r="B75" s="3">
        <v>96.6</v>
      </c>
      <c r="C75">
        <v>66.59</v>
      </c>
      <c r="D75">
        <v>12.73</v>
      </c>
      <c r="E75">
        <v>19.350000000000001</v>
      </c>
      <c r="F75">
        <v>15.09</v>
      </c>
      <c r="G75">
        <v>29.6</v>
      </c>
      <c r="H75">
        <v>13.31</v>
      </c>
      <c r="I75">
        <v>35.94</v>
      </c>
      <c r="J75">
        <v>48.28</v>
      </c>
      <c r="K75">
        <v>15.45</v>
      </c>
      <c r="L75">
        <v>13.21</v>
      </c>
      <c r="M75">
        <v>12.41</v>
      </c>
      <c r="N75">
        <v>6.54</v>
      </c>
      <c r="O75">
        <v>37.61</v>
      </c>
      <c r="P75">
        <v>14.04</v>
      </c>
      <c r="Q75">
        <v>47.79</v>
      </c>
      <c r="R75">
        <v>23.88</v>
      </c>
      <c r="S75">
        <v>25.25</v>
      </c>
      <c r="T75">
        <v>24.62</v>
      </c>
      <c r="U75">
        <v>52.45</v>
      </c>
      <c r="V75" s="6">
        <v>40.28</v>
      </c>
    </row>
    <row r="76" spans="1:22" x14ac:dyDescent="0.2">
      <c r="A76" s="4">
        <v>44671</v>
      </c>
      <c r="B76" s="3">
        <v>95.95</v>
      </c>
      <c r="C76">
        <v>64.86</v>
      </c>
      <c r="D76">
        <v>12.79</v>
      </c>
      <c r="E76">
        <v>19.48</v>
      </c>
      <c r="F76">
        <v>15.26</v>
      </c>
      <c r="G76">
        <v>29.65</v>
      </c>
      <c r="H76">
        <v>13.29</v>
      </c>
      <c r="I76">
        <v>37.36</v>
      </c>
      <c r="J76">
        <v>47.35</v>
      </c>
      <c r="K76">
        <v>15.4</v>
      </c>
      <c r="L76">
        <v>13.35</v>
      </c>
      <c r="M76">
        <v>12.48</v>
      </c>
      <c r="N76">
        <v>6.54</v>
      </c>
      <c r="O76">
        <v>38.369999999999997</v>
      </c>
      <c r="P76">
        <v>13.9</v>
      </c>
      <c r="Q76">
        <v>47.33</v>
      </c>
      <c r="R76">
        <v>24.2</v>
      </c>
      <c r="S76">
        <v>25.45</v>
      </c>
      <c r="T76">
        <v>25.66</v>
      </c>
      <c r="U76">
        <v>52.28</v>
      </c>
      <c r="V76" s="6">
        <v>39.340000000000003</v>
      </c>
    </row>
    <row r="77" spans="1:22" x14ac:dyDescent="0.2">
      <c r="A77" s="4">
        <v>44673</v>
      </c>
      <c r="B77" s="3">
        <v>92.95</v>
      </c>
      <c r="C77">
        <v>61.1</v>
      </c>
      <c r="D77">
        <v>12.29</v>
      </c>
      <c r="E77">
        <v>19.100000000000001</v>
      </c>
      <c r="F77">
        <v>14.5</v>
      </c>
      <c r="G77">
        <v>29.55</v>
      </c>
      <c r="H77">
        <v>13.01</v>
      </c>
      <c r="I77">
        <v>35.51</v>
      </c>
      <c r="J77">
        <v>46.4</v>
      </c>
      <c r="K77">
        <v>15.18</v>
      </c>
      <c r="L77">
        <v>13.05</v>
      </c>
      <c r="M77">
        <v>12.5</v>
      </c>
      <c r="N77">
        <v>6.44</v>
      </c>
      <c r="O77">
        <v>38.32</v>
      </c>
      <c r="P77">
        <v>13.69</v>
      </c>
      <c r="Q77">
        <v>46.95</v>
      </c>
      <c r="R77">
        <v>23.29</v>
      </c>
      <c r="S77">
        <v>25.18</v>
      </c>
      <c r="T77">
        <v>24.44</v>
      </c>
      <c r="U77">
        <v>50.25</v>
      </c>
      <c r="V77" s="6">
        <v>38.11</v>
      </c>
    </row>
    <row r="78" spans="1:22" x14ac:dyDescent="0.2">
      <c r="A78" s="4">
        <v>44676</v>
      </c>
      <c r="B78" s="3">
        <v>92.75</v>
      </c>
      <c r="C78">
        <v>60.06</v>
      </c>
      <c r="D78">
        <v>12.11</v>
      </c>
      <c r="E78">
        <v>19.03</v>
      </c>
      <c r="F78">
        <v>14.4</v>
      </c>
      <c r="G78">
        <v>29.45</v>
      </c>
      <c r="H78">
        <v>13.12</v>
      </c>
      <c r="I78">
        <v>36.29</v>
      </c>
      <c r="J78">
        <v>46.72</v>
      </c>
      <c r="K78">
        <v>15.08</v>
      </c>
      <c r="L78">
        <v>12.83</v>
      </c>
      <c r="M78">
        <v>12.81</v>
      </c>
      <c r="N78">
        <v>6.43</v>
      </c>
      <c r="O78">
        <v>38.08</v>
      </c>
      <c r="P78">
        <v>14.02</v>
      </c>
      <c r="Q78">
        <v>47.12</v>
      </c>
      <c r="R78">
        <v>23.15</v>
      </c>
      <c r="S78">
        <v>25.76</v>
      </c>
      <c r="T78">
        <v>24.66</v>
      </c>
      <c r="U78">
        <v>49.75</v>
      </c>
      <c r="V78" s="6">
        <v>38.61</v>
      </c>
    </row>
    <row r="79" spans="1:22" x14ac:dyDescent="0.2">
      <c r="A79" s="4">
        <v>44677</v>
      </c>
      <c r="B79" s="3">
        <v>90.9</v>
      </c>
      <c r="C79">
        <v>59.24</v>
      </c>
      <c r="D79">
        <v>12.09</v>
      </c>
      <c r="E79">
        <v>18.38</v>
      </c>
      <c r="F79">
        <v>14.38</v>
      </c>
      <c r="G79">
        <v>28.29</v>
      </c>
      <c r="H79">
        <v>12.82</v>
      </c>
      <c r="I79">
        <v>35.659999999999997</v>
      </c>
      <c r="J79">
        <v>46.15</v>
      </c>
      <c r="K79">
        <v>14.43</v>
      </c>
      <c r="L79">
        <v>12.37</v>
      </c>
      <c r="M79">
        <v>12.5</v>
      </c>
      <c r="N79">
        <v>6.15</v>
      </c>
      <c r="O79">
        <v>37.61</v>
      </c>
      <c r="P79">
        <v>13.59</v>
      </c>
      <c r="Q79">
        <v>46.16</v>
      </c>
      <c r="R79">
        <v>21.98</v>
      </c>
      <c r="S79">
        <v>26.02</v>
      </c>
      <c r="T79">
        <v>25.27</v>
      </c>
      <c r="U79">
        <v>47.81</v>
      </c>
      <c r="V79" s="6">
        <v>37.520000000000003</v>
      </c>
    </row>
    <row r="80" spans="1:22" x14ac:dyDescent="0.2">
      <c r="A80" s="4">
        <v>44678</v>
      </c>
      <c r="B80" s="3">
        <v>91.8</v>
      </c>
      <c r="C80">
        <v>62.41</v>
      </c>
      <c r="D80">
        <v>12.09</v>
      </c>
      <c r="E80">
        <v>18.23</v>
      </c>
      <c r="F80">
        <v>14.43</v>
      </c>
      <c r="G80">
        <v>29.85</v>
      </c>
      <c r="H80">
        <v>12.88</v>
      </c>
      <c r="I80">
        <v>36.229999999999997</v>
      </c>
      <c r="J80">
        <v>46.18</v>
      </c>
      <c r="K80">
        <v>14.52</v>
      </c>
      <c r="L80">
        <v>12.28</v>
      </c>
      <c r="M80">
        <v>12.44</v>
      </c>
      <c r="N80">
        <v>6.11</v>
      </c>
      <c r="O80">
        <v>39.03</v>
      </c>
      <c r="P80">
        <v>13.47</v>
      </c>
      <c r="Q80">
        <v>46.07</v>
      </c>
      <c r="R80">
        <v>21.98</v>
      </c>
      <c r="S80">
        <v>26.37</v>
      </c>
      <c r="T80">
        <v>25.55</v>
      </c>
      <c r="U80">
        <v>48.27</v>
      </c>
      <c r="V80" s="6">
        <v>37.36</v>
      </c>
    </row>
    <row r="81" spans="1:22" x14ac:dyDescent="0.2">
      <c r="A81" s="4">
        <v>44679</v>
      </c>
      <c r="B81" s="3">
        <v>92.58</v>
      </c>
      <c r="C81">
        <v>63.95</v>
      </c>
      <c r="D81">
        <v>12.17</v>
      </c>
      <c r="E81">
        <v>18.079999999999998</v>
      </c>
      <c r="F81">
        <v>14.53</v>
      </c>
      <c r="G81">
        <v>29.38</v>
      </c>
      <c r="H81">
        <v>12.86</v>
      </c>
      <c r="I81">
        <v>36.67</v>
      </c>
      <c r="J81">
        <v>46.3</v>
      </c>
      <c r="K81">
        <v>14.39</v>
      </c>
      <c r="L81">
        <v>12.34</v>
      </c>
      <c r="M81">
        <v>12.46</v>
      </c>
      <c r="N81">
        <v>6.08</v>
      </c>
      <c r="O81">
        <v>38.85</v>
      </c>
      <c r="P81">
        <v>14.35</v>
      </c>
      <c r="Q81">
        <v>46.41</v>
      </c>
      <c r="R81">
        <v>22.24</v>
      </c>
      <c r="S81">
        <v>26.03</v>
      </c>
      <c r="T81">
        <v>26.24</v>
      </c>
      <c r="U81">
        <v>49.08</v>
      </c>
      <c r="V81" s="6">
        <v>36.56</v>
      </c>
    </row>
    <row r="82" spans="1:22" x14ac:dyDescent="0.2">
      <c r="A82" s="4">
        <v>44680</v>
      </c>
      <c r="B82" s="3">
        <v>91</v>
      </c>
      <c r="C82">
        <v>63.26</v>
      </c>
      <c r="D82">
        <v>12.18</v>
      </c>
      <c r="E82">
        <v>17.760000000000002</v>
      </c>
      <c r="F82">
        <v>14.53</v>
      </c>
      <c r="G82">
        <v>28.41</v>
      </c>
      <c r="H82">
        <v>12.56</v>
      </c>
      <c r="I82">
        <v>36.51</v>
      </c>
      <c r="J82">
        <v>44.53</v>
      </c>
      <c r="K82">
        <v>14.2</v>
      </c>
      <c r="L82">
        <v>12.09</v>
      </c>
      <c r="M82">
        <v>12.3</v>
      </c>
      <c r="N82">
        <v>5.99</v>
      </c>
      <c r="O82">
        <v>37.85</v>
      </c>
      <c r="P82">
        <v>14.2</v>
      </c>
      <c r="Q82">
        <v>45.17</v>
      </c>
      <c r="R82">
        <v>21.28</v>
      </c>
      <c r="S82">
        <v>25.64</v>
      </c>
      <c r="T82">
        <v>26.66</v>
      </c>
      <c r="U82">
        <v>47.59</v>
      </c>
      <c r="V82" s="6">
        <v>34.74</v>
      </c>
    </row>
    <row r="83" spans="1:22" x14ac:dyDescent="0.2">
      <c r="A83" s="4">
        <v>44683</v>
      </c>
      <c r="B83" s="3">
        <v>89.5</v>
      </c>
      <c r="C83">
        <v>62.98</v>
      </c>
      <c r="D83">
        <v>12.06</v>
      </c>
      <c r="E83">
        <v>17.68</v>
      </c>
      <c r="F83">
        <v>14.27</v>
      </c>
      <c r="G83">
        <v>27.31</v>
      </c>
      <c r="H83">
        <v>12.47</v>
      </c>
      <c r="I83">
        <v>35.229999999999997</v>
      </c>
      <c r="J83">
        <v>44.83</v>
      </c>
      <c r="K83">
        <v>14.19</v>
      </c>
      <c r="L83">
        <v>11.63</v>
      </c>
      <c r="M83">
        <v>12.26</v>
      </c>
      <c r="N83">
        <v>5.95</v>
      </c>
      <c r="O83">
        <v>37.69</v>
      </c>
      <c r="P83">
        <v>13.81</v>
      </c>
      <c r="Q83">
        <v>46.5</v>
      </c>
      <c r="R83">
        <v>21.27</v>
      </c>
      <c r="S83">
        <v>24.91</v>
      </c>
      <c r="T83">
        <v>25.11</v>
      </c>
      <c r="U83">
        <v>46.51</v>
      </c>
      <c r="V83" s="6">
        <v>33.979999999999997</v>
      </c>
    </row>
    <row r="84" spans="1:22" x14ac:dyDescent="0.2">
      <c r="A84" s="4">
        <v>44684</v>
      </c>
      <c r="B84" s="3">
        <v>89.5</v>
      </c>
      <c r="C84">
        <v>62.66</v>
      </c>
      <c r="D84">
        <v>12.17</v>
      </c>
      <c r="E84">
        <v>17.77</v>
      </c>
      <c r="F84">
        <v>14.37</v>
      </c>
      <c r="G84">
        <v>26.81</v>
      </c>
      <c r="H84">
        <v>12.72</v>
      </c>
      <c r="I84">
        <v>35.04</v>
      </c>
      <c r="J84">
        <v>44.68</v>
      </c>
      <c r="K84">
        <v>14.28</v>
      </c>
      <c r="L84">
        <v>11.4</v>
      </c>
      <c r="M84">
        <v>12.06</v>
      </c>
      <c r="N84">
        <v>5.94</v>
      </c>
      <c r="O84">
        <v>37.200000000000003</v>
      </c>
      <c r="P84">
        <v>14.16</v>
      </c>
      <c r="Q84">
        <v>46.67</v>
      </c>
      <c r="R84">
        <v>20.87</v>
      </c>
      <c r="S84">
        <v>24.68</v>
      </c>
      <c r="T84">
        <v>25.79</v>
      </c>
      <c r="U84">
        <v>47.39</v>
      </c>
      <c r="V84" s="6">
        <v>33.94</v>
      </c>
    </row>
    <row r="85" spans="1:22" x14ac:dyDescent="0.2">
      <c r="A85" s="4">
        <v>44685</v>
      </c>
      <c r="B85" s="3">
        <v>91</v>
      </c>
      <c r="C85">
        <v>62.13</v>
      </c>
      <c r="D85">
        <v>12.9</v>
      </c>
      <c r="E85">
        <v>17.75</v>
      </c>
      <c r="F85">
        <v>15.05</v>
      </c>
      <c r="G85">
        <v>27.31</v>
      </c>
      <c r="H85">
        <v>13.09</v>
      </c>
      <c r="I85">
        <v>35.85</v>
      </c>
      <c r="J85">
        <v>45.29</v>
      </c>
      <c r="K85">
        <v>14.49</v>
      </c>
      <c r="L85">
        <v>11.49</v>
      </c>
      <c r="M85">
        <v>12.15</v>
      </c>
      <c r="N85">
        <v>5.92</v>
      </c>
      <c r="O85">
        <v>36.07</v>
      </c>
      <c r="P85">
        <v>14.5</v>
      </c>
      <c r="Q85">
        <v>47.31</v>
      </c>
      <c r="R85">
        <v>21.3</v>
      </c>
      <c r="S85">
        <v>25.23</v>
      </c>
      <c r="T85">
        <v>27.29</v>
      </c>
      <c r="U85">
        <v>49.42</v>
      </c>
      <c r="V85" s="6">
        <v>35.42</v>
      </c>
    </row>
    <row r="86" spans="1:22" x14ac:dyDescent="0.2">
      <c r="A86" s="4">
        <v>44686</v>
      </c>
      <c r="B86" s="3">
        <v>88.55</v>
      </c>
      <c r="C86">
        <v>61.01</v>
      </c>
      <c r="D86">
        <v>12.88</v>
      </c>
      <c r="E86">
        <v>17.34</v>
      </c>
      <c r="F86">
        <v>14.95</v>
      </c>
      <c r="G86">
        <v>26.57</v>
      </c>
      <c r="H86">
        <v>12.75</v>
      </c>
      <c r="I86">
        <v>35.270000000000003</v>
      </c>
      <c r="J86">
        <v>43.88</v>
      </c>
      <c r="K86">
        <v>14.01</v>
      </c>
      <c r="L86">
        <v>11.01</v>
      </c>
      <c r="M86">
        <v>11.63</v>
      </c>
      <c r="N86">
        <v>5.77</v>
      </c>
      <c r="O86">
        <v>35.26</v>
      </c>
      <c r="P86">
        <v>14.48</v>
      </c>
      <c r="Q86">
        <v>48.58</v>
      </c>
      <c r="R86">
        <v>20.39</v>
      </c>
      <c r="S86">
        <v>24.3</v>
      </c>
      <c r="T86">
        <v>26.51</v>
      </c>
      <c r="U86">
        <v>48.11</v>
      </c>
      <c r="V86" s="6">
        <v>33.700000000000003</v>
      </c>
    </row>
    <row r="87" spans="1:22" x14ac:dyDescent="0.2">
      <c r="A87" s="4">
        <v>44687</v>
      </c>
      <c r="B87" s="3">
        <v>88.46</v>
      </c>
      <c r="C87">
        <v>60.58</v>
      </c>
      <c r="D87">
        <v>13.3</v>
      </c>
      <c r="E87">
        <v>17.71</v>
      </c>
      <c r="F87">
        <v>15.51</v>
      </c>
      <c r="G87">
        <v>25.62</v>
      </c>
      <c r="H87">
        <v>12.79</v>
      </c>
      <c r="I87">
        <v>34.869999999999997</v>
      </c>
      <c r="J87">
        <v>44.1</v>
      </c>
      <c r="K87">
        <v>14.3</v>
      </c>
      <c r="L87">
        <v>10.7</v>
      </c>
      <c r="M87">
        <v>11.46</v>
      </c>
      <c r="N87">
        <v>5.79</v>
      </c>
      <c r="O87">
        <v>35.43</v>
      </c>
      <c r="P87">
        <v>14.28</v>
      </c>
      <c r="Q87">
        <v>47.71</v>
      </c>
      <c r="R87">
        <v>20.190000000000001</v>
      </c>
      <c r="S87">
        <v>23.97</v>
      </c>
      <c r="T87">
        <v>26.46</v>
      </c>
      <c r="U87">
        <v>47.06</v>
      </c>
      <c r="V87" s="6">
        <v>32.97</v>
      </c>
    </row>
    <row r="88" spans="1:22" x14ac:dyDescent="0.2">
      <c r="A88" s="4">
        <v>44690</v>
      </c>
      <c r="B88" s="3">
        <v>86.75</v>
      </c>
      <c r="C88">
        <v>58.09</v>
      </c>
      <c r="D88">
        <v>12.94</v>
      </c>
      <c r="E88">
        <v>17.46</v>
      </c>
      <c r="F88">
        <v>14.89</v>
      </c>
      <c r="G88">
        <v>25.16</v>
      </c>
      <c r="H88">
        <v>12.83</v>
      </c>
      <c r="I88">
        <v>35.130000000000003</v>
      </c>
      <c r="J88">
        <v>45.24</v>
      </c>
      <c r="K88">
        <v>14.52</v>
      </c>
      <c r="L88">
        <v>10.67</v>
      </c>
      <c r="M88">
        <v>11.6</v>
      </c>
      <c r="N88">
        <v>5.71</v>
      </c>
      <c r="O88">
        <v>36.11</v>
      </c>
      <c r="P88">
        <v>13.14</v>
      </c>
      <c r="Q88">
        <v>46.39</v>
      </c>
      <c r="R88">
        <v>20.92</v>
      </c>
      <c r="S88">
        <v>24.32</v>
      </c>
      <c r="T88">
        <v>24.18</v>
      </c>
      <c r="U88">
        <v>46.72</v>
      </c>
      <c r="V88" s="6">
        <v>32.56</v>
      </c>
    </row>
    <row r="89" spans="1:22" x14ac:dyDescent="0.2">
      <c r="A89" s="4">
        <v>44691</v>
      </c>
      <c r="B89" s="3">
        <v>86.64</v>
      </c>
      <c r="C89">
        <v>57.37</v>
      </c>
      <c r="D89">
        <v>13.05</v>
      </c>
      <c r="E89">
        <v>17.37</v>
      </c>
      <c r="F89">
        <v>15.08</v>
      </c>
      <c r="G89">
        <v>24.65</v>
      </c>
      <c r="H89">
        <v>12.68</v>
      </c>
      <c r="I89">
        <v>35.96</v>
      </c>
      <c r="J89">
        <v>46.01</v>
      </c>
      <c r="K89">
        <v>14.66</v>
      </c>
      <c r="L89">
        <v>10.51</v>
      </c>
      <c r="M89">
        <v>11.63</v>
      </c>
      <c r="N89">
        <v>5.67</v>
      </c>
      <c r="O89">
        <v>35.71</v>
      </c>
      <c r="P89">
        <v>13.04</v>
      </c>
      <c r="Q89">
        <v>45.17</v>
      </c>
      <c r="R89">
        <v>21.54</v>
      </c>
      <c r="S89">
        <v>24.27</v>
      </c>
      <c r="T89">
        <v>24.23</v>
      </c>
      <c r="U89">
        <v>47.48</v>
      </c>
      <c r="V89" s="6">
        <v>31.83</v>
      </c>
    </row>
    <row r="90" spans="1:22" x14ac:dyDescent="0.2">
      <c r="A90" s="4">
        <v>44692</v>
      </c>
      <c r="B90" s="3">
        <v>88.1</v>
      </c>
      <c r="C90">
        <v>59.76</v>
      </c>
      <c r="D90">
        <v>13.5</v>
      </c>
      <c r="E90">
        <v>17.95</v>
      </c>
      <c r="F90">
        <v>15.84</v>
      </c>
      <c r="G90">
        <v>24.63</v>
      </c>
      <c r="H90">
        <v>12.96</v>
      </c>
      <c r="I90">
        <v>35.85</v>
      </c>
      <c r="J90">
        <v>45.17</v>
      </c>
      <c r="K90">
        <v>14.91</v>
      </c>
      <c r="L90">
        <v>10.26</v>
      </c>
      <c r="M90">
        <v>11.82</v>
      </c>
      <c r="N90">
        <v>5.79</v>
      </c>
      <c r="O90">
        <v>35.75</v>
      </c>
      <c r="P90">
        <v>12.96</v>
      </c>
      <c r="Q90">
        <v>45.35</v>
      </c>
      <c r="R90">
        <v>20.86</v>
      </c>
      <c r="S90">
        <v>23.56</v>
      </c>
      <c r="T90">
        <v>25.45</v>
      </c>
      <c r="U90">
        <v>48.73</v>
      </c>
      <c r="V90" s="6">
        <v>30.12</v>
      </c>
    </row>
    <row r="91" spans="1:22" x14ac:dyDescent="0.2">
      <c r="A91" s="4">
        <v>44693</v>
      </c>
      <c r="B91" s="3">
        <v>89.2</v>
      </c>
      <c r="C91">
        <v>59.16</v>
      </c>
      <c r="D91">
        <v>13.61</v>
      </c>
      <c r="E91">
        <v>18.23</v>
      </c>
      <c r="F91">
        <v>15.9</v>
      </c>
      <c r="G91">
        <v>24.92</v>
      </c>
      <c r="H91">
        <v>13.29</v>
      </c>
      <c r="I91">
        <v>36.22</v>
      </c>
      <c r="J91">
        <v>45.06</v>
      </c>
      <c r="K91">
        <v>15.01</v>
      </c>
      <c r="L91">
        <v>10.81</v>
      </c>
      <c r="M91">
        <v>12.27</v>
      </c>
      <c r="N91">
        <v>5.89</v>
      </c>
      <c r="O91">
        <v>36.54</v>
      </c>
      <c r="P91">
        <v>13.35</v>
      </c>
      <c r="Q91">
        <v>44.9</v>
      </c>
      <c r="R91">
        <v>21.81</v>
      </c>
      <c r="S91">
        <v>23.82</v>
      </c>
      <c r="T91">
        <v>26.1</v>
      </c>
      <c r="U91">
        <v>49.98</v>
      </c>
      <c r="V91" s="6">
        <v>30.64</v>
      </c>
    </row>
    <row r="92" spans="1:22" x14ac:dyDescent="0.2">
      <c r="A92" s="4">
        <v>44694</v>
      </c>
      <c r="B92" s="3">
        <v>89.8</v>
      </c>
      <c r="C92">
        <v>59.1</v>
      </c>
      <c r="D92">
        <v>13.79</v>
      </c>
      <c r="E92">
        <v>18.45</v>
      </c>
      <c r="F92">
        <v>15.92</v>
      </c>
      <c r="G92">
        <v>25.01</v>
      </c>
      <c r="H92">
        <v>13.27</v>
      </c>
      <c r="I92">
        <v>37.24</v>
      </c>
      <c r="J92">
        <v>45.27</v>
      </c>
      <c r="K92">
        <v>15.18</v>
      </c>
      <c r="L92">
        <v>10.42</v>
      </c>
      <c r="M92">
        <v>12.32</v>
      </c>
      <c r="N92">
        <v>5.94</v>
      </c>
      <c r="O92">
        <v>36.950000000000003</v>
      </c>
      <c r="P92">
        <v>13.85</v>
      </c>
      <c r="Q92">
        <v>47.5</v>
      </c>
      <c r="R92">
        <v>22.35</v>
      </c>
      <c r="S92">
        <v>24</v>
      </c>
      <c r="T92">
        <v>27.05</v>
      </c>
      <c r="U92">
        <v>50.7</v>
      </c>
      <c r="V92" s="6">
        <v>30.92</v>
      </c>
    </row>
    <row r="93" spans="1:22" x14ac:dyDescent="0.2">
      <c r="A93" s="4">
        <v>44697</v>
      </c>
      <c r="B93" s="3">
        <v>90.8</v>
      </c>
      <c r="C93">
        <v>60.86</v>
      </c>
      <c r="D93">
        <v>13.92</v>
      </c>
      <c r="E93">
        <v>18.64</v>
      </c>
      <c r="F93">
        <v>16.37</v>
      </c>
      <c r="G93">
        <v>24.73</v>
      </c>
      <c r="H93">
        <v>13.39</v>
      </c>
      <c r="I93">
        <v>37.799999999999997</v>
      </c>
      <c r="J93">
        <v>45.3</v>
      </c>
      <c r="K93">
        <v>15.43</v>
      </c>
      <c r="L93">
        <v>10.59</v>
      </c>
      <c r="M93">
        <v>12.45</v>
      </c>
      <c r="N93">
        <v>6.01</v>
      </c>
      <c r="O93">
        <v>36.25</v>
      </c>
      <c r="P93">
        <v>13.43</v>
      </c>
      <c r="Q93">
        <v>47.28</v>
      </c>
      <c r="R93">
        <v>22.6</v>
      </c>
      <c r="S93">
        <v>24.5</v>
      </c>
      <c r="T93">
        <v>27.02</v>
      </c>
      <c r="U93">
        <v>50.51</v>
      </c>
      <c r="V93" s="6">
        <v>31.07</v>
      </c>
    </row>
    <row r="94" spans="1:22" x14ac:dyDescent="0.2">
      <c r="A94" s="4">
        <v>44698</v>
      </c>
      <c r="B94" s="3">
        <v>91.55</v>
      </c>
      <c r="C94">
        <v>60.61</v>
      </c>
      <c r="D94">
        <v>13.74</v>
      </c>
      <c r="E94">
        <v>18.809999999999999</v>
      </c>
      <c r="F94">
        <v>16.38</v>
      </c>
      <c r="G94">
        <v>25.4</v>
      </c>
      <c r="H94">
        <v>13.77</v>
      </c>
      <c r="I94">
        <v>39.26</v>
      </c>
      <c r="J94">
        <v>46</v>
      </c>
      <c r="K94">
        <v>15.75</v>
      </c>
      <c r="L94">
        <v>10.81</v>
      </c>
      <c r="M94">
        <v>12.48</v>
      </c>
      <c r="N94">
        <v>6.06</v>
      </c>
      <c r="O94">
        <v>35.82</v>
      </c>
      <c r="P94">
        <v>13.81</v>
      </c>
      <c r="Q94">
        <v>48.45</v>
      </c>
      <c r="R94">
        <v>22.89</v>
      </c>
      <c r="S94">
        <v>24.3</v>
      </c>
      <c r="T94">
        <v>26.48</v>
      </c>
      <c r="U94">
        <v>51.12</v>
      </c>
      <c r="V94" s="6">
        <v>31.97</v>
      </c>
    </row>
    <row r="95" spans="1:22" x14ac:dyDescent="0.2">
      <c r="A95" s="4">
        <v>44699</v>
      </c>
      <c r="B95" s="3">
        <v>89.3</v>
      </c>
      <c r="C95">
        <v>59.07</v>
      </c>
      <c r="D95">
        <v>13.52</v>
      </c>
      <c r="E95">
        <v>18.54</v>
      </c>
      <c r="F95">
        <v>16.010000000000002</v>
      </c>
      <c r="G95">
        <v>24.94</v>
      </c>
      <c r="H95">
        <v>13.57</v>
      </c>
      <c r="I95">
        <v>38.409999999999997</v>
      </c>
      <c r="J95">
        <v>44.57</v>
      </c>
      <c r="K95">
        <v>15.46</v>
      </c>
      <c r="L95">
        <v>10.5</v>
      </c>
      <c r="M95">
        <v>12.05</v>
      </c>
      <c r="N95">
        <v>5.97</v>
      </c>
      <c r="O95">
        <v>34.99</v>
      </c>
      <c r="P95">
        <v>13.01</v>
      </c>
      <c r="Q95">
        <v>46.89</v>
      </c>
      <c r="R95">
        <v>22</v>
      </c>
      <c r="S95">
        <v>23.33</v>
      </c>
      <c r="T95">
        <v>25.14</v>
      </c>
      <c r="U95">
        <v>50.06</v>
      </c>
      <c r="V95" s="6">
        <v>31.11</v>
      </c>
    </row>
    <row r="96" spans="1:22" x14ac:dyDescent="0.2">
      <c r="A96" s="4">
        <v>44700</v>
      </c>
      <c r="B96" s="3">
        <v>90.16</v>
      </c>
      <c r="C96">
        <v>60.64</v>
      </c>
      <c r="D96">
        <v>13.74</v>
      </c>
      <c r="E96">
        <v>18.48</v>
      </c>
      <c r="F96">
        <v>16.149999999999999</v>
      </c>
      <c r="G96">
        <v>24.09</v>
      </c>
      <c r="H96">
        <v>13.49</v>
      </c>
      <c r="I96">
        <v>39.57</v>
      </c>
      <c r="J96">
        <v>45.81</v>
      </c>
      <c r="K96">
        <v>15.34</v>
      </c>
      <c r="L96">
        <v>10.73</v>
      </c>
      <c r="M96">
        <v>11.98</v>
      </c>
      <c r="N96">
        <v>6.02</v>
      </c>
      <c r="O96">
        <v>34.58</v>
      </c>
      <c r="P96">
        <v>12.91</v>
      </c>
      <c r="Q96">
        <v>46.74</v>
      </c>
      <c r="R96">
        <v>22.62</v>
      </c>
      <c r="S96">
        <v>23.36</v>
      </c>
      <c r="T96">
        <v>24.83</v>
      </c>
      <c r="U96">
        <v>49.62</v>
      </c>
      <c r="V96" s="6">
        <v>31.23</v>
      </c>
    </row>
    <row r="97" spans="1:22" x14ac:dyDescent="0.2">
      <c r="A97" s="4">
        <v>44701</v>
      </c>
      <c r="B97" s="3">
        <v>91</v>
      </c>
      <c r="C97">
        <v>61.72</v>
      </c>
      <c r="D97">
        <v>14.01</v>
      </c>
      <c r="E97">
        <v>18.71</v>
      </c>
      <c r="F97">
        <v>16.37</v>
      </c>
      <c r="G97">
        <v>24.53</v>
      </c>
      <c r="H97">
        <v>13.99</v>
      </c>
      <c r="I97">
        <v>39.65</v>
      </c>
      <c r="J97">
        <v>45.96</v>
      </c>
      <c r="K97">
        <v>15.55</v>
      </c>
      <c r="L97">
        <v>10.94</v>
      </c>
      <c r="M97">
        <v>11.88</v>
      </c>
      <c r="N97">
        <v>6.09</v>
      </c>
      <c r="O97">
        <v>34.56</v>
      </c>
      <c r="P97">
        <v>12.67</v>
      </c>
      <c r="Q97">
        <v>47.29</v>
      </c>
      <c r="R97">
        <v>22.74</v>
      </c>
      <c r="S97">
        <v>23.61</v>
      </c>
      <c r="T97">
        <v>25.44</v>
      </c>
      <c r="U97">
        <v>49.98</v>
      </c>
      <c r="V97" s="6">
        <v>32.19</v>
      </c>
    </row>
    <row r="98" spans="1:22" x14ac:dyDescent="0.2">
      <c r="A98" s="4">
        <v>44704</v>
      </c>
      <c r="B98" s="3">
        <v>93.05</v>
      </c>
      <c r="C98">
        <v>62.98</v>
      </c>
      <c r="D98">
        <v>14.56</v>
      </c>
      <c r="E98">
        <v>19.190000000000001</v>
      </c>
      <c r="F98">
        <v>16.98</v>
      </c>
      <c r="G98">
        <v>25.07</v>
      </c>
      <c r="H98">
        <v>14.58</v>
      </c>
      <c r="I98">
        <v>39.520000000000003</v>
      </c>
      <c r="J98">
        <v>47.67</v>
      </c>
      <c r="K98">
        <v>15.8</v>
      </c>
      <c r="L98">
        <v>10.99</v>
      </c>
      <c r="M98">
        <v>11.93</v>
      </c>
      <c r="N98">
        <v>6.17</v>
      </c>
      <c r="O98">
        <v>34.69</v>
      </c>
      <c r="P98">
        <v>12.82</v>
      </c>
      <c r="Q98">
        <v>47.97</v>
      </c>
      <c r="R98">
        <v>22.53</v>
      </c>
      <c r="S98">
        <v>23.34</v>
      </c>
      <c r="T98">
        <v>26.13</v>
      </c>
      <c r="U98">
        <v>50.69</v>
      </c>
      <c r="V98" s="6">
        <v>31.61</v>
      </c>
    </row>
    <row r="99" spans="1:22" x14ac:dyDescent="0.2">
      <c r="A99" s="4">
        <v>44705</v>
      </c>
      <c r="B99" s="3">
        <v>93</v>
      </c>
      <c r="C99">
        <v>63.83</v>
      </c>
      <c r="D99">
        <v>14.14</v>
      </c>
      <c r="E99">
        <v>19.489999999999998</v>
      </c>
      <c r="F99">
        <v>16.489999999999998</v>
      </c>
      <c r="G99">
        <v>24.61</v>
      </c>
      <c r="H99">
        <v>14.51</v>
      </c>
      <c r="I99">
        <v>40.299999999999997</v>
      </c>
      <c r="J99">
        <v>48.12</v>
      </c>
      <c r="K99">
        <v>16.13</v>
      </c>
      <c r="L99">
        <v>10.92</v>
      </c>
      <c r="M99">
        <v>11.97</v>
      </c>
      <c r="N99">
        <v>6.23</v>
      </c>
      <c r="O99">
        <v>35.46</v>
      </c>
      <c r="P99">
        <v>12.1</v>
      </c>
      <c r="Q99">
        <v>48.01</v>
      </c>
      <c r="R99">
        <v>22.36</v>
      </c>
      <c r="S99">
        <v>24.17</v>
      </c>
      <c r="T99">
        <v>27.15</v>
      </c>
      <c r="U99">
        <v>49.94</v>
      </c>
      <c r="V99" s="6">
        <v>31.98</v>
      </c>
    </row>
    <row r="100" spans="1:22" x14ac:dyDescent="0.2">
      <c r="A100" s="4">
        <v>44706</v>
      </c>
      <c r="B100" s="3">
        <v>93.36</v>
      </c>
      <c r="C100">
        <v>64.02</v>
      </c>
      <c r="D100">
        <v>14.34</v>
      </c>
      <c r="E100">
        <v>19.14</v>
      </c>
      <c r="F100">
        <v>16.829999999999998</v>
      </c>
      <c r="G100">
        <v>23.89</v>
      </c>
      <c r="H100">
        <v>14.42</v>
      </c>
      <c r="I100">
        <v>40.51</v>
      </c>
      <c r="J100">
        <v>48.42</v>
      </c>
      <c r="K100">
        <v>15.95</v>
      </c>
      <c r="L100">
        <v>10.82</v>
      </c>
      <c r="M100">
        <v>11.89</v>
      </c>
      <c r="N100">
        <v>6.13</v>
      </c>
      <c r="O100">
        <v>35.33</v>
      </c>
      <c r="P100">
        <v>12.12</v>
      </c>
      <c r="Q100">
        <v>47.14</v>
      </c>
      <c r="R100">
        <v>22.75</v>
      </c>
      <c r="S100">
        <v>24.12</v>
      </c>
      <c r="T100">
        <v>27.43</v>
      </c>
      <c r="U100">
        <v>51.41</v>
      </c>
      <c r="V100" s="6">
        <v>33.090000000000003</v>
      </c>
    </row>
    <row r="101" spans="1:22" x14ac:dyDescent="0.2">
      <c r="A101" s="4">
        <v>44707</v>
      </c>
      <c r="B101" s="3">
        <v>94.12</v>
      </c>
      <c r="C101">
        <v>63.99</v>
      </c>
      <c r="D101">
        <v>14.37</v>
      </c>
      <c r="E101">
        <v>19.37</v>
      </c>
      <c r="F101">
        <v>16.88</v>
      </c>
      <c r="G101">
        <v>24.26</v>
      </c>
      <c r="H101">
        <v>14.38</v>
      </c>
      <c r="I101">
        <v>39.68</v>
      </c>
      <c r="J101">
        <v>48.13</v>
      </c>
      <c r="K101">
        <v>16.04</v>
      </c>
      <c r="L101">
        <v>11.28</v>
      </c>
      <c r="M101">
        <v>12.04</v>
      </c>
      <c r="N101">
        <v>6.15</v>
      </c>
      <c r="O101">
        <v>35.28</v>
      </c>
      <c r="P101">
        <v>12.49</v>
      </c>
      <c r="Q101">
        <v>49.11</v>
      </c>
      <c r="R101">
        <v>23</v>
      </c>
      <c r="S101">
        <v>24.01</v>
      </c>
      <c r="T101">
        <v>27.94</v>
      </c>
      <c r="U101">
        <v>52.28</v>
      </c>
      <c r="V101" s="6">
        <v>35.11</v>
      </c>
    </row>
    <row r="102" spans="1:22" x14ac:dyDescent="0.2">
      <c r="A102" s="4">
        <v>44708</v>
      </c>
      <c r="B102" s="3">
        <v>94.14</v>
      </c>
      <c r="C102">
        <v>65.099999999999994</v>
      </c>
      <c r="D102">
        <v>13.69</v>
      </c>
      <c r="E102">
        <v>19.48</v>
      </c>
      <c r="F102">
        <v>16.18</v>
      </c>
      <c r="G102">
        <v>24.74</v>
      </c>
      <c r="H102">
        <v>14.22</v>
      </c>
      <c r="I102">
        <v>39.19</v>
      </c>
      <c r="J102">
        <v>47.58</v>
      </c>
      <c r="K102">
        <v>16.260000000000002</v>
      </c>
      <c r="L102">
        <v>11.54</v>
      </c>
      <c r="M102">
        <v>12.04</v>
      </c>
      <c r="N102">
        <v>6.15</v>
      </c>
      <c r="O102">
        <v>35.14</v>
      </c>
      <c r="P102">
        <v>12.67</v>
      </c>
      <c r="Q102">
        <v>49.34</v>
      </c>
      <c r="R102">
        <v>23.23</v>
      </c>
      <c r="S102">
        <v>23.73</v>
      </c>
      <c r="T102">
        <v>28.67</v>
      </c>
      <c r="U102">
        <v>52.79</v>
      </c>
      <c r="V102" s="6">
        <v>35.369999999999997</v>
      </c>
    </row>
    <row r="103" spans="1:22" x14ac:dyDescent="0.2">
      <c r="A103" s="4">
        <v>44711</v>
      </c>
      <c r="B103" s="3">
        <v>93.69</v>
      </c>
      <c r="C103">
        <v>65.81</v>
      </c>
      <c r="D103">
        <v>13.42</v>
      </c>
      <c r="E103">
        <v>19.3</v>
      </c>
      <c r="F103">
        <v>15.83</v>
      </c>
      <c r="G103">
        <v>24.1</v>
      </c>
      <c r="H103">
        <v>13.85</v>
      </c>
      <c r="I103">
        <v>37.880000000000003</v>
      </c>
      <c r="J103">
        <v>46.6</v>
      </c>
      <c r="K103">
        <v>16.11</v>
      </c>
      <c r="L103">
        <v>11.63</v>
      </c>
      <c r="M103">
        <v>11.94</v>
      </c>
      <c r="N103">
        <v>6.14</v>
      </c>
      <c r="O103">
        <v>35.22</v>
      </c>
      <c r="P103">
        <v>12.58</v>
      </c>
      <c r="Q103">
        <v>49.42</v>
      </c>
      <c r="R103">
        <v>22.95</v>
      </c>
      <c r="S103">
        <v>23.34</v>
      </c>
      <c r="T103">
        <v>28.21</v>
      </c>
      <c r="U103">
        <v>51.5</v>
      </c>
      <c r="V103" s="6">
        <v>34.58</v>
      </c>
    </row>
    <row r="104" spans="1:22" x14ac:dyDescent="0.2">
      <c r="A104" s="4">
        <v>44712</v>
      </c>
      <c r="B104" s="3">
        <v>93.4</v>
      </c>
      <c r="C104">
        <v>65.47</v>
      </c>
      <c r="D104">
        <v>13.45</v>
      </c>
      <c r="E104">
        <v>19.48</v>
      </c>
      <c r="F104">
        <v>15.95</v>
      </c>
      <c r="G104">
        <v>23.94</v>
      </c>
      <c r="H104">
        <v>14.06</v>
      </c>
      <c r="I104">
        <v>38</v>
      </c>
      <c r="J104">
        <v>45.78</v>
      </c>
      <c r="K104">
        <v>16.2</v>
      </c>
      <c r="L104">
        <v>11.6</v>
      </c>
      <c r="M104">
        <v>12.02</v>
      </c>
      <c r="N104">
        <v>6.24</v>
      </c>
      <c r="O104">
        <v>35.6</v>
      </c>
      <c r="P104">
        <v>12.73</v>
      </c>
      <c r="Q104">
        <v>49.27</v>
      </c>
      <c r="R104">
        <v>23.36</v>
      </c>
      <c r="S104">
        <v>23.78</v>
      </c>
      <c r="T104">
        <v>27.95</v>
      </c>
      <c r="U104">
        <v>51.97</v>
      </c>
      <c r="V104" s="6">
        <v>33.880000000000003</v>
      </c>
    </row>
    <row r="105" spans="1:22" x14ac:dyDescent="0.2">
      <c r="A105" s="4">
        <v>44713</v>
      </c>
      <c r="B105" s="3">
        <v>94.22</v>
      </c>
      <c r="C105">
        <v>67.02</v>
      </c>
      <c r="D105">
        <v>13.43</v>
      </c>
      <c r="E105">
        <v>19.21</v>
      </c>
      <c r="F105">
        <v>15.93</v>
      </c>
      <c r="G105">
        <v>24.73</v>
      </c>
      <c r="H105">
        <v>14.09</v>
      </c>
      <c r="I105">
        <v>38.78</v>
      </c>
      <c r="J105">
        <v>45.35</v>
      </c>
      <c r="K105">
        <v>15.91</v>
      </c>
      <c r="L105">
        <v>11.36</v>
      </c>
      <c r="M105">
        <v>11.96</v>
      </c>
      <c r="N105">
        <v>6.18</v>
      </c>
      <c r="O105">
        <v>35.89</v>
      </c>
      <c r="P105">
        <v>12.83</v>
      </c>
      <c r="Q105">
        <v>49.53</v>
      </c>
      <c r="R105">
        <v>22.9</v>
      </c>
      <c r="S105">
        <v>23.59</v>
      </c>
      <c r="T105">
        <v>28.1</v>
      </c>
      <c r="U105">
        <v>51.86</v>
      </c>
      <c r="V105" s="6">
        <v>33.380000000000003</v>
      </c>
    </row>
    <row r="106" spans="1:22" x14ac:dyDescent="0.2">
      <c r="A106" s="4">
        <v>44714</v>
      </c>
      <c r="B106" s="3">
        <v>94.9</v>
      </c>
      <c r="C106">
        <v>68.28</v>
      </c>
      <c r="D106">
        <v>13.31</v>
      </c>
      <c r="E106">
        <v>19.29</v>
      </c>
      <c r="F106">
        <v>15.78</v>
      </c>
      <c r="G106">
        <v>24.85</v>
      </c>
      <c r="H106">
        <v>14.1</v>
      </c>
      <c r="I106">
        <v>39.08</v>
      </c>
      <c r="J106">
        <v>45.91</v>
      </c>
      <c r="K106">
        <v>15.84</v>
      </c>
      <c r="L106">
        <v>11.71</v>
      </c>
      <c r="M106">
        <v>11.96</v>
      </c>
      <c r="N106">
        <v>6.21</v>
      </c>
      <c r="O106">
        <v>35.6</v>
      </c>
      <c r="P106">
        <v>13.3</v>
      </c>
      <c r="Q106">
        <v>49.75</v>
      </c>
      <c r="R106">
        <v>23.35</v>
      </c>
      <c r="S106">
        <v>24</v>
      </c>
      <c r="T106">
        <v>28.65</v>
      </c>
      <c r="U106">
        <v>50.86</v>
      </c>
      <c r="V106" s="6">
        <v>33.630000000000003</v>
      </c>
    </row>
    <row r="107" spans="1:22" x14ac:dyDescent="0.2">
      <c r="A107" s="4">
        <v>44715</v>
      </c>
      <c r="B107" s="3">
        <v>93.75</v>
      </c>
      <c r="C107">
        <v>67.180000000000007</v>
      </c>
      <c r="D107">
        <v>13.55</v>
      </c>
      <c r="E107">
        <v>19.11</v>
      </c>
      <c r="F107">
        <v>16.190000000000001</v>
      </c>
      <c r="G107">
        <v>24.46</v>
      </c>
      <c r="H107">
        <v>13.9</v>
      </c>
      <c r="I107">
        <v>37.840000000000003</v>
      </c>
      <c r="J107">
        <v>46.15</v>
      </c>
      <c r="K107">
        <v>15.75</v>
      </c>
      <c r="L107">
        <v>11.51</v>
      </c>
      <c r="M107">
        <v>11.93</v>
      </c>
      <c r="N107">
        <v>6.12</v>
      </c>
      <c r="O107">
        <v>34.729999999999997</v>
      </c>
      <c r="P107">
        <v>12.97</v>
      </c>
      <c r="Q107">
        <v>48.65</v>
      </c>
      <c r="R107">
        <v>22.45</v>
      </c>
      <c r="S107">
        <v>24.18</v>
      </c>
      <c r="T107">
        <v>27.77</v>
      </c>
      <c r="U107">
        <v>49.4</v>
      </c>
      <c r="V107" s="6">
        <v>32.14</v>
      </c>
    </row>
    <row r="108" spans="1:22" x14ac:dyDescent="0.2">
      <c r="A108" s="4">
        <v>44718</v>
      </c>
      <c r="B108" s="3">
        <v>92.8</v>
      </c>
      <c r="C108">
        <v>67.25</v>
      </c>
      <c r="D108">
        <v>13.56</v>
      </c>
      <c r="E108">
        <v>19.04</v>
      </c>
      <c r="F108">
        <v>16.18</v>
      </c>
      <c r="G108">
        <v>24.52</v>
      </c>
      <c r="H108">
        <v>13.73</v>
      </c>
      <c r="I108">
        <v>37.79</v>
      </c>
      <c r="J108">
        <v>45.39</v>
      </c>
      <c r="K108">
        <v>15.76</v>
      </c>
      <c r="L108">
        <v>11.16</v>
      </c>
      <c r="M108">
        <v>11.9</v>
      </c>
      <c r="N108">
        <v>6.15</v>
      </c>
      <c r="O108">
        <v>34.49</v>
      </c>
      <c r="P108">
        <v>13.12</v>
      </c>
      <c r="Q108">
        <v>49.19</v>
      </c>
      <c r="R108">
        <v>21.77</v>
      </c>
      <c r="S108">
        <v>24.21</v>
      </c>
      <c r="T108">
        <v>27.02</v>
      </c>
      <c r="U108">
        <v>48.17</v>
      </c>
      <c r="V108" s="6">
        <v>31.33</v>
      </c>
    </row>
    <row r="109" spans="1:22" x14ac:dyDescent="0.2">
      <c r="A109" s="4">
        <v>44719</v>
      </c>
      <c r="B109" s="3">
        <v>93.27</v>
      </c>
      <c r="C109">
        <v>68.819999999999993</v>
      </c>
      <c r="D109">
        <v>13.72</v>
      </c>
      <c r="E109">
        <v>19.04</v>
      </c>
      <c r="F109">
        <v>16.23</v>
      </c>
      <c r="G109">
        <v>24.49</v>
      </c>
      <c r="H109">
        <v>13.63</v>
      </c>
      <c r="I109">
        <v>37.700000000000003</v>
      </c>
      <c r="J109">
        <v>44.72</v>
      </c>
      <c r="K109">
        <v>15.63</v>
      </c>
      <c r="L109">
        <v>10.8</v>
      </c>
      <c r="M109">
        <v>11.63</v>
      </c>
      <c r="N109">
        <v>6.08</v>
      </c>
      <c r="O109">
        <v>35.06</v>
      </c>
      <c r="P109">
        <v>13.11</v>
      </c>
      <c r="Q109">
        <v>50</v>
      </c>
      <c r="R109">
        <v>21.46</v>
      </c>
      <c r="S109">
        <v>24.47</v>
      </c>
      <c r="T109">
        <v>27.27</v>
      </c>
      <c r="U109">
        <v>48.38</v>
      </c>
      <c r="V109" s="6">
        <v>31.49</v>
      </c>
    </row>
    <row r="110" spans="1:22" x14ac:dyDescent="0.2">
      <c r="A110" s="4">
        <v>44720</v>
      </c>
      <c r="B110" s="3">
        <v>91.5</v>
      </c>
      <c r="C110">
        <v>66.45</v>
      </c>
      <c r="D110">
        <v>13.65</v>
      </c>
      <c r="E110">
        <v>18.68</v>
      </c>
      <c r="F110">
        <v>16.170000000000002</v>
      </c>
      <c r="G110">
        <v>23.04</v>
      </c>
      <c r="H110">
        <v>13.51</v>
      </c>
      <c r="I110">
        <v>38</v>
      </c>
      <c r="J110">
        <v>44.16</v>
      </c>
      <c r="K110">
        <v>15.35</v>
      </c>
      <c r="L110">
        <v>10.71</v>
      </c>
      <c r="M110">
        <v>11.66</v>
      </c>
      <c r="N110">
        <v>6</v>
      </c>
      <c r="O110">
        <v>34.630000000000003</v>
      </c>
      <c r="P110">
        <v>13.01</v>
      </c>
      <c r="Q110">
        <v>48.41</v>
      </c>
      <c r="R110">
        <v>21.14</v>
      </c>
      <c r="S110">
        <v>24.44</v>
      </c>
      <c r="T110">
        <v>27.76</v>
      </c>
      <c r="U110">
        <v>47.03</v>
      </c>
      <c r="V110" s="6">
        <v>31.54</v>
      </c>
    </row>
    <row r="111" spans="1:22" x14ac:dyDescent="0.2">
      <c r="A111" s="4">
        <v>44721</v>
      </c>
      <c r="B111" s="3">
        <v>90.74</v>
      </c>
      <c r="C111">
        <v>64.209999999999994</v>
      </c>
      <c r="D111">
        <v>13.45</v>
      </c>
      <c r="E111">
        <v>18.36</v>
      </c>
      <c r="F111">
        <v>15.98</v>
      </c>
      <c r="G111">
        <v>23.14</v>
      </c>
      <c r="H111">
        <v>13.49</v>
      </c>
      <c r="I111">
        <v>38.81</v>
      </c>
      <c r="J111">
        <v>44.03</v>
      </c>
      <c r="K111">
        <v>15.34</v>
      </c>
      <c r="L111">
        <v>10.86</v>
      </c>
      <c r="M111">
        <v>11.53</v>
      </c>
      <c r="N111">
        <v>5.91</v>
      </c>
      <c r="O111">
        <v>34.75</v>
      </c>
      <c r="P111">
        <v>12.77</v>
      </c>
      <c r="Q111">
        <v>47.75</v>
      </c>
      <c r="R111">
        <v>21.4</v>
      </c>
      <c r="S111">
        <v>24.21</v>
      </c>
      <c r="T111">
        <v>27.18</v>
      </c>
      <c r="U111">
        <v>47.81</v>
      </c>
      <c r="V111" s="6">
        <v>32.15</v>
      </c>
    </row>
    <row r="112" spans="1:22" x14ac:dyDescent="0.2">
      <c r="A112" s="4">
        <v>44722</v>
      </c>
      <c r="B112" s="3">
        <v>89</v>
      </c>
      <c r="C112">
        <v>64.22</v>
      </c>
      <c r="D112">
        <v>13.26</v>
      </c>
      <c r="E112">
        <v>17.95</v>
      </c>
      <c r="F112">
        <v>15.78</v>
      </c>
      <c r="G112">
        <v>22.65</v>
      </c>
      <c r="H112">
        <v>13.26</v>
      </c>
      <c r="I112">
        <v>36.97</v>
      </c>
      <c r="J112">
        <v>43.05</v>
      </c>
      <c r="K112">
        <v>15.12</v>
      </c>
      <c r="L112">
        <v>10.6</v>
      </c>
      <c r="M112">
        <v>11.51</v>
      </c>
      <c r="N112">
        <v>5.79</v>
      </c>
      <c r="O112">
        <v>34.78</v>
      </c>
      <c r="P112">
        <v>12.04</v>
      </c>
      <c r="Q112">
        <v>47.6</v>
      </c>
      <c r="R112">
        <v>20.68</v>
      </c>
      <c r="S112">
        <v>24.16</v>
      </c>
      <c r="T112">
        <v>27.06</v>
      </c>
      <c r="U112">
        <v>46.78</v>
      </c>
      <c r="V112" s="6">
        <v>31.4</v>
      </c>
    </row>
    <row r="113" spans="1:22" x14ac:dyDescent="0.2">
      <c r="A113" s="4">
        <v>44725</v>
      </c>
      <c r="B113" s="3">
        <v>86.5</v>
      </c>
      <c r="C113">
        <v>62.19</v>
      </c>
      <c r="D113">
        <v>13.09</v>
      </c>
      <c r="E113">
        <v>17.739999999999998</v>
      </c>
      <c r="F113">
        <v>15.54</v>
      </c>
      <c r="G113">
        <v>22.48</v>
      </c>
      <c r="H113">
        <v>12.96</v>
      </c>
      <c r="I113">
        <v>36.159999999999997</v>
      </c>
      <c r="J113">
        <v>42.06</v>
      </c>
      <c r="K113">
        <v>14.89</v>
      </c>
      <c r="L113">
        <v>10.49</v>
      </c>
      <c r="M113">
        <v>11.29</v>
      </c>
      <c r="N113">
        <v>5.7</v>
      </c>
      <c r="O113">
        <v>33.35</v>
      </c>
      <c r="P113">
        <v>11.34</v>
      </c>
      <c r="Q113">
        <v>47.94</v>
      </c>
      <c r="R113">
        <v>20.05</v>
      </c>
      <c r="S113">
        <v>23.52</v>
      </c>
      <c r="T113">
        <v>25.99</v>
      </c>
      <c r="U113">
        <v>44.17</v>
      </c>
      <c r="V113" s="6">
        <v>30.28</v>
      </c>
    </row>
    <row r="114" spans="1:22" x14ac:dyDescent="0.2">
      <c r="A114" s="4">
        <v>44726</v>
      </c>
      <c r="B114" s="3">
        <v>86.16</v>
      </c>
      <c r="C114">
        <v>62.06</v>
      </c>
      <c r="D114">
        <v>13.24</v>
      </c>
      <c r="E114">
        <v>17.62</v>
      </c>
      <c r="F114">
        <v>15.68</v>
      </c>
      <c r="G114">
        <v>22.88</v>
      </c>
      <c r="H114">
        <v>12.95</v>
      </c>
      <c r="I114">
        <v>37.380000000000003</v>
      </c>
      <c r="J114">
        <v>42.09</v>
      </c>
      <c r="K114">
        <v>14.74</v>
      </c>
      <c r="L114">
        <v>10.44</v>
      </c>
      <c r="M114">
        <v>11.14</v>
      </c>
      <c r="N114">
        <v>5.68</v>
      </c>
      <c r="O114">
        <v>33</v>
      </c>
      <c r="P114">
        <v>11.28</v>
      </c>
      <c r="Q114">
        <v>46.69</v>
      </c>
      <c r="R114">
        <v>20.09</v>
      </c>
      <c r="S114">
        <v>23.41</v>
      </c>
      <c r="T114">
        <v>25.6</v>
      </c>
      <c r="U114">
        <v>44.45</v>
      </c>
      <c r="V114" s="6">
        <v>30.22</v>
      </c>
    </row>
    <row r="115" spans="1:22" x14ac:dyDescent="0.2">
      <c r="A115" s="4">
        <v>44727</v>
      </c>
      <c r="B115" s="3">
        <v>87.43</v>
      </c>
      <c r="C115">
        <v>62.03</v>
      </c>
      <c r="D115">
        <v>13.01</v>
      </c>
      <c r="E115">
        <v>17.690000000000001</v>
      </c>
      <c r="F115">
        <v>15.47</v>
      </c>
      <c r="G115">
        <v>22.65</v>
      </c>
      <c r="H115">
        <v>13.16</v>
      </c>
      <c r="I115">
        <v>38.42</v>
      </c>
      <c r="J115">
        <v>42.6</v>
      </c>
      <c r="K115">
        <v>14.85</v>
      </c>
      <c r="L115">
        <v>10.55</v>
      </c>
      <c r="M115">
        <v>11.06</v>
      </c>
      <c r="N115">
        <v>5.73</v>
      </c>
      <c r="O115">
        <v>33.22</v>
      </c>
      <c r="P115">
        <v>11.57</v>
      </c>
      <c r="Q115">
        <v>46.15</v>
      </c>
      <c r="R115">
        <v>20.69</v>
      </c>
      <c r="S115">
        <v>24.31</v>
      </c>
      <c r="T115">
        <v>25.22</v>
      </c>
      <c r="U115">
        <v>46.58</v>
      </c>
      <c r="V115" s="6">
        <v>29.98</v>
      </c>
    </row>
    <row r="116" spans="1:22" x14ac:dyDescent="0.2">
      <c r="A116" s="4">
        <v>44729</v>
      </c>
      <c r="B116" s="3">
        <v>84.34</v>
      </c>
      <c r="C116">
        <v>58.79</v>
      </c>
      <c r="D116">
        <v>12.22</v>
      </c>
      <c r="E116">
        <v>17.47</v>
      </c>
      <c r="F116">
        <v>14.35</v>
      </c>
      <c r="G116">
        <v>21.54</v>
      </c>
      <c r="H116">
        <v>13.19</v>
      </c>
      <c r="I116">
        <v>38.68</v>
      </c>
      <c r="J116">
        <v>41.13</v>
      </c>
      <c r="K116">
        <v>14.62</v>
      </c>
      <c r="L116">
        <v>10.4</v>
      </c>
      <c r="M116">
        <v>11.04</v>
      </c>
      <c r="N116">
        <v>5.62</v>
      </c>
      <c r="O116">
        <v>32.74</v>
      </c>
      <c r="P116">
        <v>11.57</v>
      </c>
      <c r="Q116">
        <v>45.21</v>
      </c>
      <c r="R116">
        <v>19.78</v>
      </c>
      <c r="S116">
        <v>24.16</v>
      </c>
      <c r="T116">
        <v>23</v>
      </c>
      <c r="U116">
        <v>45.54</v>
      </c>
      <c r="V116" s="6">
        <v>28.5</v>
      </c>
    </row>
    <row r="117" spans="1:22" x14ac:dyDescent="0.2">
      <c r="A117" s="4">
        <v>44732</v>
      </c>
      <c r="B117" s="3">
        <v>84.31</v>
      </c>
      <c r="C117">
        <v>57.34</v>
      </c>
      <c r="D117">
        <v>12.36</v>
      </c>
      <c r="E117">
        <v>18.23</v>
      </c>
      <c r="F117">
        <v>14.47</v>
      </c>
      <c r="G117">
        <v>22.74</v>
      </c>
      <c r="H117">
        <v>13.29</v>
      </c>
      <c r="I117">
        <v>39.36</v>
      </c>
      <c r="J117">
        <v>41.18</v>
      </c>
      <c r="K117">
        <v>15</v>
      </c>
      <c r="L117">
        <v>10.5</v>
      </c>
      <c r="M117">
        <v>11.06</v>
      </c>
      <c r="N117">
        <v>5.8</v>
      </c>
      <c r="O117">
        <v>32.69</v>
      </c>
      <c r="P117">
        <v>11.31</v>
      </c>
      <c r="Q117">
        <v>45.14</v>
      </c>
      <c r="R117">
        <v>19.73</v>
      </c>
      <c r="S117">
        <v>24.11</v>
      </c>
      <c r="T117">
        <v>22.8</v>
      </c>
      <c r="U117">
        <v>45.1</v>
      </c>
      <c r="V117" s="6">
        <v>28.04</v>
      </c>
    </row>
    <row r="118" spans="1:22" x14ac:dyDescent="0.2">
      <c r="A118" s="4">
        <v>44733</v>
      </c>
      <c r="B118" s="3">
        <v>84.14</v>
      </c>
      <c r="C118">
        <v>57.72</v>
      </c>
      <c r="D118">
        <v>12.11</v>
      </c>
      <c r="E118">
        <v>18.04</v>
      </c>
      <c r="F118">
        <v>14.32</v>
      </c>
      <c r="G118">
        <v>23.88</v>
      </c>
      <c r="H118">
        <v>12.74</v>
      </c>
      <c r="I118">
        <v>39.68</v>
      </c>
      <c r="J118">
        <v>40.4</v>
      </c>
      <c r="K118">
        <v>14.87</v>
      </c>
      <c r="L118">
        <v>10.44</v>
      </c>
      <c r="M118">
        <v>11.16</v>
      </c>
      <c r="N118">
        <v>5.75</v>
      </c>
      <c r="O118">
        <v>32.380000000000003</v>
      </c>
      <c r="P118">
        <v>11.66</v>
      </c>
      <c r="Q118">
        <v>44.79</v>
      </c>
      <c r="R118">
        <v>19.940000000000001</v>
      </c>
      <c r="S118">
        <v>23.79</v>
      </c>
      <c r="T118">
        <v>22.69</v>
      </c>
      <c r="U118">
        <v>44.91</v>
      </c>
      <c r="V118" s="6">
        <v>28.63</v>
      </c>
    </row>
    <row r="119" spans="1:22" x14ac:dyDescent="0.2">
      <c r="A119" s="4">
        <v>44734</v>
      </c>
      <c r="B119" s="3">
        <v>84.05</v>
      </c>
      <c r="C119">
        <v>57.23</v>
      </c>
      <c r="D119">
        <v>12.07</v>
      </c>
      <c r="E119">
        <v>17.899999999999999</v>
      </c>
      <c r="F119">
        <v>14.25</v>
      </c>
      <c r="G119">
        <v>24.34</v>
      </c>
      <c r="H119">
        <v>12.7</v>
      </c>
      <c r="I119">
        <v>40.11</v>
      </c>
      <c r="J119">
        <v>41.52</v>
      </c>
      <c r="K119">
        <v>14.81</v>
      </c>
      <c r="L119">
        <v>10.59</v>
      </c>
      <c r="M119">
        <v>11.27</v>
      </c>
      <c r="N119">
        <v>5.77</v>
      </c>
      <c r="O119">
        <v>32.9</v>
      </c>
      <c r="P119">
        <v>11.84</v>
      </c>
      <c r="Q119">
        <v>43.4</v>
      </c>
      <c r="R119">
        <v>21.04</v>
      </c>
      <c r="S119">
        <v>23.51</v>
      </c>
      <c r="T119">
        <v>21.24</v>
      </c>
      <c r="U119">
        <v>45.59</v>
      </c>
      <c r="V119" s="6">
        <v>28.3</v>
      </c>
    </row>
    <row r="120" spans="1:22" x14ac:dyDescent="0.2">
      <c r="A120" s="4">
        <v>44735</v>
      </c>
      <c r="B120" s="3">
        <v>82.64</v>
      </c>
      <c r="C120">
        <v>55.14</v>
      </c>
      <c r="D120">
        <v>11.85</v>
      </c>
      <c r="E120">
        <v>17.489999999999998</v>
      </c>
      <c r="F120">
        <v>13.95</v>
      </c>
      <c r="G120">
        <v>24.45</v>
      </c>
      <c r="H120">
        <v>12.61</v>
      </c>
      <c r="I120">
        <v>39.53</v>
      </c>
      <c r="J120">
        <v>41.2</v>
      </c>
      <c r="K120">
        <v>14.42</v>
      </c>
      <c r="L120">
        <v>10.52</v>
      </c>
      <c r="M120">
        <v>11.29</v>
      </c>
      <c r="N120">
        <v>5.65</v>
      </c>
      <c r="O120">
        <v>32.75</v>
      </c>
      <c r="P120">
        <v>12.15</v>
      </c>
      <c r="Q120">
        <v>42.02</v>
      </c>
      <c r="R120">
        <v>20.76</v>
      </c>
      <c r="S120">
        <v>23.04</v>
      </c>
      <c r="T120">
        <v>20.440000000000001</v>
      </c>
      <c r="U120">
        <v>46.02</v>
      </c>
      <c r="V120" s="6">
        <v>27.99</v>
      </c>
    </row>
    <row r="121" spans="1:22" x14ac:dyDescent="0.2">
      <c r="A121" s="4">
        <v>44736</v>
      </c>
      <c r="B121" s="3">
        <v>83.25</v>
      </c>
      <c r="C121">
        <v>56.67</v>
      </c>
      <c r="D121">
        <v>11.76</v>
      </c>
      <c r="E121">
        <v>17.46</v>
      </c>
      <c r="F121">
        <v>13.86</v>
      </c>
      <c r="G121">
        <v>24.97</v>
      </c>
      <c r="H121">
        <v>12.54</v>
      </c>
      <c r="I121">
        <v>39.9</v>
      </c>
      <c r="J121">
        <v>41.82</v>
      </c>
      <c r="K121">
        <v>14.3</v>
      </c>
      <c r="L121">
        <v>10.54</v>
      </c>
      <c r="M121">
        <v>11.58</v>
      </c>
      <c r="N121">
        <v>5.62</v>
      </c>
      <c r="O121">
        <v>33.04</v>
      </c>
      <c r="P121">
        <v>12.49</v>
      </c>
      <c r="Q121">
        <v>44.07</v>
      </c>
      <c r="R121">
        <v>20.64</v>
      </c>
      <c r="S121">
        <v>22.87</v>
      </c>
      <c r="T121">
        <v>21.5</v>
      </c>
      <c r="U121">
        <v>45.46</v>
      </c>
      <c r="V121" s="6">
        <v>27.99</v>
      </c>
    </row>
    <row r="122" spans="1:22" x14ac:dyDescent="0.2">
      <c r="A122" s="4">
        <v>44739</v>
      </c>
      <c r="B122" s="3">
        <v>85.17</v>
      </c>
      <c r="C122">
        <v>59.28</v>
      </c>
      <c r="D122">
        <v>12.52</v>
      </c>
      <c r="E122">
        <v>17.57</v>
      </c>
      <c r="F122">
        <v>14.8</v>
      </c>
      <c r="G122">
        <v>24.5</v>
      </c>
      <c r="H122">
        <v>12.8</v>
      </c>
      <c r="I122">
        <v>40.85</v>
      </c>
      <c r="J122">
        <v>42.26</v>
      </c>
      <c r="K122">
        <v>14.5</v>
      </c>
      <c r="L122">
        <v>10.54</v>
      </c>
      <c r="M122">
        <v>11.62</v>
      </c>
      <c r="N122">
        <v>5.7</v>
      </c>
      <c r="O122">
        <v>33</v>
      </c>
      <c r="P122">
        <v>12.24</v>
      </c>
      <c r="Q122">
        <v>45.02</v>
      </c>
      <c r="R122">
        <v>21.39</v>
      </c>
      <c r="S122">
        <v>22.83</v>
      </c>
      <c r="T122">
        <v>22.63</v>
      </c>
      <c r="U122">
        <v>46.7</v>
      </c>
      <c r="V122" s="6">
        <v>27.81</v>
      </c>
    </row>
    <row r="123" spans="1:22" x14ac:dyDescent="0.2">
      <c r="A123" s="4">
        <v>44740</v>
      </c>
      <c r="B123" s="3">
        <v>85</v>
      </c>
      <c r="C123">
        <v>60.34</v>
      </c>
      <c r="D123">
        <v>12.67</v>
      </c>
      <c r="E123">
        <v>17.37</v>
      </c>
      <c r="F123">
        <v>15.01</v>
      </c>
      <c r="G123">
        <v>24.71</v>
      </c>
      <c r="H123">
        <v>12.85</v>
      </c>
      <c r="I123">
        <v>41.09</v>
      </c>
      <c r="J123">
        <v>42.13</v>
      </c>
      <c r="K123">
        <v>14.29</v>
      </c>
      <c r="L123">
        <v>10.24</v>
      </c>
      <c r="M123">
        <v>11.45</v>
      </c>
      <c r="N123">
        <v>5.62</v>
      </c>
      <c r="O123">
        <v>33.119999999999997</v>
      </c>
      <c r="P123">
        <v>12.08</v>
      </c>
      <c r="Q123">
        <v>45.52</v>
      </c>
      <c r="R123">
        <v>20.81</v>
      </c>
      <c r="S123">
        <v>22.58</v>
      </c>
      <c r="T123">
        <v>22.62</v>
      </c>
      <c r="U123">
        <v>46.7</v>
      </c>
      <c r="V123" s="6">
        <v>26.75</v>
      </c>
    </row>
    <row r="124" spans="1:22" x14ac:dyDescent="0.2">
      <c r="A124" s="4">
        <v>44741</v>
      </c>
      <c r="B124" s="3">
        <v>83.68</v>
      </c>
      <c r="C124">
        <v>59.84</v>
      </c>
      <c r="D124">
        <v>12.56</v>
      </c>
      <c r="E124">
        <v>17.190000000000001</v>
      </c>
      <c r="F124">
        <v>14.8</v>
      </c>
      <c r="G124">
        <v>24.6</v>
      </c>
      <c r="H124">
        <v>12.78</v>
      </c>
      <c r="I124">
        <v>41.23</v>
      </c>
      <c r="J124">
        <v>41.92</v>
      </c>
      <c r="K124">
        <v>14.04</v>
      </c>
      <c r="L124">
        <v>10.06</v>
      </c>
      <c r="M124">
        <v>11.53</v>
      </c>
      <c r="N124">
        <v>5.57</v>
      </c>
      <c r="O124">
        <v>32.549999999999997</v>
      </c>
      <c r="P124">
        <v>11.8</v>
      </c>
      <c r="Q124">
        <v>44.99</v>
      </c>
      <c r="R124">
        <v>20.53</v>
      </c>
      <c r="S124">
        <v>22.45</v>
      </c>
      <c r="T124">
        <v>22.43</v>
      </c>
      <c r="U124">
        <v>46.92</v>
      </c>
      <c r="V124" s="6">
        <v>27.51</v>
      </c>
    </row>
    <row r="125" spans="1:22" x14ac:dyDescent="0.2">
      <c r="A125" s="4">
        <v>44742</v>
      </c>
      <c r="B125" s="3">
        <v>83.33</v>
      </c>
      <c r="C125">
        <v>58.15</v>
      </c>
      <c r="D125">
        <v>12.5</v>
      </c>
      <c r="E125">
        <v>16.89</v>
      </c>
      <c r="F125">
        <v>14.64</v>
      </c>
      <c r="G125">
        <v>25</v>
      </c>
      <c r="H125">
        <v>12.9</v>
      </c>
      <c r="I125">
        <v>41.66</v>
      </c>
      <c r="J125">
        <v>42.17</v>
      </c>
      <c r="K125">
        <v>13.73</v>
      </c>
      <c r="L125">
        <v>10.07</v>
      </c>
      <c r="M125">
        <v>11.35</v>
      </c>
      <c r="N125">
        <v>5.44</v>
      </c>
      <c r="O125">
        <v>31.59</v>
      </c>
      <c r="P125">
        <v>11.43</v>
      </c>
      <c r="Q125">
        <v>45.76</v>
      </c>
      <c r="R125">
        <v>20.56</v>
      </c>
      <c r="S125">
        <v>22.84</v>
      </c>
      <c r="T125">
        <v>21.95</v>
      </c>
      <c r="U125">
        <v>47.36</v>
      </c>
      <c r="V125" s="6">
        <v>27.41</v>
      </c>
    </row>
    <row r="126" spans="1:22" x14ac:dyDescent="0.2">
      <c r="A126" s="4">
        <v>44743</v>
      </c>
      <c r="B126" s="3">
        <v>82.63</v>
      </c>
      <c r="C126">
        <v>57.04</v>
      </c>
      <c r="D126">
        <v>12.76</v>
      </c>
      <c r="E126">
        <v>17.03</v>
      </c>
      <c r="F126">
        <v>14.92</v>
      </c>
      <c r="G126">
        <v>25.04</v>
      </c>
      <c r="H126">
        <v>12.81</v>
      </c>
      <c r="I126">
        <v>41.35</v>
      </c>
      <c r="J126">
        <v>43</v>
      </c>
      <c r="K126">
        <v>13.83</v>
      </c>
      <c r="L126">
        <v>10.28</v>
      </c>
      <c r="M126">
        <v>11.66</v>
      </c>
      <c r="N126">
        <v>5.42</v>
      </c>
      <c r="O126">
        <v>31.72</v>
      </c>
      <c r="P126">
        <v>11.83</v>
      </c>
      <c r="Q126">
        <v>46.46</v>
      </c>
      <c r="R126">
        <v>20.84</v>
      </c>
      <c r="S126">
        <v>23.1</v>
      </c>
      <c r="T126">
        <v>22.06</v>
      </c>
      <c r="U126">
        <v>48.12</v>
      </c>
      <c r="V126" s="6">
        <v>27.12</v>
      </c>
    </row>
    <row r="127" spans="1:22" x14ac:dyDescent="0.2">
      <c r="A127" s="4">
        <v>44746</v>
      </c>
      <c r="B127" s="3">
        <v>83.2</v>
      </c>
      <c r="C127">
        <v>56.71</v>
      </c>
      <c r="D127">
        <v>13.04</v>
      </c>
      <c r="E127">
        <v>16.87</v>
      </c>
      <c r="F127">
        <v>15.27</v>
      </c>
      <c r="G127">
        <v>25.03</v>
      </c>
      <c r="H127">
        <v>12.77</v>
      </c>
      <c r="I127">
        <v>40.799999999999997</v>
      </c>
      <c r="J127">
        <v>42</v>
      </c>
      <c r="K127">
        <v>13.68</v>
      </c>
      <c r="L127">
        <v>10.18</v>
      </c>
      <c r="M127">
        <v>11.59</v>
      </c>
      <c r="N127">
        <v>5.38</v>
      </c>
      <c r="O127">
        <v>32</v>
      </c>
      <c r="P127">
        <v>11.66</v>
      </c>
      <c r="Q127">
        <v>46.39</v>
      </c>
      <c r="R127">
        <v>20.49</v>
      </c>
      <c r="S127">
        <v>22.62</v>
      </c>
      <c r="T127">
        <v>22.75</v>
      </c>
      <c r="U127">
        <v>47.77</v>
      </c>
      <c r="V127" s="6">
        <v>27.3</v>
      </c>
    </row>
    <row r="128" spans="1:22" x14ac:dyDescent="0.2">
      <c r="A128" s="4">
        <v>44747</v>
      </c>
      <c r="B128" s="3">
        <v>82.9</v>
      </c>
      <c r="C128">
        <v>56.43</v>
      </c>
      <c r="D128">
        <v>12.54</v>
      </c>
      <c r="E128">
        <v>16.989999999999998</v>
      </c>
      <c r="F128">
        <v>14.62</v>
      </c>
      <c r="G128">
        <v>25.53</v>
      </c>
      <c r="H128">
        <v>12.7</v>
      </c>
      <c r="I128">
        <v>40.32</v>
      </c>
      <c r="J128">
        <v>41.42</v>
      </c>
      <c r="K128">
        <v>13.71</v>
      </c>
      <c r="L128">
        <v>10.35</v>
      </c>
      <c r="M128">
        <v>11.94</v>
      </c>
      <c r="N128">
        <v>5.38</v>
      </c>
      <c r="O128">
        <v>31.91</v>
      </c>
      <c r="P128">
        <v>11.54</v>
      </c>
      <c r="Q128">
        <v>45.03</v>
      </c>
      <c r="R128">
        <v>20.62</v>
      </c>
      <c r="S128">
        <v>22.4</v>
      </c>
      <c r="T128">
        <v>21.14</v>
      </c>
      <c r="U128">
        <v>47.14</v>
      </c>
      <c r="V128" s="6">
        <v>27.54</v>
      </c>
    </row>
    <row r="129" spans="1:22" x14ac:dyDescent="0.2">
      <c r="A129" s="4">
        <v>44748</v>
      </c>
      <c r="B129" s="3">
        <v>83.32</v>
      </c>
      <c r="C129">
        <v>56.96</v>
      </c>
      <c r="D129">
        <v>12.38</v>
      </c>
      <c r="E129">
        <v>16.829999999999998</v>
      </c>
      <c r="F129">
        <v>14.4</v>
      </c>
      <c r="G129">
        <v>25.61</v>
      </c>
      <c r="H129">
        <v>12.61</v>
      </c>
      <c r="I129">
        <v>39.840000000000003</v>
      </c>
      <c r="J129">
        <v>41.53</v>
      </c>
      <c r="K129">
        <v>13.6</v>
      </c>
      <c r="L129">
        <v>10.210000000000001</v>
      </c>
      <c r="M129">
        <v>12.06</v>
      </c>
      <c r="N129">
        <v>5.38</v>
      </c>
      <c r="O129">
        <v>32.090000000000003</v>
      </c>
      <c r="P129">
        <v>11.48</v>
      </c>
      <c r="Q129">
        <v>45.43</v>
      </c>
      <c r="R129">
        <v>20.96</v>
      </c>
      <c r="S129">
        <v>22.42</v>
      </c>
      <c r="T129">
        <v>20.86</v>
      </c>
      <c r="U129">
        <v>48.33</v>
      </c>
      <c r="V129" s="6">
        <v>28.28</v>
      </c>
    </row>
    <row r="130" spans="1:22" x14ac:dyDescent="0.2">
      <c r="A130" s="4">
        <v>44749</v>
      </c>
      <c r="B130" s="3">
        <v>85.31</v>
      </c>
      <c r="C130">
        <v>58.62</v>
      </c>
      <c r="D130">
        <v>12.74</v>
      </c>
      <c r="E130">
        <v>17.07</v>
      </c>
      <c r="F130">
        <v>14.82</v>
      </c>
      <c r="G130">
        <v>26.09</v>
      </c>
      <c r="H130">
        <v>12.8</v>
      </c>
      <c r="I130">
        <v>40.32</v>
      </c>
      <c r="J130">
        <v>42.3</v>
      </c>
      <c r="K130">
        <v>13.88</v>
      </c>
      <c r="L130">
        <v>10.44</v>
      </c>
      <c r="M130">
        <v>12.06</v>
      </c>
      <c r="N130">
        <v>5.44</v>
      </c>
      <c r="O130">
        <v>31.7</v>
      </c>
      <c r="P130">
        <v>11.67</v>
      </c>
      <c r="Q130">
        <v>45.12</v>
      </c>
      <c r="R130">
        <v>20.92</v>
      </c>
      <c r="S130">
        <v>23.21</v>
      </c>
      <c r="T130">
        <v>21.19</v>
      </c>
      <c r="U130">
        <v>50.74</v>
      </c>
      <c r="V130" s="6">
        <v>28.58</v>
      </c>
    </row>
    <row r="131" spans="1:22" x14ac:dyDescent="0.2">
      <c r="A131" s="4">
        <v>44750</v>
      </c>
      <c r="B131" s="3">
        <v>84.77</v>
      </c>
      <c r="C131">
        <v>57.26</v>
      </c>
      <c r="D131">
        <v>12.88</v>
      </c>
      <c r="E131">
        <v>17.079999999999998</v>
      </c>
      <c r="F131">
        <v>14.96</v>
      </c>
      <c r="G131">
        <v>25.77</v>
      </c>
      <c r="H131">
        <v>12.92</v>
      </c>
      <c r="I131">
        <v>39.630000000000003</v>
      </c>
      <c r="J131">
        <v>42.54</v>
      </c>
      <c r="K131">
        <v>13.89</v>
      </c>
      <c r="L131">
        <v>10.51</v>
      </c>
      <c r="M131">
        <v>12.12</v>
      </c>
      <c r="N131">
        <v>5.47</v>
      </c>
      <c r="O131">
        <v>31.06</v>
      </c>
      <c r="P131">
        <v>11.46</v>
      </c>
      <c r="Q131">
        <v>43.83</v>
      </c>
      <c r="R131">
        <v>20.72</v>
      </c>
      <c r="S131">
        <v>22.94</v>
      </c>
      <c r="T131">
        <v>21.73</v>
      </c>
      <c r="U131">
        <v>50.61</v>
      </c>
      <c r="V131" s="6">
        <v>28.29</v>
      </c>
    </row>
    <row r="132" spans="1:22" x14ac:dyDescent="0.2">
      <c r="A132" s="4">
        <v>44753</v>
      </c>
      <c r="B132" s="3">
        <v>82.75</v>
      </c>
      <c r="C132">
        <v>55.31</v>
      </c>
      <c r="D132">
        <v>12.82</v>
      </c>
      <c r="E132">
        <v>16.8</v>
      </c>
      <c r="F132">
        <v>14.95</v>
      </c>
      <c r="G132">
        <v>25.12</v>
      </c>
      <c r="H132">
        <v>12.71</v>
      </c>
      <c r="I132">
        <v>38.1</v>
      </c>
      <c r="J132">
        <v>42.44</v>
      </c>
      <c r="K132">
        <v>13.61</v>
      </c>
      <c r="L132">
        <v>9.89</v>
      </c>
      <c r="M132">
        <v>11.95</v>
      </c>
      <c r="N132">
        <v>5.36</v>
      </c>
      <c r="O132">
        <v>31.12</v>
      </c>
      <c r="P132">
        <v>10.86</v>
      </c>
      <c r="Q132">
        <v>43.89</v>
      </c>
      <c r="R132">
        <v>20.04</v>
      </c>
      <c r="S132">
        <v>22.54</v>
      </c>
      <c r="T132">
        <v>21.88</v>
      </c>
      <c r="U132">
        <v>48.97</v>
      </c>
      <c r="V132" s="6">
        <v>27.65</v>
      </c>
    </row>
    <row r="133" spans="1:22" x14ac:dyDescent="0.2">
      <c r="A133" s="4">
        <v>44754</v>
      </c>
      <c r="B133" s="3">
        <v>82.86</v>
      </c>
      <c r="C133">
        <v>55.48</v>
      </c>
      <c r="D133">
        <v>12.63</v>
      </c>
      <c r="E133">
        <v>16.77</v>
      </c>
      <c r="F133">
        <v>14.66</v>
      </c>
      <c r="G133">
        <v>25.13</v>
      </c>
      <c r="H133">
        <v>12.75</v>
      </c>
      <c r="I133">
        <v>38.68</v>
      </c>
      <c r="J133">
        <v>42.74</v>
      </c>
      <c r="K133">
        <v>13.67</v>
      </c>
      <c r="L133">
        <v>9.68</v>
      </c>
      <c r="M133">
        <v>11.68</v>
      </c>
      <c r="N133">
        <v>5.34</v>
      </c>
      <c r="O133">
        <v>30.71</v>
      </c>
      <c r="P133">
        <v>11.24</v>
      </c>
      <c r="Q133">
        <v>43.84</v>
      </c>
      <c r="R133">
        <v>20.32</v>
      </c>
      <c r="S133">
        <v>22.63</v>
      </c>
      <c r="T133">
        <v>22.2</v>
      </c>
      <c r="U133">
        <v>48.88</v>
      </c>
      <c r="V133" s="6">
        <v>27.96</v>
      </c>
    </row>
    <row r="134" spans="1:22" x14ac:dyDescent="0.2">
      <c r="A134" s="4">
        <v>44755</v>
      </c>
      <c r="B134" s="3">
        <v>82.42</v>
      </c>
      <c r="C134">
        <v>55.29</v>
      </c>
      <c r="D134">
        <v>12.64</v>
      </c>
      <c r="E134">
        <v>16.7</v>
      </c>
      <c r="F134">
        <v>14.72</v>
      </c>
      <c r="G134">
        <v>25.26</v>
      </c>
      <c r="H134">
        <v>12.61</v>
      </c>
      <c r="I134">
        <v>38.950000000000003</v>
      </c>
      <c r="J134">
        <v>42.46</v>
      </c>
      <c r="K134">
        <v>13.35</v>
      </c>
      <c r="L134">
        <v>9.44</v>
      </c>
      <c r="M134">
        <v>12.34</v>
      </c>
      <c r="N134">
        <v>5.29</v>
      </c>
      <c r="O134">
        <v>30.44</v>
      </c>
      <c r="P134">
        <v>11.18</v>
      </c>
      <c r="Q134">
        <v>42.6</v>
      </c>
      <c r="R134">
        <v>20.46</v>
      </c>
      <c r="S134">
        <v>22.36</v>
      </c>
      <c r="T134">
        <v>21.56</v>
      </c>
      <c r="U134">
        <v>49.98</v>
      </c>
      <c r="V134" s="6">
        <v>26.75</v>
      </c>
    </row>
    <row r="135" spans="1:22" x14ac:dyDescent="0.2">
      <c r="A135" s="4">
        <v>44756</v>
      </c>
      <c r="B135" s="3">
        <v>80.87</v>
      </c>
      <c r="C135">
        <v>51.61</v>
      </c>
      <c r="D135">
        <v>12.3</v>
      </c>
      <c r="E135">
        <v>16.510000000000002</v>
      </c>
      <c r="F135">
        <v>14.25</v>
      </c>
      <c r="G135">
        <v>24.95</v>
      </c>
      <c r="H135">
        <v>12.6</v>
      </c>
      <c r="I135">
        <v>39.32</v>
      </c>
      <c r="J135">
        <v>42.33</v>
      </c>
      <c r="K135">
        <v>13.05</v>
      </c>
      <c r="L135">
        <v>9.44</v>
      </c>
      <c r="M135">
        <v>12.57</v>
      </c>
      <c r="N135">
        <v>5.28</v>
      </c>
      <c r="O135">
        <v>30.6</v>
      </c>
      <c r="P135">
        <v>11.19</v>
      </c>
      <c r="Q135">
        <v>41.44</v>
      </c>
      <c r="R135">
        <v>19.47</v>
      </c>
      <c r="S135">
        <v>22.46</v>
      </c>
      <c r="T135">
        <v>20.73</v>
      </c>
      <c r="U135">
        <v>49.38</v>
      </c>
      <c r="V135" s="6">
        <v>26.11</v>
      </c>
    </row>
    <row r="136" spans="1:22" x14ac:dyDescent="0.2">
      <c r="A136" s="4">
        <v>44757</v>
      </c>
      <c r="B136" s="3">
        <v>81.5</v>
      </c>
      <c r="C136">
        <v>51.93</v>
      </c>
      <c r="D136">
        <v>12.51</v>
      </c>
      <c r="E136">
        <v>16.809999999999999</v>
      </c>
      <c r="F136">
        <v>14.53</v>
      </c>
      <c r="G136">
        <v>25.09</v>
      </c>
      <c r="H136">
        <v>12.86</v>
      </c>
      <c r="I136">
        <v>39.72</v>
      </c>
      <c r="J136">
        <v>43.21</v>
      </c>
      <c r="K136">
        <v>13.13</v>
      </c>
      <c r="L136">
        <v>9.2100000000000009</v>
      </c>
      <c r="M136">
        <v>12.36</v>
      </c>
      <c r="N136">
        <v>5.44</v>
      </c>
      <c r="O136">
        <v>30.02</v>
      </c>
      <c r="P136">
        <v>11.15</v>
      </c>
      <c r="Q136">
        <v>40.47</v>
      </c>
      <c r="R136">
        <v>19.91</v>
      </c>
      <c r="S136">
        <v>22.45</v>
      </c>
      <c r="T136">
        <v>20.67</v>
      </c>
      <c r="U136">
        <v>49.29</v>
      </c>
      <c r="V136" s="6">
        <v>25.34</v>
      </c>
    </row>
    <row r="137" spans="1:22" x14ac:dyDescent="0.2">
      <c r="A137" s="4">
        <v>44760</v>
      </c>
      <c r="B137" s="3">
        <v>81.78</v>
      </c>
      <c r="C137">
        <v>52.2</v>
      </c>
      <c r="D137">
        <v>12.79</v>
      </c>
      <c r="E137">
        <v>17.03</v>
      </c>
      <c r="F137">
        <v>15.02</v>
      </c>
      <c r="G137">
        <v>24.68</v>
      </c>
      <c r="H137">
        <v>13.04</v>
      </c>
      <c r="I137">
        <v>39.58</v>
      </c>
      <c r="J137">
        <v>42.46</v>
      </c>
      <c r="K137">
        <v>13.3</v>
      </c>
      <c r="L137">
        <v>9.43</v>
      </c>
      <c r="M137">
        <v>12.28</v>
      </c>
      <c r="N137">
        <v>5.49</v>
      </c>
      <c r="O137">
        <v>29.78</v>
      </c>
      <c r="P137">
        <v>11.29</v>
      </c>
      <c r="Q137">
        <v>40.299999999999997</v>
      </c>
      <c r="R137">
        <v>19.899999999999999</v>
      </c>
      <c r="S137">
        <v>22.49</v>
      </c>
      <c r="T137">
        <v>22.05</v>
      </c>
      <c r="U137">
        <v>49.2</v>
      </c>
      <c r="V137" s="6">
        <v>24.67</v>
      </c>
    </row>
    <row r="138" spans="1:22" x14ac:dyDescent="0.2">
      <c r="A138" s="4">
        <v>44761</v>
      </c>
      <c r="B138" s="3">
        <v>82.5</v>
      </c>
      <c r="C138">
        <v>52.31</v>
      </c>
      <c r="D138">
        <v>13.05</v>
      </c>
      <c r="E138">
        <v>17.61</v>
      </c>
      <c r="F138">
        <v>15.18</v>
      </c>
      <c r="G138">
        <v>25.48</v>
      </c>
      <c r="H138">
        <v>13.39</v>
      </c>
      <c r="I138">
        <v>39.880000000000003</v>
      </c>
      <c r="J138">
        <v>42.61</v>
      </c>
      <c r="K138">
        <v>13.79</v>
      </c>
      <c r="L138">
        <v>9.3800000000000008</v>
      </c>
      <c r="M138">
        <v>12.27</v>
      </c>
      <c r="N138">
        <v>5.6</v>
      </c>
      <c r="O138">
        <v>29.63</v>
      </c>
      <c r="P138">
        <v>12.16</v>
      </c>
      <c r="Q138">
        <v>42.32</v>
      </c>
      <c r="R138">
        <v>20.93</v>
      </c>
      <c r="S138">
        <v>22.67</v>
      </c>
      <c r="T138">
        <v>22.32</v>
      </c>
      <c r="U138">
        <v>49.28</v>
      </c>
      <c r="V138" s="6">
        <v>25.62</v>
      </c>
    </row>
    <row r="139" spans="1:22" x14ac:dyDescent="0.2">
      <c r="A139" s="4">
        <v>44762</v>
      </c>
      <c r="B139" s="3">
        <v>82.77</v>
      </c>
      <c r="C139">
        <v>51.18</v>
      </c>
      <c r="D139">
        <v>13.05</v>
      </c>
      <c r="E139">
        <v>17.38</v>
      </c>
      <c r="F139">
        <v>15.31</v>
      </c>
      <c r="G139">
        <v>24.56</v>
      </c>
      <c r="H139">
        <v>13.39</v>
      </c>
      <c r="I139">
        <v>40.01</v>
      </c>
      <c r="J139">
        <v>42.4</v>
      </c>
      <c r="K139">
        <v>13.61</v>
      </c>
      <c r="L139">
        <v>9.68</v>
      </c>
      <c r="M139">
        <v>12.11</v>
      </c>
      <c r="N139">
        <v>5.51</v>
      </c>
      <c r="O139">
        <v>30.07</v>
      </c>
      <c r="P139">
        <v>12.14</v>
      </c>
      <c r="Q139">
        <v>41.44</v>
      </c>
      <c r="R139">
        <v>20.91</v>
      </c>
      <c r="S139">
        <v>23.17</v>
      </c>
      <c r="T139">
        <v>22.22</v>
      </c>
      <c r="U139">
        <v>48.89</v>
      </c>
      <c r="V139" s="6">
        <v>26.87</v>
      </c>
    </row>
    <row r="140" spans="1:22" x14ac:dyDescent="0.2">
      <c r="A140" s="4">
        <v>44763</v>
      </c>
      <c r="B140" s="3">
        <v>83.2</v>
      </c>
      <c r="C140">
        <v>52.08</v>
      </c>
      <c r="D140">
        <v>12.98</v>
      </c>
      <c r="E140">
        <v>17.53</v>
      </c>
      <c r="F140">
        <v>15.15</v>
      </c>
      <c r="G140">
        <v>23.94</v>
      </c>
      <c r="H140">
        <v>13.49</v>
      </c>
      <c r="I140">
        <v>40.18</v>
      </c>
      <c r="J140">
        <v>42.38</v>
      </c>
      <c r="K140">
        <v>13.79</v>
      </c>
      <c r="L140">
        <v>10.11</v>
      </c>
      <c r="M140">
        <v>12.33</v>
      </c>
      <c r="N140">
        <v>5.58</v>
      </c>
      <c r="O140">
        <v>30.87</v>
      </c>
      <c r="P140">
        <v>11.97</v>
      </c>
      <c r="Q140">
        <v>42.03</v>
      </c>
      <c r="R140">
        <v>20.86</v>
      </c>
      <c r="S140">
        <v>23.34</v>
      </c>
      <c r="T140">
        <v>22.8</v>
      </c>
      <c r="U140">
        <v>49.66</v>
      </c>
      <c r="V140" s="6">
        <v>28.96</v>
      </c>
    </row>
    <row r="141" spans="1:22" x14ac:dyDescent="0.2">
      <c r="A141" s="4">
        <v>44764</v>
      </c>
      <c r="B141" s="3">
        <v>83.15</v>
      </c>
      <c r="C141">
        <v>52.56</v>
      </c>
      <c r="D141">
        <v>13.12</v>
      </c>
      <c r="E141">
        <v>17.34</v>
      </c>
      <c r="F141">
        <v>15.31</v>
      </c>
      <c r="G141">
        <v>24.42</v>
      </c>
      <c r="H141">
        <v>13.39</v>
      </c>
      <c r="I141">
        <v>40.25</v>
      </c>
      <c r="J141">
        <v>43.55</v>
      </c>
      <c r="K141">
        <v>13.62</v>
      </c>
      <c r="L141">
        <v>9.85</v>
      </c>
      <c r="M141">
        <v>12.29</v>
      </c>
      <c r="N141">
        <v>5.52</v>
      </c>
      <c r="O141">
        <v>30.73</v>
      </c>
      <c r="P141">
        <v>11.86</v>
      </c>
      <c r="Q141">
        <v>43.2</v>
      </c>
      <c r="R141">
        <v>20.71</v>
      </c>
      <c r="S141">
        <v>23.05</v>
      </c>
      <c r="T141">
        <v>22.63</v>
      </c>
      <c r="U141">
        <v>50.22</v>
      </c>
      <c r="V141" s="6">
        <v>28.7</v>
      </c>
    </row>
    <row r="142" spans="1:22" x14ac:dyDescent="0.2">
      <c r="A142" s="4">
        <v>44767</v>
      </c>
      <c r="B142" s="3">
        <v>84.42</v>
      </c>
      <c r="C142">
        <v>53.54</v>
      </c>
      <c r="D142">
        <v>13.73</v>
      </c>
      <c r="E142">
        <v>17.59</v>
      </c>
      <c r="F142">
        <v>15.97</v>
      </c>
      <c r="G142">
        <v>25.15</v>
      </c>
      <c r="H142">
        <v>13.6</v>
      </c>
      <c r="I142">
        <v>40.450000000000003</v>
      </c>
      <c r="J142">
        <v>43.78</v>
      </c>
      <c r="K142">
        <v>13.8</v>
      </c>
      <c r="L142">
        <v>9.86</v>
      </c>
      <c r="M142">
        <v>12.44</v>
      </c>
      <c r="N142">
        <v>5.57</v>
      </c>
      <c r="O142">
        <v>31.62</v>
      </c>
      <c r="P142">
        <v>11.78</v>
      </c>
      <c r="Q142">
        <v>42.49</v>
      </c>
      <c r="R142">
        <v>20.84</v>
      </c>
      <c r="S142">
        <v>23.29</v>
      </c>
      <c r="T142">
        <v>23.57</v>
      </c>
      <c r="U142">
        <v>50.97</v>
      </c>
      <c r="V142" s="6">
        <v>29.3</v>
      </c>
    </row>
    <row r="143" spans="1:22" x14ac:dyDescent="0.2">
      <c r="A143" s="4">
        <v>44768</v>
      </c>
      <c r="B143" s="3">
        <v>84.27</v>
      </c>
      <c r="C143">
        <v>53.44</v>
      </c>
      <c r="D143">
        <v>13.87</v>
      </c>
      <c r="E143">
        <v>17.5</v>
      </c>
      <c r="F143">
        <v>16.2</v>
      </c>
      <c r="G143">
        <v>24.89</v>
      </c>
      <c r="H143">
        <v>13.65</v>
      </c>
      <c r="I143">
        <v>40.270000000000003</v>
      </c>
      <c r="J143">
        <v>43.37</v>
      </c>
      <c r="K143">
        <v>13.71</v>
      </c>
      <c r="L143">
        <v>9.86</v>
      </c>
      <c r="M143">
        <v>12.56</v>
      </c>
      <c r="N143">
        <v>5.55</v>
      </c>
      <c r="O143">
        <v>32.56</v>
      </c>
      <c r="P143">
        <v>11.59</v>
      </c>
      <c r="Q143">
        <v>41.92</v>
      </c>
      <c r="R143">
        <v>20.12</v>
      </c>
      <c r="S143">
        <v>23.48</v>
      </c>
      <c r="T143">
        <v>23.7</v>
      </c>
      <c r="U143">
        <v>49.79</v>
      </c>
      <c r="V143" s="6">
        <v>28.52</v>
      </c>
    </row>
    <row r="144" spans="1:22" x14ac:dyDescent="0.2">
      <c r="A144" s="4">
        <v>44769</v>
      </c>
      <c r="B144" s="3">
        <v>85.22</v>
      </c>
      <c r="C144">
        <v>53.56</v>
      </c>
      <c r="D144">
        <v>14.03</v>
      </c>
      <c r="E144">
        <v>17.559999999999999</v>
      </c>
      <c r="F144">
        <v>16.309999999999999</v>
      </c>
      <c r="G144">
        <v>25.52</v>
      </c>
      <c r="H144">
        <v>13.73</v>
      </c>
      <c r="I144">
        <v>40.909999999999997</v>
      </c>
      <c r="J144">
        <v>43.91</v>
      </c>
      <c r="K144">
        <v>13.79</v>
      </c>
      <c r="L144">
        <v>9.99</v>
      </c>
      <c r="M144">
        <v>12.69</v>
      </c>
      <c r="N144">
        <v>5.58</v>
      </c>
      <c r="O144">
        <v>33.18</v>
      </c>
      <c r="P144">
        <v>11.92</v>
      </c>
      <c r="Q144">
        <v>43.15</v>
      </c>
      <c r="R144">
        <v>20.52</v>
      </c>
      <c r="S144">
        <v>24.12</v>
      </c>
      <c r="T144">
        <v>23.65</v>
      </c>
      <c r="U144">
        <v>52.1</v>
      </c>
      <c r="V144" s="6">
        <v>29.37</v>
      </c>
    </row>
    <row r="145" spans="1:22" x14ac:dyDescent="0.2">
      <c r="A145" s="4">
        <v>44770</v>
      </c>
      <c r="B145" s="3">
        <v>86.2</v>
      </c>
      <c r="C145">
        <v>53.69</v>
      </c>
      <c r="D145">
        <v>14.45</v>
      </c>
      <c r="E145">
        <v>17.670000000000002</v>
      </c>
      <c r="F145">
        <v>16.649999999999999</v>
      </c>
      <c r="G145">
        <v>26.53</v>
      </c>
      <c r="H145">
        <v>13.99</v>
      </c>
      <c r="I145">
        <v>40.99</v>
      </c>
      <c r="J145">
        <v>44.7</v>
      </c>
      <c r="K145">
        <v>13.89</v>
      </c>
      <c r="L145">
        <v>10.34</v>
      </c>
      <c r="M145">
        <v>12.79</v>
      </c>
      <c r="N145">
        <v>5.64</v>
      </c>
      <c r="O145">
        <v>32.08</v>
      </c>
      <c r="P145">
        <v>11.79</v>
      </c>
      <c r="Q145">
        <v>43.24</v>
      </c>
      <c r="R145">
        <v>20.98</v>
      </c>
      <c r="S145">
        <v>24.49</v>
      </c>
      <c r="T145">
        <v>23.75</v>
      </c>
      <c r="U145">
        <v>52.14</v>
      </c>
      <c r="V145" s="6">
        <v>29.78</v>
      </c>
    </row>
    <row r="146" spans="1:22" x14ac:dyDescent="0.2">
      <c r="A146" s="4">
        <v>44771</v>
      </c>
      <c r="B146" s="3">
        <v>87.17</v>
      </c>
      <c r="C146">
        <v>52.97</v>
      </c>
      <c r="D146">
        <v>15.28</v>
      </c>
      <c r="E146">
        <v>17.61</v>
      </c>
      <c r="F146">
        <v>17.72</v>
      </c>
      <c r="G146">
        <v>26.63</v>
      </c>
      <c r="H146">
        <v>13.9</v>
      </c>
      <c r="I146">
        <v>41.31</v>
      </c>
      <c r="J146">
        <v>44.67</v>
      </c>
      <c r="K146">
        <v>13.92</v>
      </c>
      <c r="L146">
        <v>10.19</v>
      </c>
      <c r="M146">
        <v>12.65</v>
      </c>
      <c r="N146">
        <v>5.62</v>
      </c>
      <c r="O146">
        <v>31.94</v>
      </c>
      <c r="P146">
        <v>11.74</v>
      </c>
      <c r="Q146">
        <v>44.47</v>
      </c>
      <c r="R146">
        <v>20.77</v>
      </c>
      <c r="S146">
        <v>24.81</v>
      </c>
      <c r="T146">
        <v>24.18</v>
      </c>
      <c r="U146">
        <v>52.2</v>
      </c>
      <c r="V146" s="6">
        <v>30.73</v>
      </c>
    </row>
    <row r="147" spans="1:22" x14ac:dyDescent="0.2">
      <c r="A147" s="4">
        <v>44774</v>
      </c>
      <c r="B147" s="3">
        <v>85.94</v>
      </c>
      <c r="C147">
        <v>51.71</v>
      </c>
      <c r="D147">
        <v>15.07</v>
      </c>
      <c r="E147">
        <v>17.510000000000002</v>
      </c>
      <c r="F147">
        <v>17.5</v>
      </c>
      <c r="G147">
        <v>26.48</v>
      </c>
      <c r="H147">
        <v>13.79</v>
      </c>
      <c r="I147">
        <v>41.93</v>
      </c>
      <c r="J147">
        <v>44.82</v>
      </c>
      <c r="K147">
        <v>13.89</v>
      </c>
      <c r="L147">
        <v>9.98</v>
      </c>
      <c r="M147">
        <v>12.39</v>
      </c>
      <c r="N147">
        <v>5.57</v>
      </c>
      <c r="O147">
        <v>31.81</v>
      </c>
      <c r="P147">
        <v>12.02</v>
      </c>
      <c r="Q147">
        <v>43.72</v>
      </c>
      <c r="R147">
        <v>20.52</v>
      </c>
      <c r="S147">
        <v>24.77</v>
      </c>
      <c r="T147">
        <v>23.33</v>
      </c>
      <c r="U147">
        <v>51.79</v>
      </c>
      <c r="V147" s="6">
        <v>30.49</v>
      </c>
    </row>
    <row r="148" spans="1:22" x14ac:dyDescent="0.2">
      <c r="A148" s="4">
        <v>44775</v>
      </c>
      <c r="B148" s="3">
        <v>87.2</v>
      </c>
      <c r="C148">
        <v>53.35</v>
      </c>
      <c r="D148">
        <v>15.13</v>
      </c>
      <c r="E148">
        <v>17.690000000000001</v>
      </c>
      <c r="F148">
        <v>17.510000000000002</v>
      </c>
      <c r="G148">
        <v>26.96</v>
      </c>
      <c r="H148">
        <v>13.97</v>
      </c>
      <c r="I148">
        <v>42.26</v>
      </c>
      <c r="J148">
        <v>45</v>
      </c>
      <c r="K148">
        <v>14.13</v>
      </c>
      <c r="L148">
        <v>9.92</v>
      </c>
      <c r="M148">
        <v>12.46</v>
      </c>
      <c r="N148">
        <v>5.62</v>
      </c>
      <c r="O148">
        <v>32.24</v>
      </c>
      <c r="P148">
        <v>12.11</v>
      </c>
      <c r="Q148">
        <v>44.08</v>
      </c>
      <c r="R148">
        <v>20.71</v>
      </c>
      <c r="S148">
        <v>24.93</v>
      </c>
      <c r="T148">
        <v>23.35</v>
      </c>
      <c r="U148">
        <v>52.04</v>
      </c>
      <c r="V148" s="6">
        <v>31.21</v>
      </c>
    </row>
    <row r="149" spans="1:22" x14ac:dyDescent="0.2">
      <c r="A149" s="4">
        <v>44776</v>
      </c>
      <c r="B149" s="3">
        <v>87.33</v>
      </c>
      <c r="C149">
        <v>51.28</v>
      </c>
      <c r="D149">
        <v>15.16</v>
      </c>
      <c r="E149">
        <v>17.82</v>
      </c>
      <c r="F149">
        <v>17.41</v>
      </c>
      <c r="G149">
        <v>26.71</v>
      </c>
      <c r="H149">
        <v>14.07</v>
      </c>
      <c r="I149">
        <v>42.39</v>
      </c>
      <c r="J149">
        <v>45.41</v>
      </c>
      <c r="K149">
        <v>14.35</v>
      </c>
      <c r="L149">
        <v>10.25</v>
      </c>
      <c r="M149">
        <v>12.39</v>
      </c>
      <c r="N149">
        <v>5.66</v>
      </c>
      <c r="O149">
        <v>31.7</v>
      </c>
      <c r="P149">
        <v>12.58</v>
      </c>
      <c r="Q149">
        <v>43.59</v>
      </c>
      <c r="R149">
        <v>21.33</v>
      </c>
      <c r="S149">
        <v>25</v>
      </c>
      <c r="T149">
        <v>23.72</v>
      </c>
      <c r="U149">
        <v>53.66</v>
      </c>
      <c r="V149" s="6">
        <v>31.42</v>
      </c>
    </row>
    <row r="150" spans="1:22" x14ac:dyDescent="0.2">
      <c r="A150" s="4">
        <v>44777</v>
      </c>
      <c r="B150" s="3">
        <v>88.81</v>
      </c>
      <c r="C150">
        <v>50.98</v>
      </c>
      <c r="D150">
        <v>15.3</v>
      </c>
      <c r="E150">
        <v>18.25</v>
      </c>
      <c r="F150">
        <v>17.68</v>
      </c>
      <c r="G150">
        <v>27.37</v>
      </c>
      <c r="H150">
        <v>14.33</v>
      </c>
      <c r="I150">
        <v>43.58</v>
      </c>
      <c r="J150">
        <v>46.84</v>
      </c>
      <c r="K150">
        <v>14.61</v>
      </c>
      <c r="L150">
        <v>10.93</v>
      </c>
      <c r="M150">
        <v>12.44</v>
      </c>
      <c r="N150">
        <v>5.79</v>
      </c>
      <c r="O150">
        <v>31.47</v>
      </c>
      <c r="P150">
        <v>13.27</v>
      </c>
      <c r="Q150">
        <v>43.45</v>
      </c>
      <c r="R150">
        <v>22.63</v>
      </c>
      <c r="S150">
        <v>25.66</v>
      </c>
      <c r="T150">
        <v>23.31</v>
      </c>
      <c r="U150">
        <v>56.31</v>
      </c>
      <c r="V150" s="6">
        <v>32.76</v>
      </c>
    </row>
    <row r="151" spans="1:22" x14ac:dyDescent="0.2">
      <c r="A151" s="4">
        <v>44778</v>
      </c>
      <c r="B151" s="3">
        <v>89.44</v>
      </c>
      <c r="C151">
        <v>51.64</v>
      </c>
      <c r="D151">
        <v>15.6</v>
      </c>
      <c r="E151">
        <v>18.600000000000001</v>
      </c>
      <c r="F151">
        <v>17.989999999999998</v>
      </c>
      <c r="G151">
        <v>27.38</v>
      </c>
      <c r="H151">
        <v>14.6</v>
      </c>
      <c r="I151">
        <v>43.4</v>
      </c>
      <c r="J151">
        <v>46.49</v>
      </c>
      <c r="K151">
        <v>14.79</v>
      </c>
      <c r="L151">
        <v>11.09</v>
      </c>
      <c r="M151">
        <v>12.37</v>
      </c>
      <c r="N151">
        <v>5.87</v>
      </c>
      <c r="O151">
        <v>31.08</v>
      </c>
      <c r="P151">
        <v>13.35</v>
      </c>
      <c r="Q151">
        <v>44.01</v>
      </c>
      <c r="R151">
        <v>22.96</v>
      </c>
      <c r="S151">
        <v>25.48</v>
      </c>
      <c r="T151">
        <v>24.03</v>
      </c>
      <c r="U151">
        <v>56.32</v>
      </c>
      <c r="V151" s="6">
        <v>32.01</v>
      </c>
    </row>
    <row r="152" spans="1:22" x14ac:dyDescent="0.2">
      <c r="A152" s="4">
        <v>44781</v>
      </c>
      <c r="B152" s="3">
        <v>91.08</v>
      </c>
      <c r="C152">
        <v>52.09</v>
      </c>
      <c r="D152">
        <v>16.39</v>
      </c>
      <c r="E152">
        <v>18.829999999999998</v>
      </c>
      <c r="F152">
        <v>18.86</v>
      </c>
      <c r="G152">
        <v>28.24</v>
      </c>
      <c r="H152">
        <v>15.06</v>
      </c>
      <c r="I152">
        <v>43.55</v>
      </c>
      <c r="J152">
        <v>47.41</v>
      </c>
      <c r="K152">
        <v>14.84</v>
      </c>
      <c r="L152">
        <v>11.44</v>
      </c>
      <c r="M152">
        <v>12.54</v>
      </c>
      <c r="N152">
        <v>5.95</v>
      </c>
      <c r="O152">
        <v>29.95</v>
      </c>
      <c r="P152">
        <v>13.72</v>
      </c>
      <c r="Q152">
        <v>44.74</v>
      </c>
      <c r="R152">
        <v>23.17</v>
      </c>
      <c r="S152">
        <v>25.45</v>
      </c>
      <c r="T152">
        <v>24.61</v>
      </c>
      <c r="U152">
        <v>57.45</v>
      </c>
      <c r="V152" s="6">
        <v>34.119999999999997</v>
      </c>
    </row>
    <row r="153" spans="1:22" x14ac:dyDescent="0.2">
      <c r="A153" s="4">
        <v>44782</v>
      </c>
      <c r="B153" s="3">
        <v>91.5</v>
      </c>
      <c r="C153">
        <v>53.16</v>
      </c>
      <c r="D153">
        <v>16.66</v>
      </c>
      <c r="E153">
        <v>19.32</v>
      </c>
      <c r="F153">
        <v>19.11</v>
      </c>
      <c r="G153">
        <v>28.1</v>
      </c>
      <c r="H153">
        <v>15.31</v>
      </c>
      <c r="I153">
        <v>43.58</v>
      </c>
      <c r="J153">
        <v>46.58</v>
      </c>
      <c r="K153">
        <v>15.05</v>
      </c>
      <c r="L153">
        <v>11.25</v>
      </c>
      <c r="M153">
        <v>12.49</v>
      </c>
      <c r="N153">
        <v>6.06</v>
      </c>
      <c r="O153">
        <v>29.39</v>
      </c>
      <c r="P153">
        <v>13.67</v>
      </c>
      <c r="Q153">
        <v>45.19</v>
      </c>
      <c r="R153">
        <v>22.68</v>
      </c>
      <c r="S153">
        <v>25.56</v>
      </c>
      <c r="T153">
        <v>25.01</v>
      </c>
      <c r="U153">
        <v>56</v>
      </c>
      <c r="V153" s="6">
        <v>32.99</v>
      </c>
    </row>
    <row r="154" spans="1:22" x14ac:dyDescent="0.2">
      <c r="A154" s="4">
        <v>44783</v>
      </c>
      <c r="B154" s="3">
        <v>92.56</v>
      </c>
      <c r="C154">
        <v>53.2</v>
      </c>
      <c r="D154">
        <v>16.600000000000001</v>
      </c>
      <c r="E154">
        <v>19.68</v>
      </c>
      <c r="F154">
        <v>19.04</v>
      </c>
      <c r="G154">
        <v>29.14</v>
      </c>
      <c r="H154">
        <v>15.44</v>
      </c>
      <c r="I154">
        <v>43.27</v>
      </c>
      <c r="J154">
        <v>47.17</v>
      </c>
      <c r="K154">
        <v>15.29</v>
      </c>
      <c r="L154">
        <v>11.36</v>
      </c>
      <c r="M154">
        <v>12.84</v>
      </c>
      <c r="N154">
        <v>6.09</v>
      </c>
      <c r="O154">
        <v>30.55</v>
      </c>
      <c r="P154">
        <v>14.18</v>
      </c>
      <c r="Q154">
        <v>45.14</v>
      </c>
      <c r="R154">
        <v>24.29</v>
      </c>
      <c r="S154">
        <v>25.47</v>
      </c>
      <c r="T154">
        <v>24.76</v>
      </c>
      <c r="U154">
        <v>57.86</v>
      </c>
      <c r="V154" s="6">
        <v>33.86</v>
      </c>
    </row>
    <row r="155" spans="1:22" x14ac:dyDescent="0.2">
      <c r="A155" s="4">
        <v>44784</v>
      </c>
      <c r="B155" s="3">
        <v>93.08</v>
      </c>
      <c r="C155">
        <v>55.05</v>
      </c>
      <c r="D155">
        <v>16.22</v>
      </c>
      <c r="E155">
        <v>19.71</v>
      </c>
      <c r="F155">
        <v>18.68</v>
      </c>
      <c r="G155">
        <v>28.62</v>
      </c>
      <c r="H155">
        <v>16.13</v>
      </c>
      <c r="I155">
        <v>42.35</v>
      </c>
      <c r="J155">
        <v>45.88</v>
      </c>
      <c r="K155">
        <v>15.42</v>
      </c>
      <c r="L155">
        <v>11.16</v>
      </c>
      <c r="M155">
        <v>12.82</v>
      </c>
      <c r="N155">
        <v>6.07</v>
      </c>
      <c r="O155">
        <v>31.24</v>
      </c>
      <c r="P155">
        <v>14.29</v>
      </c>
      <c r="Q155">
        <v>45.54</v>
      </c>
      <c r="R155">
        <v>24.28</v>
      </c>
      <c r="S155">
        <v>24.19</v>
      </c>
      <c r="T155">
        <v>25.32</v>
      </c>
      <c r="U155">
        <v>57</v>
      </c>
      <c r="V155" s="6">
        <v>32.909999999999997</v>
      </c>
    </row>
    <row r="156" spans="1:22" x14ac:dyDescent="0.2">
      <c r="A156" s="4">
        <v>44785</v>
      </c>
      <c r="B156" s="3">
        <v>94.75</v>
      </c>
      <c r="C156">
        <v>55.57</v>
      </c>
      <c r="D156">
        <v>17.38</v>
      </c>
      <c r="E156">
        <v>19.95</v>
      </c>
      <c r="F156">
        <v>20.18</v>
      </c>
      <c r="G156">
        <v>29.35</v>
      </c>
      <c r="H156">
        <v>17.04</v>
      </c>
      <c r="I156">
        <v>42.29</v>
      </c>
      <c r="J156">
        <v>43.85</v>
      </c>
      <c r="K156">
        <v>15.61</v>
      </c>
      <c r="L156">
        <v>12.03</v>
      </c>
      <c r="M156">
        <v>12.89</v>
      </c>
      <c r="N156">
        <v>6.15</v>
      </c>
      <c r="O156">
        <v>30.42</v>
      </c>
      <c r="P156">
        <v>14.67</v>
      </c>
      <c r="Q156">
        <v>46.2</v>
      </c>
      <c r="R156">
        <v>24.37</v>
      </c>
      <c r="S156">
        <v>24.47</v>
      </c>
      <c r="T156">
        <v>25.83</v>
      </c>
      <c r="U156">
        <v>57.53</v>
      </c>
      <c r="V156" s="6">
        <v>34.409999999999997</v>
      </c>
    </row>
    <row r="157" spans="1:22" x14ac:dyDescent="0.2">
      <c r="A157" s="4">
        <v>44788</v>
      </c>
      <c r="B157" s="3">
        <v>95</v>
      </c>
      <c r="C157">
        <v>54.38</v>
      </c>
      <c r="D157">
        <v>17.39</v>
      </c>
      <c r="E157">
        <v>20.12</v>
      </c>
      <c r="F157">
        <v>20.11</v>
      </c>
      <c r="G157">
        <v>28.82</v>
      </c>
      <c r="H157">
        <v>16.61</v>
      </c>
      <c r="I157">
        <v>43.9</v>
      </c>
      <c r="J157">
        <v>44.62</v>
      </c>
      <c r="K157">
        <v>15.53</v>
      </c>
      <c r="L157">
        <v>12.13</v>
      </c>
      <c r="M157">
        <v>13.06</v>
      </c>
      <c r="N157">
        <v>6.16</v>
      </c>
      <c r="O157">
        <v>30.05</v>
      </c>
      <c r="P157">
        <v>14.93</v>
      </c>
      <c r="Q157">
        <v>45.01</v>
      </c>
      <c r="R157">
        <v>24.62</v>
      </c>
      <c r="S157">
        <v>25.04</v>
      </c>
      <c r="T157">
        <v>25.29</v>
      </c>
      <c r="U157">
        <v>58.19</v>
      </c>
      <c r="V157" s="6">
        <v>37</v>
      </c>
    </row>
    <row r="158" spans="1:22" x14ac:dyDescent="0.2">
      <c r="A158" s="4">
        <v>44789</v>
      </c>
      <c r="B158" s="3">
        <v>95.24</v>
      </c>
      <c r="C158">
        <v>55.69</v>
      </c>
      <c r="D158">
        <v>17.55</v>
      </c>
      <c r="E158">
        <v>20.32</v>
      </c>
      <c r="F158">
        <v>20.34</v>
      </c>
      <c r="G158">
        <v>29.06</v>
      </c>
      <c r="H158">
        <v>16.690000000000001</v>
      </c>
      <c r="I158">
        <v>43.68</v>
      </c>
      <c r="J158">
        <v>44.45</v>
      </c>
      <c r="K158">
        <v>15.76</v>
      </c>
      <c r="L158">
        <v>12.05</v>
      </c>
      <c r="M158">
        <v>13.13</v>
      </c>
      <c r="N158">
        <v>6.18</v>
      </c>
      <c r="O158">
        <v>31.52</v>
      </c>
      <c r="P158">
        <v>15.16</v>
      </c>
      <c r="Q158">
        <v>45.96</v>
      </c>
      <c r="R158">
        <v>24.5</v>
      </c>
      <c r="S158">
        <v>24.97</v>
      </c>
      <c r="T158">
        <v>24.28</v>
      </c>
      <c r="U158">
        <v>57.09</v>
      </c>
      <c r="V158" s="6">
        <v>35.53</v>
      </c>
    </row>
    <row r="159" spans="1:22" x14ac:dyDescent="0.2">
      <c r="A159" s="4">
        <v>44790</v>
      </c>
      <c r="B159" s="3">
        <v>95.4</v>
      </c>
      <c r="C159">
        <v>54.32</v>
      </c>
      <c r="D159">
        <v>17.96</v>
      </c>
      <c r="E159">
        <v>20.399999999999999</v>
      </c>
      <c r="F159">
        <v>21.01</v>
      </c>
      <c r="G159">
        <v>28.9</v>
      </c>
      <c r="H159">
        <v>16.54</v>
      </c>
      <c r="I159">
        <v>44.73</v>
      </c>
      <c r="J159">
        <v>46.33</v>
      </c>
      <c r="K159">
        <v>15.78</v>
      </c>
      <c r="L159">
        <v>11.82</v>
      </c>
      <c r="M159">
        <v>13.17</v>
      </c>
      <c r="N159">
        <v>6.19</v>
      </c>
      <c r="O159">
        <v>32.46</v>
      </c>
      <c r="P159">
        <v>15.08</v>
      </c>
      <c r="Q159">
        <v>46.97</v>
      </c>
      <c r="R159">
        <v>24.56</v>
      </c>
      <c r="S159">
        <v>25.32</v>
      </c>
      <c r="T159">
        <v>24.3</v>
      </c>
      <c r="U159">
        <v>57.72</v>
      </c>
      <c r="V159" s="6">
        <v>34.01</v>
      </c>
    </row>
    <row r="160" spans="1:22" x14ac:dyDescent="0.2">
      <c r="A160" s="4">
        <v>44791</v>
      </c>
      <c r="B160" s="3">
        <v>95.81</v>
      </c>
      <c r="C160">
        <v>53.92</v>
      </c>
      <c r="D160">
        <v>18.32</v>
      </c>
      <c r="E160">
        <v>20.34</v>
      </c>
      <c r="F160">
        <v>21.29</v>
      </c>
      <c r="G160">
        <v>29.29</v>
      </c>
      <c r="H160">
        <v>16.16</v>
      </c>
      <c r="I160">
        <v>44.57</v>
      </c>
      <c r="J160">
        <v>46.46</v>
      </c>
      <c r="K160">
        <v>15.88</v>
      </c>
      <c r="L160">
        <v>11.8</v>
      </c>
      <c r="M160">
        <v>13.55</v>
      </c>
      <c r="N160">
        <v>6.19</v>
      </c>
      <c r="O160">
        <v>32.26</v>
      </c>
      <c r="P160">
        <v>15.26</v>
      </c>
      <c r="Q160">
        <v>46.64</v>
      </c>
      <c r="R160">
        <v>24.42</v>
      </c>
      <c r="S160">
        <v>25.19</v>
      </c>
      <c r="T160">
        <v>24.6</v>
      </c>
      <c r="U160">
        <v>57.99</v>
      </c>
      <c r="V160" s="6">
        <v>33.96</v>
      </c>
    </row>
    <row r="161" spans="1:22" x14ac:dyDescent="0.2">
      <c r="A161" s="4">
        <v>44792</v>
      </c>
      <c r="B161" s="3">
        <v>93.58</v>
      </c>
      <c r="C161">
        <v>53.31</v>
      </c>
      <c r="D161">
        <v>17.39</v>
      </c>
      <c r="E161">
        <v>20.059999999999999</v>
      </c>
      <c r="F161">
        <v>20.420000000000002</v>
      </c>
      <c r="G161">
        <v>28.35</v>
      </c>
      <c r="H161">
        <v>15.86</v>
      </c>
      <c r="I161">
        <v>43.44</v>
      </c>
      <c r="J161">
        <v>46.57</v>
      </c>
      <c r="K161">
        <v>15.68</v>
      </c>
      <c r="L161">
        <v>11.49</v>
      </c>
      <c r="M161">
        <v>13.27</v>
      </c>
      <c r="N161">
        <v>6.16</v>
      </c>
      <c r="O161">
        <v>32.369999999999997</v>
      </c>
      <c r="P161">
        <v>14.56</v>
      </c>
      <c r="Q161">
        <v>46.02</v>
      </c>
      <c r="R161">
        <v>24.08</v>
      </c>
      <c r="S161">
        <v>24.96</v>
      </c>
      <c r="T161">
        <v>23.93</v>
      </c>
      <c r="U161">
        <v>56.86</v>
      </c>
      <c r="V161" s="6">
        <v>33.04</v>
      </c>
    </row>
    <row r="162" spans="1:22" x14ac:dyDescent="0.2">
      <c r="A162" s="4">
        <v>44795</v>
      </c>
      <c r="B162" s="3">
        <v>92.93</v>
      </c>
      <c r="C162">
        <v>52.53</v>
      </c>
      <c r="D162">
        <v>17.77</v>
      </c>
      <c r="E162">
        <v>19.84</v>
      </c>
      <c r="F162">
        <v>20.75</v>
      </c>
      <c r="G162">
        <v>27.5</v>
      </c>
      <c r="H162">
        <v>16.02</v>
      </c>
      <c r="I162">
        <v>42.91</v>
      </c>
      <c r="J162">
        <v>46.36</v>
      </c>
      <c r="K162">
        <v>15.46</v>
      </c>
      <c r="L162">
        <v>11.3</v>
      </c>
      <c r="M162">
        <v>13.06</v>
      </c>
      <c r="N162">
        <v>6.11</v>
      </c>
      <c r="O162">
        <v>31.78</v>
      </c>
      <c r="P162">
        <v>13.89</v>
      </c>
      <c r="Q162">
        <v>44.88</v>
      </c>
      <c r="R162">
        <v>23.67</v>
      </c>
      <c r="S162">
        <v>24.69</v>
      </c>
      <c r="T162">
        <v>23.38</v>
      </c>
      <c r="U162">
        <v>56.16</v>
      </c>
      <c r="V162" s="6">
        <v>32</v>
      </c>
    </row>
    <row r="163" spans="1:22" x14ac:dyDescent="0.2">
      <c r="A163" s="4">
        <v>44796</v>
      </c>
      <c r="B163" s="3">
        <v>95.2</v>
      </c>
      <c r="C163">
        <v>55.9</v>
      </c>
      <c r="D163">
        <v>18.329999999999998</v>
      </c>
      <c r="E163">
        <v>19.89</v>
      </c>
      <c r="F163">
        <v>21.53</v>
      </c>
      <c r="G163">
        <v>27.36</v>
      </c>
      <c r="H163">
        <v>16.32</v>
      </c>
      <c r="I163">
        <v>42.93</v>
      </c>
      <c r="J163">
        <v>47.19</v>
      </c>
      <c r="K163">
        <v>15.57</v>
      </c>
      <c r="L163">
        <v>11.42</v>
      </c>
      <c r="M163">
        <v>13.08</v>
      </c>
      <c r="N163">
        <v>6.11</v>
      </c>
      <c r="O163">
        <v>31.37</v>
      </c>
      <c r="P163">
        <v>14</v>
      </c>
      <c r="Q163">
        <v>45.6</v>
      </c>
      <c r="R163">
        <v>24.12</v>
      </c>
      <c r="S163">
        <v>24.74</v>
      </c>
      <c r="T163">
        <v>25.07</v>
      </c>
      <c r="U163">
        <v>57.33</v>
      </c>
      <c r="V163" s="6">
        <v>32.43</v>
      </c>
    </row>
    <row r="164" spans="1:22" x14ac:dyDescent="0.2">
      <c r="A164" s="4">
        <v>44797</v>
      </c>
      <c r="B164" s="3">
        <v>95.09</v>
      </c>
      <c r="C164">
        <v>54.1</v>
      </c>
      <c r="D164">
        <v>18.440000000000001</v>
      </c>
      <c r="E164">
        <v>19.97</v>
      </c>
      <c r="F164">
        <v>21.67</v>
      </c>
      <c r="G164">
        <v>27.35</v>
      </c>
      <c r="H164">
        <v>16.05</v>
      </c>
      <c r="I164">
        <v>42.82</v>
      </c>
      <c r="J164">
        <v>47.72</v>
      </c>
      <c r="K164">
        <v>15.49</v>
      </c>
      <c r="L164">
        <v>11.45</v>
      </c>
      <c r="M164">
        <v>13.39</v>
      </c>
      <c r="N164">
        <v>6.09</v>
      </c>
      <c r="O164">
        <v>30.66</v>
      </c>
      <c r="P164">
        <v>14.32</v>
      </c>
      <c r="Q164">
        <v>44.12</v>
      </c>
      <c r="R164">
        <v>24.33</v>
      </c>
      <c r="S164">
        <v>24.63</v>
      </c>
      <c r="T164">
        <v>25.94</v>
      </c>
      <c r="U164">
        <v>57.87</v>
      </c>
      <c r="V164" s="6">
        <v>32.92</v>
      </c>
    </row>
    <row r="165" spans="1:22" x14ac:dyDescent="0.2">
      <c r="A165" s="4">
        <v>44798</v>
      </c>
      <c r="B165" s="3">
        <v>95.35</v>
      </c>
      <c r="C165">
        <v>55.15</v>
      </c>
      <c r="D165">
        <v>18.239999999999998</v>
      </c>
      <c r="E165">
        <v>20.22</v>
      </c>
      <c r="F165">
        <v>21.45</v>
      </c>
      <c r="G165">
        <v>27.5</v>
      </c>
      <c r="H165">
        <v>16.43</v>
      </c>
      <c r="I165">
        <v>42.2</v>
      </c>
      <c r="J165">
        <v>48.46</v>
      </c>
      <c r="K165">
        <v>15.6</v>
      </c>
      <c r="L165">
        <v>11.73</v>
      </c>
      <c r="M165">
        <v>13.4</v>
      </c>
      <c r="N165">
        <v>6.15</v>
      </c>
      <c r="O165">
        <v>30.72</v>
      </c>
      <c r="P165">
        <v>14.71</v>
      </c>
      <c r="Q165">
        <v>43.58</v>
      </c>
      <c r="R165">
        <v>24.12</v>
      </c>
      <c r="S165">
        <v>24.45</v>
      </c>
      <c r="T165">
        <v>26.35</v>
      </c>
      <c r="U165">
        <v>57.68</v>
      </c>
      <c r="V165" s="6">
        <v>32.68</v>
      </c>
    </row>
    <row r="166" spans="1:22" x14ac:dyDescent="0.2">
      <c r="A166" s="4">
        <v>44799</v>
      </c>
      <c r="B166" s="3">
        <v>94.35</v>
      </c>
      <c r="C166">
        <v>54.32</v>
      </c>
      <c r="D166">
        <v>18.440000000000001</v>
      </c>
      <c r="E166">
        <v>20.100000000000001</v>
      </c>
      <c r="F166">
        <v>21.67</v>
      </c>
      <c r="G166">
        <v>27.37</v>
      </c>
      <c r="H166">
        <v>16.350000000000001</v>
      </c>
      <c r="I166">
        <v>41.8</v>
      </c>
      <c r="J166">
        <v>47.67</v>
      </c>
      <c r="K166">
        <v>15.54</v>
      </c>
      <c r="L166">
        <v>11.42</v>
      </c>
      <c r="M166">
        <v>13.28</v>
      </c>
      <c r="N166">
        <v>6.13</v>
      </c>
      <c r="O166">
        <v>29.95</v>
      </c>
      <c r="P166">
        <v>14.51</v>
      </c>
      <c r="Q166">
        <v>41.77</v>
      </c>
      <c r="R166">
        <v>23.62</v>
      </c>
      <c r="S166">
        <v>23.99</v>
      </c>
      <c r="T166">
        <v>26.52</v>
      </c>
      <c r="U166">
        <v>55.77</v>
      </c>
      <c r="V166" s="6">
        <v>31.74</v>
      </c>
    </row>
    <row r="167" spans="1:22" x14ac:dyDescent="0.2">
      <c r="A167" s="4">
        <v>44802</v>
      </c>
      <c r="B167" s="3">
        <v>94.35</v>
      </c>
      <c r="C167">
        <v>53.27</v>
      </c>
      <c r="D167">
        <v>18.899999999999999</v>
      </c>
      <c r="E167">
        <v>20.03</v>
      </c>
      <c r="F167">
        <v>22.14</v>
      </c>
      <c r="G167">
        <v>26.95</v>
      </c>
      <c r="H167">
        <v>16.68</v>
      </c>
      <c r="I167">
        <v>42.08</v>
      </c>
      <c r="J167">
        <v>48.09</v>
      </c>
      <c r="K167">
        <v>15.6</v>
      </c>
      <c r="L167">
        <v>11.34</v>
      </c>
      <c r="M167">
        <v>13.22</v>
      </c>
      <c r="N167">
        <v>6.09</v>
      </c>
      <c r="O167">
        <v>30.1</v>
      </c>
      <c r="P167">
        <v>14.37</v>
      </c>
      <c r="Q167">
        <v>41.71</v>
      </c>
      <c r="R167">
        <v>24.03</v>
      </c>
      <c r="S167">
        <v>24.03</v>
      </c>
      <c r="T167">
        <v>27.19</v>
      </c>
      <c r="U167">
        <v>55.59</v>
      </c>
      <c r="V167" s="6">
        <v>31.36</v>
      </c>
    </row>
    <row r="168" spans="1:22" x14ac:dyDescent="0.2">
      <c r="A168" s="4">
        <v>44803</v>
      </c>
      <c r="B168" s="3">
        <v>92.8</v>
      </c>
      <c r="C168">
        <v>51.73</v>
      </c>
      <c r="D168">
        <v>17.78</v>
      </c>
      <c r="E168">
        <v>19.940000000000001</v>
      </c>
      <c r="F168">
        <v>20.89</v>
      </c>
      <c r="G168">
        <v>26.97</v>
      </c>
      <c r="H168">
        <v>16.64</v>
      </c>
      <c r="I168">
        <v>41.52</v>
      </c>
      <c r="J168">
        <v>47.9</v>
      </c>
      <c r="K168">
        <v>15.55</v>
      </c>
      <c r="L168">
        <v>11.2</v>
      </c>
      <c r="M168">
        <v>13.04</v>
      </c>
      <c r="N168">
        <v>6.12</v>
      </c>
      <c r="O168">
        <v>29.99</v>
      </c>
      <c r="P168">
        <v>14.26</v>
      </c>
      <c r="Q168">
        <v>41.54</v>
      </c>
      <c r="R168">
        <v>24.01</v>
      </c>
      <c r="S168">
        <v>24.02</v>
      </c>
      <c r="T168">
        <v>26.83</v>
      </c>
      <c r="U168">
        <v>56.39</v>
      </c>
      <c r="V168" s="6">
        <v>31.31</v>
      </c>
    </row>
    <row r="169" spans="1:22" x14ac:dyDescent="0.2">
      <c r="A169" s="4">
        <v>44804</v>
      </c>
      <c r="B169" s="3">
        <v>92.35</v>
      </c>
      <c r="C169">
        <v>51.35</v>
      </c>
      <c r="D169">
        <v>18.22</v>
      </c>
      <c r="E169">
        <v>19.440000000000001</v>
      </c>
      <c r="F169">
        <v>21.5</v>
      </c>
      <c r="G169">
        <v>26.87</v>
      </c>
      <c r="H169">
        <v>16.38</v>
      </c>
      <c r="I169">
        <v>41.58</v>
      </c>
      <c r="J169">
        <v>49.15</v>
      </c>
      <c r="K169">
        <v>15.16</v>
      </c>
      <c r="L169">
        <v>10.89</v>
      </c>
      <c r="M169">
        <v>12.94</v>
      </c>
      <c r="N169">
        <v>5.99</v>
      </c>
      <c r="O169">
        <v>29.59</v>
      </c>
      <c r="P169">
        <v>13.81</v>
      </c>
      <c r="Q169">
        <v>40.76</v>
      </c>
      <c r="R169">
        <v>23.72</v>
      </c>
      <c r="S169">
        <v>24.18</v>
      </c>
      <c r="T169">
        <v>27.27</v>
      </c>
      <c r="U169">
        <v>55.11</v>
      </c>
      <c r="V169" s="6">
        <v>31.62</v>
      </c>
    </row>
    <row r="170" spans="1:22" x14ac:dyDescent="0.2">
      <c r="A170" s="4">
        <v>44805</v>
      </c>
      <c r="B170" s="3">
        <v>92.75</v>
      </c>
      <c r="C170">
        <v>50.87</v>
      </c>
      <c r="D170">
        <v>18.559999999999999</v>
      </c>
      <c r="E170">
        <v>19.739999999999998</v>
      </c>
      <c r="F170">
        <v>21.89</v>
      </c>
      <c r="G170">
        <v>26.96</v>
      </c>
      <c r="H170">
        <v>16.64</v>
      </c>
      <c r="I170">
        <v>42.21</v>
      </c>
      <c r="J170">
        <v>49</v>
      </c>
      <c r="K170">
        <v>15.29</v>
      </c>
      <c r="L170">
        <v>11.11</v>
      </c>
      <c r="M170">
        <v>13.07</v>
      </c>
      <c r="N170">
        <v>6.01</v>
      </c>
      <c r="O170">
        <v>29.08</v>
      </c>
      <c r="P170">
        <v>13.48</v>
      </c>
      <c r="Q170">
        <v>40.520000000000003</v>
      </c>
      <c r="R170">
        <v>23.98</v>
      </c>
      <c r="S170">
        <v>24.45</v>
      </c>
      <c r="T170">
        <v>27.16</v>
      </c>
      <c r="U170">
        <v>56.72</v>
      </c>
      <c r="V170" s="6">
        <v>32.31</v>
      </c>
    </row>
    <row r="171" spans="1:22" x14ac:dyDescent="0.2">
      <c r="A171" s="4">
        <v>44806</v>
      </c>
      <c r="B171" s="3">
        <v>93.72</v>
      </c>
      <c r="C171">
        <v>50.1</v>
      </c>
      <c r="D171">
        <v>18.32</v>
      </c>
      <c r="E171">
        <v>20.010000000000002</v>
      </c>
      <c r="F171">
        <v>21.57</v>
      </c>
      <c r="G171">
        <v>28.7</v>
      </c>
      <c r="H171">
        <v>16.71</v>
      </c>
      <c r="I171">
        <v>41.94</v>
      </c>
      <c r="J171">
        <v>49.38</v>
      </c>
      <c r="K171">
        <v>15.45</v>
      </c>
      <c r="L171">
        <v>11.61</v>
      </c>
      <c r="M171">
        <v>13.11</v>
      </c>
      <c r="N171">
        <v>6.11</v>
      </c>
      <c r="O171">
        <v>29.14</v>
      </c>
      <c r="P171">
        <v>13.34</v>
      </c>
      <c r="Q171">
        <v>40.08</v>
      </c>
      <c r="R171">
        <v>24.22</v>
      </c>
      <c r="S171">
        <v>24.39</v>
      </c>
      <c r="T171">
        <v>27.71</v>
      </c>
      <c r="U171">
        <v>56.92</v>
      </c>
      <c r="V171" s="6">
        <v>32.26</v>
      </c>
    </row>
    <row r="172" spans="1:22" x14ac:dyDescent="0.2">
      <c r="A172" s="4">
        <v>44809</v>
      </c>
      <c r="B172" s="3">
        <v>94.3</v>
      </c>
      <c r="C172">
        <v>51.93</v>
      </c>
      <c r="D172">
        <v>18.27</v>
      </c>
      <c r="E172">
        <v>20.329999999999998</v>
      </c>
      <c r="F172">
        <v>21.52</v>
      </c>
      <c r="G172">
        <v>29.35</v>
      </c>
      <c r="H172">
        <v>16.36</v>
      </c>
      <c r="I172">
        <v>41.89</v>
      </c>
      <c r="J172">
        <v>50.47</v>
      </c>
      <c r="K172">
        <v>15.48</v>
      </c>
      <c r="L172">
        <v>11.8</v>
      </c>
      <c r="M172">
        <v>13.17</v>
      </c>
      <c r="N172">
        <v>6.18</v>
      </c>
      <c r="O172">
        <v>29</v>
      </c>
      <c r="P172">
        <v>13.13</v>
      </c>
      <c r="Q172">
        <v>41.19</v>
      </c>
      <c r="R172">
        <v>24.65</v>
      </c>
      <c r="S172">
        <v>25.23</v>
      </c>
      <c r="T172">
        <v>29.49</v>
      </c>
      <c r="U172">
        <v>57.54</v>
      </c>
      <c r="V172" s="6">
        <v>33.18</v>
      </c>
    </row>
    <row r="173" spans="1:22" x14ac:dyDescent="0.2">
      <c r="A173" s="4">
        <v>44810</v>
      </c>
      <c r="B173" s="3">
        <v>92.41</v>
      </c>
      <c r="C173">
        <v>50.69</v>
      </c>
      <c r="D173">
        <v>17.600000000000001</v>
      </c>
      <c r="E173">
        <v>20.14</v>
      </c>
      <c r="F173">
        <v>20.77</v>
      </c>
      <c r="G173">
        <v>28.77</v>
      </c>
      <c r="H173">
        <v>15.57</v>
      </c>
      <c r="I173">
        <v>40.729999999999997</v>
      </c>
      <c r="J173">
        <v>49.1</v>
      </c>
      <c r="K173">
        <v>15.39</v>
      </c>
      <c r="L173">
        <v>11.38</v>
      </c>
      <c r="M173">
        <v>13.18</v>
      </c>
      <c r="N173">
        <v>6.07</v>
      </c>
      <c r="O173">
        <v>29.03</v>
      </c>
      <c r="P173">
        <v>13.04</v>
      </c>
      <c r="Q173">
        <v>41.42</v>
      </c>
      <c r="R173">
        <v>24.04</v>
      </c>
      <c r="S173">
        <v>24.92</v>
      </c>
      <c r="T173">
        <v>28.67</v>
      </c>
      <c r="U173">
        <v>55.95</v>
      </c>
      <c r="V173" s="6">
        <v>31.79</v>
      </c>
    </row>
    <row r="174" spans="1:22" x14ac:dyDescent="0.2">
      <c r="A174" s="4">
        <v>44812</v>
      </c>
      <c r="B174" s="3">
        <v>92.2</v>
      </c>
      <c r="C174">
        <v>51.36</v>
      </c>
      <c r="D174">
        <v>17.43</v>
      </c>
      <c r="E174">
        <v>20</v>
      </c>
      <c r="F174">
        <v>20.56</v>
      </c>
      <c r="G174">
        <v>28.7</v>
      </c>
      <c r="H174">
        <v>15.51</v>
      </c>
      <c r="I174">
        <v>40.78</v>
      </c>
      <c r="J174">
        <v>51.56</v>
      </c>
      <c r="K174">
        <v>15.3</v>
      </c>
      <c r="L174">
        <v>11.94</v>
      </c>
      <c r="M174">
        <v>13.13</v>
      </c>
      <c r="N174">
        <v>6.09</v>
      </c>
      <c r="O174">
        <v>27.58</v>
      </c>
      <c r="P174">
        <v>13.49</v>
      </c>
      <c r="Q174">
        <v>40.5</v>
      </c>
      <c r="R174">
        <v>24.32</v>
      </c>
      <c r="S174">
        <v>24.62</v>
      </c>
      <c r="T174">
        <v>27.51</v>
      </c>
      <c r="U174">
        <v>56.25</v>
      </c>
      <c r="V174" s="6">
        <v>31.54</v>
      </c>
    </row>
    <row r="175" spans="1:22" x14ac:dyDescent="0.2">
      <c r="A175" s="4">
        <v>44813</v>
      </c>
      <c r="B175" s="3">
        <v>94.11</v>
      </c>
      <c r="C175">
        <v>55.37</v>
      </c>
      <c r="D175">
        <v>17.43</v>
      </c>
      <c r="E175">
        <v>20.16</v>
      </c>
      <c r="F175">
        <v>20.52</v>
      </c>
      <c r="G175">
        <v>28.92</v>
      </c>
      <c r="H175">
        <v>15.94</v>
      </c>
      <c r="I175">
        <v>40.89</v>
      </c>
      <c r="J175">
        <v>53.04</v>
      </c>
      <c r="K175">
        <v>15.51</v>
      </c>
      <c r="L175">
        <v>11.9</v>
      </c>
      <c r="M175">
        <v>13.32</v>
      </c>
      <c r="N175">
        <v>6.13</v>
      </c>
      <c r="O175">
        <v>27.94</v>
      </c>
      <c r="P175">
        <v>13.61</v>
      </c>
      <c r="Q175">
        <v>41.54</v>
      </c>
      <c r="R175">
        <v>24.51</v>
      </c>
      <c r="S175">
        <v>24.5</v>
      </c>
      <c r="T175">
        <v>28.01</v>
      </c>
      <c r="U175">
        <v>57.33</v>
      </c>
      <c r="V175" s="6">
        <v>32.340000000000003</v>
      </c>
    </row>
    <row r="176" spans="1:22" x14ac:dyDescent="0.2">
      <c r="A176" s="4">
        <v>44816</v>
      </c>
      <c r="B176" s="3">
        <v>95.35</v>
      </c>
      <c r="C176">
        <v>55.85</v>
      </c>
      <c r="D176">
        <v>17.309999999999999</v>
      </c>
      <c r="E176">
        <v>20.399999999999999</v>
      </c>
      <c r="F176">
        <v>20.399999999999999</v>
      </c>
      <c r="G176">
        <v>30.13</v>
      </c>
      <c r="H176">
        <v>16.14</v>
      </c>
      <c r="I176">
        <v>41.47</v>
      </c>
      <c r="J176">
        <v>52.35</v>
      </c>
      <c r="K176">
        <v>15.71</v>
      </c>
      <c r="L176">
        <v>12.16</v>
      </c>
      <c r="M176">
        <v>13.31</v>
      </c>
      <c r="N176">
        <v>6.25</v>
      </c>
      <c r="O176">
        <v>28.32</v>
      </c>
      <c r="P176">
        <v>13.6</v>
      </c>
      <c r="Q176">
        <v>41.88</v>
      </c>
      <c r="R176">
        <v>25.1</v>
      </c>
      <c r="S176">
        <v>24.63</v>
      </c>
      <c r="T176">
        <v>27.54</v>
      </c>
      <c r="U176">
        <v>58.9</v>
      </c>
      <c r="V176" s="6">
        <v>32.92</v>
      </c>
    </row>
    <row r="177" spans="1:22" x14ac:dyDescent="0.2">
      <c r="A177" s="4">
        <v>44817</v>
      </c>
      <c r="B177" s="3">
        <v>93.17</v>
      </c>
      <c r="C177">
        <v>54.34</v>
      </c>
      <c r="D177">
        <v>16.8</v>
      </c>
      <c r="E177">
        <v>20.2</v>
      </c>
      <c r="F177">
        <v>19.82</v>
      </c>
      <c r="G177">
        <v>29.08</v>
      </c>
      <c r="H177">
        <v>15.9</v>
      </c>
      <c r="I177">
        <v>41</v>
      </c>
      <c r="J177">
        <v>51.59</v>
      </c>
      <c r="K177">
        <v>15.54</v>
      </c>
      <c r="L177">
        <v>11.83</v>
      </c>
      <c r="M177">
        <v>13.21</v>
      </c>
      <c r="N177">
        <v>6.15</v>
      </c>
      <c r="O177">
        <v>27.94</v>
      </c>
      <c r="P177">
        <v>13.12</v>
      </c>
      <c r="Q177">
        <v>40.82</v>
      </c>
      <c r="R177">
        <v>24.57</v>
      </c>
      <c r="S177">
        <v>24.51</v>
      </c>
      <c r="T177">
        <v>26.99</v>
      </c>
      <c r="U177">
        <v>57.49</v>
      </c>
      <c r="V177" s="6">
        <v>31.54</v>
      </c>
    </row>
    <row r="178" spans="1:22" x14ac:dyDescent="0.2">
      <c r="A178" s="4">
        <v>44818</v>
      </c>
      <c r="B178" s="3">
        <v>92.34</v>
      </c>
      <c r="C178">
        <v>53.34</v>
      </c>
      <c r="D178">
        <v>17.059999999999999</v>
      </c>
      <c r="E178">
        <v>20.12</v>
      </c>
      <c r="F178">
        <v>20.059999999999999</v>
      </c>
      <c r="G178">
        <v>29.09</v>
      </c>
      <c r="H178">
        <v>15.91</v>
      </c>
      <c r="I178">
        <v>40.909999999999997</v>
      </c>
      <c r="J178">
        <v>51.25</v>
      </c>
      <c r="K178">
        <v>15.47</v>
      </c>
      <c r="L178">
        <v>11.74</v>
      </c>
      <c r="M178">
        <v>13.03</v>
      </c>
      <c r="N178">
        <v>6.15</v>
      </c>
      <c r="O178">
        <v>27.92</v>
      </c>
      <c r="P178">
        <v>13.13</v>
      </c>
      <c r="Q178">
        <v>40.950000000000003</v>
      </c>
      <c r="R178">
        <v>24.64</v>
      </c>
      <c r="S178">
        <v>24.74</v>
      </c>
      <c r="T178">
        <v>28.36</v>
      </c>
      <c r="U178">
        <v>57.88</v>
      </c>
      <c r="V178" s="6">
        <v>31.49</v>
      </c>
    </row>
    <row r="179" spans="1:22" x14ac:dyDescent="0.2">
      <c r="A179" s="4">
        <v>44819</v>
      </c>
      <c r="B179" s="3">
        <v>92.29</v>
      </c>
      <c r="C179">
        <v>54.42</v>
      </c>
      <c r="D179">
        <v>17.03</v>
      </c>
      <c r="E179">
        <v>20.170000000000002</v>
      </c>
      <c r="F179">
        <v>20.010000000000002</v>
      </c>
      <c r="G179">
        <v>28.51</v>
      </c>
      <c r="H179">
        <v>15.75</v>
      </c>
      <c r="I179">
        <v>40.299999999999997</v>
      </c>
      <c r="J179">
        <v>49.09</v>
      </c>
      <c r="K179">
        <v>15.41</v>
      </c>
      <c r="L179">
        <v>11.54</v>
      </c>
      <c r="M179">
        <v>12.96</v>
      </c>
      <c r="N179">
        <v>6.14</v>
      </c>
      <c r="O179">
        <v>27.93</v>
      </c>
      <c r="P179">
        <v>13.6</v>
      </c>
      <c r="Q179">
        <v>40.369999999999997</v>
      </c>
      <c r="R179">
        <v>24.62</v>
      </c>
      <c r="S179">
        <v>24.48</v>
      </c>
      <c r="T179">
        <v>27.66</v>
      </c>
      <c r="U179">
        <v>56.46</v>
      </c>
      <c r="V179" s="6">
        <v>30.44</v>
      </c>
    </row>
    <row r="180" spans="1:22" x14ac:dyDescent="0.2">
      <c r="A180" s="4">
        <v>44820</v>
      </c>
      <c r="B180" s="3">
        <v>90.22</v>
      </c>
      <c r="C180">
        <v>54.34</v>
      </c>
      <c r="D180">
        <v>16.87</v>
      </c>
      <c r="E180">
        <v>20.11</v>
      </c>
      <c r="F180">
        <v>19.899999999999999</v>
      </c>
      <c r="G180">
        <v>28.95</v>
      </c>
      <c r="H180">
        <v>15.57</v>
      </c>
      <c r="I180">
        <v>39.57</v>
      </c>
      <c r="J180">
        <v>47.1</v>
      </c>
      <c r="K180">
        <v>15.23</v>
      </c>
      <c r="L180">
        <v>11.37</v>
      </c>
      <c r="M180">
        <v>12.94</v>
      </c>
      <c r="N180">
        <v>6.09</v>
      </c>
      <c r="O180">
        <v>27.76</v>
      </c>
      <c r="P180">
        <v>13.24</v>
      </c>
      <c r="Q180">
        <v>40.159999999999997</v>
      </c>
      <c r="R180">
        <v>24.69</v>
      </c>
      <c r="S180">
        <v>24.22</v>
      </c>
      <c r="T180">
        <v>27.98</v>
      </c>
      <c r="U180">
        <v>56.05</v>
      </c>
      <c r="V180" s="6">
        <v>30.64</v>
      </c>
    </row>
    <row r="181" spans="1:22" x14ac:dyDescent="0.2">
      <c r="A181" s="4">
        <v>44823</v>
      </c>
      <c r="B181" s="3">
        <v>93.6</v>
      </c>
      <c r="C181">
        <v>56.1</v>
      </c>
      <c r="D181">
        <v>17.14</v>
      </c>
      <c r="E181">
        <v>20.86</v>
      </c>
      <c r="F181">
        <v>20.14</v>
      </c>
      <c r="G181">
        <v>29.07</v>
      </c>
      <c r="H181">
        <v>15.88</v>
      </c>
      <c r="I181">
        <v>39.82</v>
      </c>
      <c r="J181">
        <v>48.17</v>
      </c>
      <c r="K181">
        <v>15.63</v>
      </c>
      <c r="L181">
        <v>12.14</v>
      </c>
      <c r="M181">
        <v>13.11</v>
      </c>
      <c r="N181">
        <v>6.28</v>
      </c>
      <c r="O181">
        <v>27.65</v>
      </c>
      <c r="P181">
        <v>13.47</v>
      </c>
      <c r="Q181">
        <v>40.65</v>
      </c>
      <c r="R181">
        <v>24.79</v>
      </c>
      <c r="S181">
        <v>24.69</v>
      </c>
      <c r="T181">
        <v>28.03</v>
      </c>
      <c r="U181">
        <v>57.33</v>
      </c>
      <c r="V181" s="6">
        <v>31.5</v>
      </c>
    </row>
    <row r="182" spans="1:22" x14ac:dyDescent="0.2">
      <c r="A182" s="4">
        <v>44824</v>
      </c>
      <c r="B182" s="3">
        <v>94.15</v>
      </c>
      <c r="C182">
        <v>55.29</v>
      </c>
      <c r="D182">
        <v>17.04</v>
      </c>
      <c r="E182">
        <v>21.55</v>
      </c>
      <c r="F182">
        <v>20.11</v>
      </c>
      <c r="G182">
        <v>29.57</v>
      </c>
      <c r="H182">
        <v>16.12</v>
      </c>
      <c r="I182">
        <v>39.700000000000003</v>
      </c>
      <c r="J182">
        <v>47.89</v>
      </c>
      <c r="K182">
        <v>16.13</v>
      </c>
      <c r="L182">
        <v>12.53</v>
      </c>
      <c r="M182">
        <v>13.35</v>
      </c>
      <c r="N182">
        <v>6.45</v>
      </c>
      <c r="O182">
        <v>27.55</v>
      </c>
      <c r="P182">
        <v>13.98</v>
      </c>
      <c r="Q182">
        <v>40.549999999999997</v>
      </c>
      <c r="R182">
        <v>25.41</v>
      </c>
      <c r="S182">
        <v>24.6</v>
      </c>
      <c r="T182">
        <v>28.28</v>
      </c>
      <c r="U182">
        <v>58.18</v>
      </c>
      <c r="V182" s="6">
        <v>32.31</v>
      </c>
    </row>
    <row r="183" spans="1:22" x14ac:dyDescent="0.2">
      <c r="A183" s="4">
        <v>44825</v>
      </c>
      <c r="B183" s="3">
        <v>94.11</v>
      </c>
      <c r="C183">
        <v>54.5</v>
      </c>
      <c r="D183">
        <v>17.09</v>
      </c>
      <c r="E183">
        <v>21.33</v>
      </c>
      <c r="F183">
        <v>20.07</v>
      </c>
      <c r="G183">
        <v>29.62</v>
      </c>
      <c r="H183">
        <v>16.010000000000002</v>
      </c>
      <c r="I183">
        <v>39.950000000000003</v>
      </c>
      <c r="J183">
        <v>47.1</v>
      </c>
      <c r="K183">
        <v>16.03</v>
      </c>
      <c r="L183">
        <v>12.24</v>
      </c>
      <c r="M183">
        <v>13.17</v>
      </c>
      <c r="N183">
        <v>6.42</v>
      </c>
      <c r="O183">
        <v>26.76</v>
      </c>
      <c r="P183">
        <v>13.67</v>
      </c>
      <c r="Q183">
        <v>39.9</v>
      </c>
      <c r="R183">
        <v>24.1</v>
      </c>
      <c r="S183">
        <v>24.72</v>
      </c>
      <c r="T183">
        <v>28.48</v>
      </c>
      <c r="U183">
        <v>57.29</v>
      </c>
      <c r="V183" s="6">
        <v>32.43</v>
      </c>
    </row>
    <row r="184" spans="1:22" x14ac:dyDescent="0.2">
      <c r="A184" s="4">
        <v>44826</v>
      </c>
      <c r="B184" s="3">
        <v>95.78</v>
      </c>
      <c r="C184">
        <v>55.75</v>
      </c>
      <c r="D184">
        <v>17.510000000000002</v>
      </c>
      <c r="E184">
        <v>21.76</v>
      </c>
      <c r="F184">
        <v>20.48</v>
      </c>
      <c r="G184">
        <v>29.46</v>
      </c>
      <c r="H184">
        <v>16.3</v>
      </c>
      <c r="I184">
        <v>41.57</v>
      </c>
      <c r="J184">
        <v>47.53</v>
      </c>
      <c r="K184">
        <v>16.399999999999999</v>
      </c>
      <c r="L184">
        <v>12.35</v>
      </c>
      <c r="M184">
        <v>13.28</v>
      </c>
      <c r="N184">
        <v>6.56</v>
      </c>
      <c r="O184">
        <v>26.82</v>
      </c>
      <c r="P184">
        <v>13.67</v>
      </c>
      <c r="Q184">
        <v>40.68</v>
      </c>
      <c r="R184">
        <v>24.07</v>
      </c>
      <c r="S184">
        <v>25.03</v>
      </c>
      <c r="T184">
        <v>29.5</v>
      </c>
      <c r="U184">
        <v>58.99</v>
      </c>
      <c r="V184" s="6">
        <v>33.35</v>
      </c>
    </row>
    <row r="185" spans="1:22" x14ac:dyDescent="0.2">
      <c r="A185" s="4">
        <v>44827</v>
      </c>
      <c r="B185" s="3">
        <v>92.85</v>
      </c>
      <c r="C185">
        <v>54.59</v>
      </c>
      <c r="D185">
        <v>16.41</v>
      </c>
      <c r="E185">
        <v>21.33</v>
      </c>
      <c r="F185">
        <v>19.03</v>
      </c>
      <c r="G185">
        <v>29.04</v>
      </c>
      <c r="H185">
        <v>16.100000000000001</v>
      </c>
      <c r="I185">
        <v>41.44</v>
      </c>
      <c r="J185">
        <v>46.4</v>
      </c>
      <c r="K185">
        <v>16.079999999999998</v>
      </c>
      <c r="L185">
        <v>12.37</v>
      </c>
      <c r="M185">
        <v>13.02</v>
      </c>
      <c r="N185">
        <v>6.41</v>
      </c>
      <c r="O185">
        <v>26.28</v>
      </c>
      <c r="P185">
        <v>12.65</v>
      </c>
      <c r="Q185">
        <v>39.18</v>
      </c>
      <c r="R185">
        <v>23.66</v>
      </c>
      <c r="S185">
        <v>26.97</v>
      </c>
      <c r="T185">
        <v>28.07</v>
      </c>
      <c r="U185">
        <v>58.54</v>
      </c>
      <c r="V185" s="6">
        <v>32.78</v>
      </c>
    </row>
    <row r="186" spans="1:22" x14ac:dyDescent="0.2">
      <c r="A186" s="4">
        <v>44830</v>
      </c>
      <c r="B186" s="3">
        <v>91.59</v>
      </c>
      <c r="C186">
        <v>54.14</v>
      </c>
      <c r="D186">
        <v>16.149999999999999</v>
      </c>
      <c r="E186">
        <v>20.94</v>
      </c>
      <c r="F186">
        <v>18.88</v>
      </c>
      <c r="G186">
        <v>29.03</v>
      </c>
      <c r="H186">
        <v>15.36</v>
      </c>
      <c r="I186">
        <v>40.159999999999997</v>
      </c>
      <c r="J186">
        <v>44.06</v>
      </c>
      <c r="K186">
        <v>15.83</v>
      </c>
      <c r="L186">
        <v>11.77</v>
      </c>
      <c r="M186">
        <v>12.94</v>
      </c>
      <c r="N186">
        <v>6.27</v>
      </c>
      <c r="O186">
        <v>25.74</v>
      </c>
      <c r="P186">
        <v>12.46</v>
      </c>
      <c r="Q186">
        <v>39.1</v>
      </c>
      <c r="R186">
        <v>22.27</v>
      </c>
      <c r="S186">
        <v>26.71</v>
      </c>
      <c r="T186">
        <v>27.18</v>
      </c>
      <c r="U186">
        <v>56.13</v>
      </c>
      <c r="V186" s="6">
        <v>31.05</v>
      </c>
    </row>
    <row r="187" spans="1:22" x14ac:dyDescent="0.2">
      <c r="A187" s="4">
        <v>44831</v>
      </c>
      <c r="B187" s="3">
        <v>90.8</v>
      </c>
      <c r="C187">
        <v>53.9</v>
      </c>
      <c r="D187">
        <v>16.27</v>
      </c>
      <c r="E187">
        <v>20.75</v>
      </c>
      <c r="F187">
        <v>19.010000000000002</v>
      </c>
      <c r="G187">
        <v>28.58</v>
      </c>
      <c r="H187">
        <v>15.23</v>
      </c>
      <c r="I187">
        <v>39</v>
      </c>
      <c r="J187">
        <v>43.7</v>
      </c>
      <c r="K187">
        <v>15.7</v>
      </c>
      <c r="L187">
        <v>11.78</v>
      </c>
      <c r="M187">
        <v>13.08</v>
      </c>
      <c r="N187">
        <v>6.21</v>
      </c>
      <c r="O187">
        <v>25.92</v>
      </c>
      <c r="P187">
        <v>12.58</v>
      </c>
      <c r="Q187">
        <v>39.9</v>
      </c>
      <c r="R187">
        <v>22.76</v>
      </c>
      <c r="S187">
        <v>26.15</v>
      </c>
      <c r="T187">
        <v>27.14</v>
      </c>
      <c r="U187">
        <v>55.46</v>
      </c>
      <c r="V187" s="6">
        <v>29.71</v>
      </c>
    </row>
    <row r="188" spans="1:22" x14ac:dyDescent="0.2">
      <c r="A188" s="4">
        <v>44832</v>
      </c>
      <c r="B188" s="3">
        <v>90.75</v>
      </c>
      <c r="C188">
        <v>54.41</v>
      </c>
      <c r="D188">
        <v>16.05</v>
      </c>
      <c r="E188">
        <v>20.74</v>
      </c>
      <c r="F188">
        <v>18.88</v>
      </c>
      <c r="G188">
        <v>28.84</v>
      </c>
      <c r="H188">
        <v>15.24</v>
      </c>
      <c r="I188">
        <v>38.450000000000003</v>
      </c>
      <c r="J188">
        <v>46.09</v>
      </c>
      <c r="K188">
        <v>15.71</v>
      </c>
      <c r="L188">
        <v>11.87</v>
      </c>
      <c r="M188">
        <v>13.32</v>
      </c>
      <c r="N188">
        <v>6.23</v>
      </c>
      <c r="O188">
        <v>25.38</v>
      </c>
      <c r="P188">
        <v>12.83</v>
      </c>
      <c r="Q188">
        <v>40.06</v>
      </c>
      <c r="R188">
        <v>23.14</v>
      </c>
      <c r="S188">
        <v>26.1</v>
      </c>
      <c r="T188">
        <v>27.87</v>
      </c>
      <c r="U188">
        <v>54.9</v>
      </c>
      <c r="V188" s="6">
        <v>29.3</v>
      </c>
    </row>
    <row r="189" spans="1:22" x14ac:dyDescent="0.2">
      <c r="A189" s="4">
        <v>44833</v>
      </c>
      <c r="B189" s="3">
        <v>90.46</v>
      </c>
      <c r="C189">
        <v>54.48</v>
      </c>
      <c r="D189">
        <v>16.07</v>
      </c>
      <c r="E189">
        <v>21.05</v>
      </c>
      <c r="F189">
        <v>18.899999999999999</v>
      </c>
      <c r="G189">
        <v>28.66</v>
      </c>
      <c r="H189">
        <v>15.15</v>
      </c>
      <c r="I189">
        <v>38.299999999999997</v>
      </c>
      <c r="J189">
        <v>46.4</v>
      </c>
      <c r="K189">
        <v>15.83</v>
      </c>
      <c r="L189">
        <v>11.64</v>
      </c>
      <c r="M189">
        <v>13.22</v>
      </c>
      <c r="N189">
        <v>6.31</v>
      </c>
      <c r="O189">
        <v>25.32</v>
      </c>
      <c r="P189">
        <v>11.94</v>
      </c>
      <c r="Q189">
        <v>39.81</v>
      </c>
      <c r="R189">
        <v>22.73</v>
      </c>
      <c r="S189">
        <v>26.01</v>
      </c>
      <c r="T189">
        <v>27.19</v>
      </c>
      <c r="U189">
        <v>54.12</v>
      </c>
      <c r="V189" s="6">
        <v>28.4</v>
      </c>
    </row>
    <row r="190" spans="1:22" x14ac:dyDescent="0.2">
      <c r="A190" s="4">
        <v>44834</v>
      </c>
      <c r="B190" s="3">
        <v>92.29</v>
      </c>
      <c r="C190">
        <v>57.36</v>
      </c>
      <c r="D190">
        <v>16.34</v>
      </c>
      <c r="E190">
        <v>21.15</v>
      </c>
      <c r="F190">
        <v>19.13</v>
      </c>
      <c r="G190">
        <v>30.57</v>
      </c>
      <c r="H190">
        <v>15.22</v>
      </c>
      <c r="I190">
        <v>38.75</v>
      </c>
      <c r="J190">
        <v>49.6</v>
      </c>
      <c r="K190">
        <v>15.87</v>
      </c>
      <c r="L190">
        <v>12.05</v>
      </c>
      <c r="M190">
        <v>13.17</v>
      </c>
      <c r="N190">
        <v>6.39</v>
      </c>
      <c r="O190">
        <v>25.12</v>
      </c>
      <c r="P190">
        <v>11.64</v>
      </c>
      <c r="Q190">
        <v>40.98</v>
      </c>
      <c r="R190">
        <v>23.12</v>
      </c>
      <c r="S190">
        <v>26.9</v>
      </c>
      <c r="T190">
        <v>27.49</v>
      </c>
      <c r="U190">
        <v>55.63</v>
      </c>
      <c r="V190" s="6">
        <v>28.28</v>
      </c>
    </row>
    <row r="191" spans="1:22" x14ac:dyDescent="0.2">
      <c r="A191" s="4">
        <v>44837</v>
      </c>
      <c r="B191" s="3">
        <v>97.15</v>
      </c>
      <c r="C191">
        <v>58.92</v>
      </c>
      <c r="D191">
        <v>17.64</v>
      </c>
      <c r="E191">
        <v>22.43</v>
      </c>
      <c r="F191">
        <v>20.83</v>
      </c>
      <c r="G191">
        <v>31.94</v>
      </c>
      <c r="H191">
        <v>16.39</v>
      </c>
      <c r="I191">
        <v>41.32</v>
      </c>
      <c r="J191">
        <v>58</v>
      </c>
      <c r="K191">
        <v>16.97</v>
      </c>
      <c r="L191">
        <v>12.82</v>
      </c>
      <c r="M191">
        <v>13.81</v>
      </c>
      <c r="N191">
        <v>6.84</v>
      </c>
      <c r="O191">
        <v>25.76</v>
      </c>
      <c r="P191">
        <v>12.14</v>
      </c>
      <c r="Q191">
        <v>41.82</v>
      </c>
      <c r="R191">
        <v>24.56</v>
      </c>
      <c r="S191">
        <v>28.6</v>
      </c>
      <c r="T191">
        <v>28.89</v>
      </c>
      <c r="U191">
        <v>58.84</v>
      </c>
      <c r="V191" s="6">
        <v>29.78</v>
      </c>
    </row>
    <row r="192" spans="1:22" x14ac:dyDescent="0.2">
      <c r="A192" s="4">
        <v>44838</v>
      </c>
      <c r="B192" s="3">
        <v>97.5</v>
      </c>
      <c r="C192">
        <v>60.34</v>
      </c>
      <c r="D192">
        <v>17.2</v>
      </c>
      <c r="E192">
        <v>22.47</v>
      </c>
      <c r="F192">
        <v>20.420000000000002</v>
      </c>
      <c r="G192">
        <v>31.61</v>
      </c>
      <c r="H192">
        <v>15.51</v>
      </c>
      <c r="I192">
        <v>40.270000000000003</v>
      </c>
      <c r="J192">
        <v>57.9</v>
      </c>
      <c r="K192">
        <v>16.96</v>
      </c>
      <c r="L192">
        <v>13.38</v>
      </c>
      <c r="M192">
        <v>13.76</v>
      </c>
      <c r="N192">
        <v>6.78</v>
      </c>
      <c r="O192">
        <v>25.22</v>
      </c>
      <c r="P192">
        <v>12.63</v>
      </c>
      <c r="Q192">
        <v>42.15</v>
      </c>
      <c r="R192">
        <v>24.71</v>
      </c>
      <c r="S192">
        <v>28.3</v>
      </c>
      <c r="T192">
        <v>30.28</v>
      </c>
      <c r="U192">
        <v>59.79</v>
      </c>
      <c r="V192" s="6">
        <v>30.04</v>
      </c>
    </row>
    <row r="193" spans="1:22" x14ac:dyDescent="0.2">
      <c r="A193" s="4">
        <v>44839</v>
      </c>
      <c r="B193" s="3">
        <v>98.2</v>
      </c>
      <c r="C193">
        <v>61.27</v>
      </c>
      <c r="D193">
        <v>17.84</v>
      </c>
      <c r="E193">
        <v>22.47</v>
      </c>
      <c r="F193">
        <v>21.14</v>
      </c>
      <c r="G193">
        <v>32.020000000000003</v>
      </c>
      <c r="H193">
        <v>15.75</v>
      </c>
      <c r="I193">
        <v>39.75</v>
      </c>
      <c r="J193">
        <v>57.9</v>
      </c>
      <c r="K193">
        <v>17.14</v>
      </c>
      <c r="L193">
        <v>13.61</v>
      </c>
      <c r="M193">
        <v>13.66</v>
      </c>
      <c r="N193">
        <v>6.8</v>
      </c>
      <c r="O193">
        <v>24.6</v>
      </c>
      <c r="P193">
        <v>12.6</v>
      </c>
      <c r="Q193">
        <v>43.23</v>
      </c>
      <c r="R193">
        <v>24.83</v>
      </c>
      <c r="S193">
        <v>28.68</v>
      </c>
      <c r="T193">
        <v>31.25</v>
      </c>
      <c r="U193">
        <v>60.11</v>
      </c>
      <c r="V193" s="6">
        <v>30.14</v>
      </c>
    </row>
    <row r="194" spans="1:22" x14ac:dyDescent="0.2">
      <c r="A194" s="4">
        <v>44840</v>
      </c>
      <c r="B194" s="3">
        <v>98.57</v>
      </c>
      <c r="C194">
        <v>60.15</v>
      </c>
      <c r="D194">
        <v>18.45</v>
      </c>
      <c r="E194">
        <v>22.06</v>
      </c>
      <c r="F194">
        <v>21.77</v>
      </c>
      <c r="G194">
        <v>32.08</v>
      </c>
      <c r="H194">
        <v>16.04</v>
      </c>
      <c r="I194">
        <v>41.1</v>
      </c>
      <c r="J194">
        <v>57.2</v>
      </c>
      <c r="K194">
        <v>16.79</v>
      </c>
      <c r="L194">
        <v>13.7</v>
      </c>
      <c r="M194">
        <v>13.58</v>
      </c>
      <c r="N194">
        <v>6.76</v>
      </c>
      <c r="O194">
        <v>24.75</v>
      </c>
      <c r="P194">
        <v>12.85</v>
      </c>
      <c r="Q194">
        <v>43.06</v>
      </c>
      <c r="R194">
        <v>25.18</v>
      </c>
      <c r="S194">
        <v>28.16</v>
      </c>
      <c r="T194">
        <v>31.56</v>
      </c>
      <c r="U194">
        <v>60.71</v>
      </c>
      <c r="V194" s="6">
        <v>30.81</v>
      </c>
    </row>
    <row r="195" spans="1:22" x14ac:dyDescent="0.2">
      <c r="A195" s="4">
        <v>44841</v>
      </c>
      <c r="B195" s="3">
        <v>97.61</v>
      </c>
      <c r="C195">
        <v>60.12</v>
      </c>
      <c r="D195">
        <v>18.440000000000001</v>
      </c>
      <c r="E195">
        <v>22.11</v>
      </c>
      <c r="F195">
        <v>21.66</v>
      </c>
      <c r="G195">
        <v>31.72</v>
      </c>
      <c r="H195">
        <v>16.07</v>
      </c>
      <c r="I195">
        <v>40.97</v>
      </c>
      <c r="J195">
        <v>57.42</v>
      </c>
      <c r="K195">
        <v>16.39</v>
      </c>
      <c r="L195">
        <v>13.67</v>
      </c>
      <c r="M195">
        <v>13.06</v>
      </c>
      <c r="N195">
        <v>6.72</v>
      </c>
      <c r="O195">
        <v>24.5</v>
      </c>
      <c r="P195">
        <v>12.35</v>
      </c>
      <c r="Q195">
        <v>42.72</v>
      </c>
      <c r="R195">
        <v>24.54</v>
      </c>
      <c r="S195">
        <v>28</v>
      </c>
      <c r="T195">
        <v>31.96</v>
      </c>
      <c r="U195">
        <v>58.87</v>
      </c>
      <c r="V195" s="6">
        <v>29.67</v>
      </c>
    </row>
    <row r="196" spans="1:22" x14ac:dyDescent="0.2">
      <c r="A196" s="4">
        <v>44844</v>
      </c>
      <c r="B196" s="3">
        <v>96.99</v>
      </c>
      <c r="C196">
        <v>58.91</v>
      </c>
      <c r="D196">
        <v>18.23</v>
      </c>
      <c r="E196">
        <v>21.87</v>
      </c>
      <c r="F196">
        <v>21.46</v>
      </c>
      <c r="G196">
        <v>32.590000000000003</v>
      </c>
      <c r="H196">
        <v>15.84</v>
      </c>
      <c r="I196">
        <v>41.41</v>
      </c>
      <c r="J196">
        <v>58.13</v>
      </c>
      <c r="K196">
        <v>16.14</v>
      </c>
      <c r="L196">
        <v>13.71</v>
      </c>
      <c r="M196">
        <v>12.88</v>
      </c>
      <c r="N196">
        <v>6.7</v>
      </c>
      <c r="O196">
        <v>25.68</v>
      </c>
      <c r="P196">
        <v>12.53</v>
      </c>
      <c r="Q196">
        <v>44.44</v>
      </c>
      <c r="R196">
        <v>24.44</v>
      </c>
      <c r="S196">
        <v>28.36</v>
      </c>
      <c r="T196">
        <v>31.41</v>
      </c>
      <c r="U196">
        <v>59.5</v>
      </c>
      <c r="V196" s="6">
        <v>29.72</v>
      </c>
    </row>
    <row r="197" spans="1:22" x14ac:dyDescent="0.2">
      <c r="A197" s="4">
        <v>44845</v>
      </c>
      <c r="B197" s="3">
        <v>96.5</v>
      </c>
      <c r="C197">
        <v>58.51</v>
      </c>
      <c r="D197">
        <v>18.09</v>
      </c>
      <c r="E197">
        <v>21.72</v>
      </c>
      <c r="F197">
        <v>21.25</v>
      </c>
      <c r="G197">
        <v>32.24</v>
      </c>
      <c r="H197">
        <v>15.46</v>
      </c>
      <c r="I197">
        <v>41.08</v>
      </c>
      <c r="J197">
        <v>57.44</v>
      </c>
      <c r="K197">
        <v>16.100000000000001</v>
      </c>
      <c r="L197">
        <v>13.26</v>
      </c>
      <c r="M197">
        <v>12.7</v>
      </c>
      <c r="N197">
        <v>6.62</v>
      </c>
      <c r="O197">
        <v>24.63</v>
      </c>
      <c r="P197">
        <v>12.17</v>
      </c>
      <c r="Q197">
        <v>43.86</v>
      </c>
      <c r="R197">
        <v>24.47</v>
      </c>
      <c r="S197">
        <v>28.65</v>
      </c>
      <c r="T197">
        <v>31.45</v>
      </c>
      <c r="U197">
        <v>59.91</v>
      </c>
      <c r="V197" s="6">
        <v>28.61</v>
      </c>
    </row>
    <row r="198" spans="1:22" x14ac:dyDescent="0.2">
      <c r="A198" s="4">
        <v>44847</v>
      </c>
      <c r="B198" s="3">
        <v>96.1</v>
      </c>
      <c r="C198">
        <v>57.47</v>
      </c>
      <c r="D198">
        <v>18.61</v>
      </c>
      <c r="E198">
        <v>21.59</v>
      </c>
      <c r="F198">
        <v>21.92</v>
      </c>
      <c r="G198">
        <v>31.83</v>
      </c>
      <c r="H198">
        <v>15.56</v>
      </c>
      <c r="I198">
        <v>40.58</v>
      </c>
      <c r="J198">
        <v>56.19</v>
      </c>
      <c r="K198">
        <v>15.87</v>
      </c>
      <c r="L198">
        <v>12.84</v>
      </c>
      <c r="M198">
        <v>12.72</v>
      </c>
      <c r="N198">
        <v>6.58</v>
      </c>
      <c r="O198">
        <v>24.77</v>
      </c>
      <c r="P198">
        <v>11.58</v>
      </c>
      <c r="Q198">
        <v>44.01</v>
      </c>
      <c r="R198">
        <v>24.61</v>
      </c>
      <c r="S198">
        <v>27.62</v>
      </c>
      <c r="T198">
        <v>31.71</v>
      </c>
      <c r="U198">
        <v>60.03</v>
      </c>
      <c r="V198" s="6">
        <v>28.44</v>
      </c>
    </row>
    <row r="199" spans="1:22" x14ac:dyDescent="0.2">
      <c r="A199" s="4">
        <v>44848</v>
      </c>
      <c r="B199" s="3">
        <v>94.01</v>
      </c>
      <c r="C199">
        <v>55.6</v>
      </c>
      <c r="D199">
        <v>18.32</v>
      </c>
      <c r="E199">
        <v>21.6</v>
      </c>
      <c r="F199">
        <v>21.49</v>
      </c>
      <c r="G199">
        <v>31.25</v>
      </c>
      <c r="H199">
        <v>15.48</v>
      </c>
      <c r="I199">
        <v>39.590000000000003</v>
      </c>
      <c r="J199">
        <v>54.7</v>
      </c>
      <c r="K199">
        <v>15.77</v>
      </c>
      <c r="L199">
        <v>12.83</v>
      </c>
      <c r="M199">
        <v>12.56</v>
      </c>
      <c r="N199">
        <v>6.55</v>
      </c>
      <c r="O199">
        <v>24.24</v>
      </c>
      <c r="P199">
        <v>11.39</v>
      </c>
      <c r="Q199">
        <v>44.01</v>
      </c>
      <c r="R199">
        <v>24.46</v>
      </c>
      <c r="S199">
        <v>27.28</v>
      </c>
      <c r="T199">
        <v>31</v>
      </c>
      <c r="U199">
        <v>58.83</v>
      </c>
      <c r="V199" s="6">
        <v>27.33</v>
      </c>
    </row>
    <row r="200" spans="1:22" x14ac:dyDescent="0.2">
      <c r="A200" s="4">
        <v>44851</v>
      </c>
      <c r="B200" s="3">
        <v>95.61</v>
      </c>
      <c r="C200">
        <v>56.27</v>
      </c>
      <c r="D200">
        <v>18.3</v>
      </c>
      <c r="E200">
        <v>21.78</v>
      </c>
      <c r="F200">
        <v>21.35</v>
      </c>
      <c r="G200">
        <v>31.96</v>
      </c>
      <c r="H200">
        <v>15.61</v>
      </c>
      <c r="I200">
        <v>41.53</v>
      </c>
      <c r="J200">
        <v>56.12</v>
      </c>
      <c r="K200">
        <v>15.88</v>
      </c>
      <c r="L200">
        <v>13.07</v>
      </c>
      <c r="M200">
        <v>12.64</v>
      </c>
      <c r="N200">
        <v>6.63</v>
      </c>
      <c r="O200">
        <v>24.75</v>
      </c>
      <c r="P200">
        <v>12.14</v>
      </c>
      <c r="Q200">
        <v>45.52</v>
      </c>
      <c r="R200">
        <v>24.99</v>
      </c>
      <c r="S200">
        <v>27.57</v>
      </c>
      <c r="T200">
        <v>31.3</v>
      </c>
      <c r="U200">
        <v>60.38</v>
      </c>
      <c r="V200" s="6">
        <v>27.44</v>
      </c>
    </row>
    <row r="201" spans="1:22" x14ac:dyDescent="0.2">
      <c r="A201" s="4">
        <v>44852</v>
      </c>
      <c r="B201" s="3">
        <v>96.5</v>
      </c>
      <c r="C201">
        <v>57.29</v>
      </c>
      <c r="D201">
        <v>18.75</v>
      </c>
      <c r="E201">
        <v>22.31</v>
      </c>
      <c r="F201">
        <v>21.83</v>
      </c>
      <c r="G201">
        <v>32.869999999999997</v>
      </c>
      <c r="H201">
        <v>16.41</v>
      </c>
      <c r="I201">
        <v>42.4</v>
      </c>
      <c r="J201">
        <v>56.4</v>
      </c>
      <c r="K201">
        <v>16</v>
      </c>
      <c r="L201">
        <v>12.93</v>
      </c>
      <c r="M201">
        <v>12.62</v>
      </c>
      <c r="N201">
        <v>6.76</v>
      </c>
      <c r="O201">
        <v>25.44</v>
      </c>
      <c r="P201">
        <v>12.52</v>
      </c>
      <c r="Q201">
        <v>45.73</v>
      </c>
      <c r="R201">
        <v>25.45</v>
      </c>
      <c r="S201">
        <v>28.02</v>
      </c>
      <c r="T201">
        <v>32.18</v>
      </c>
      <c r="U201">
        <v>61.54</v>
      </c>
      <c r="V201" s="6">
        <v>28.04</v>
      </c>
    </row>
    <row r="202" spans="1:22" x14ac:dyDescent="0.2">
      <c r="A202" s="4">
        <v>44853</v>
      </c>
      <c r="B202" s="3">
        <v>97.6</v>
      </c>
      <c r="C202">
        <v>56.62</v>
      </c>
      <c r="D202">
        <v>19.420000000000002</v>
      </c>
      <c r="E202">
        <v>22.32</v>
      </c>
      <c r="F202">
        <v>22.64</v>
      </c>
      <c r="G202">
        <v>32.950000000000003</v>
      </c>
      <c r="H202">
        <v>16.46</v>
      </c>
      <c r="I202">
        <v>42.71</v>
      </c>
      <c r="J202">
        <v>56.81</v>
      </c>
      <c r="K202">
        <v>16.07</v>
      </c>
      <c r="L202">
        <v>13.16</v>
      </c>
      <c r="M202">
        <v>12.61</v>
      </c>
      <c r="N202">
        <v>6.82</v>
      </c>
      <c r="O202">
        <v>25.68</v>
      </c>
      <c r="P202">
        <v>12.34</v>
      </c>
      <c r="Q202">
        <v>45.33</v>
      </c>
      <c r="R202">
        <v>25.53</v>
      </c>
      <c r="S202">
        <v>28.23</v>
      </c>
      <c r="T202">
        <v>33.380000000000003</v>
      </c>
      <c r="U202">
        <v>63</v>
      </c>
      <c r="V202" s="6">
        <v>28.26</v>
      </c>
    </row>
    <row r="203" spans="1:22" x14ac:dyDescent="0.2">
      <c r="A203" s="4">
        <v>44854</v>
      </c>
      <c r="B203" s="3">
        <v>98.7</v>
      </c>
      <c r="C203">
        <v>57.34</v>
      </c>
      <c r="D203">
        <v>19.989999999999998</v>
      </c>
      <c r="E203">
        <v>22.66</v>
      </c>
      <c r="F203">
        <v>23.25</v>
      </c>
      <c r="G203">
        <v>32.96</v>
      </c>
      <c r="H203">
        <v>17.23</v>
      </c>
      <c r="I203">
        <v>43.14</v>
      </c>
      <c r="J203">
        <v>56.64</v>
      </c>
      <c r="K203">
        <v>16.260000000000002</v>
      </c>
      <c r="L203">
        <v>12.93</v>
      </c>
      <c r="M203">
        <v>12.74</v>
      </c>
      <c r="N203">
        <v>6.96</v>
      </c>
      <c r="O203">
        <v>25.48</v>
      </c>
      <c r="P203">
        <v>12.34</v>
      </c>
      <c r="Q203">
        <v>45.68</v>
      </c>
      <c r="R203">
        <v>25.69</v>
      </c>
      <c r="S203">
        <v>28.23</v>
      </c>
      <c r="T203">
        <v>33.159999999999997</v>
      </c>
      <c r="U203">
        <v>61.47</v>
      </c>
      <c r="V203" s="6">
        <v>28.04</v>
      </c>
    </row>
    <row r="204" spans="1:22" x14ac:dyDescent="0.2">
      <c r="A204" s="4">
        <v>44855</v>
      </c>
      <c r="B204" s="3">
        <v>100.69</v>
      </c>
      <c r="C204">
        <v>59.02</v>
      </c>
      <c r="D204">
        <v>20.68</v>
      </c>
      <c r="E204">
        <v>23.42</v>
      </c>
      <c r="F204">
        <v>24.04</v>
      </c>
      <c r="G204">
        <v>33.479999999999997</v>
      </c>
      <c r="H204">
        <v>17.66</v>
      </c>
      <c r="I204">
        <v>44.16</v>
      </c>
      <c r="J204">
        <v>58.74</v>
      </c>
      <c r="K204">
        <v>16.600000000000001</v>
      </c>
      <c r="L204">
        <v>13.5</v>
      </c>
      <c r="M204">
        <v>12.97</v>
      </c>
      <c r="N204">
        <v>7.14</v>
      </c>
      <c r="O204">
        <v>25.75</v>
      </c>
      <c r="P204">
        <v>12.52</v>
      </c>
      <c r="Q204">
        <v>45.76</v>
      </c>
      <c r="R204">
        <v>26.64</v>
      </c>
      <c r="S204">
        <v>28.56</v>
      </c>
      <c r="T204">
        <v>33.799999999999997</v>
      </c>
      <c r="U204">
        <v>62.06</v>
      </c>
      <c r="V204" s="6">
        <v>28.69</v>
      </c>
    </row>
    <row r="205" spans="1:22" x14ac:dyDescent="0.2">
      <c r="A205" s="4">
        <v>44858</v>
      </c>
      <c r="B205" s="3">
        <v>97.44</v>
      </c>
      <c r="C205">
        <v>57.27</v>
      </c>
      <c r="D205">
        <v>18.78</v>
      </c>
      <c r="E205">
        <v>22.36</v>
      </c>
      <c r="F205">
        <v>21.66</v>
      </c>
      <c r="G205">
        <v>33.21</v>
      </c>
      <c r="H205">
        <v>15.89</v>
      </c>
      <c r="I205">
        <v>43.29</v>
      </c>
      <c r="J205">
        <v>58.46</v>
      </c>
      <c r="K205">
        <v>15.89</v>
      </c>
      <c r="L205">
        <v>12.97</v>
      </c>
      <c r="M205">
        <v>12.86</v>
      </c>
      <c r="N205">
        <v>6.87</v>
      </c>
      <c r="O205">
        <v>26.01</v>
      </c>
      <c r="P205">
        <v>12.61</v>
      </c>
      <c r="Q205">
        <v>47.36</v>
      </c>
      <c r="R205">
        <v>26.09</v>
      </c>
      <c r="S205">
        <v>28.15</v>
      </c>
      <c r="T205">
        <v>33.44</v>
      </c>
      <c r="U205">
        <v>61.7</v>
      </c>
      <c r="V205" s="6">
        <v>27.98</v>
      </c>
    </row>
    <row r="206" spans="1:22" x14ac:dyDescent="0.2">
      <c r="A206" s="4">
        <v>44859</v>
      </c>
      <c r="B206" s="3">
        <v>97.62</v>
      </c>
      <c r="C206">
        <v>57.27</v>
      </c>
      <c r="D206">
        <v>18.38</v>
      </c>
      <c r="E206">
        <v>22.17</v>
      </c>
      <c r="F206">
        <v>21.34</v>
      </c>
      <c r="G206">
        <v>33.33</v>
      </c>
      <c r="H206">
        <v>15.62</v>
      </c>
      <c r="I206">
        <v>42.48</v>
      </c>
      <c r="J206">
        <v>57.93</v>
      </c>
      <c r="K206">
        <v>15.8</v>
      </c>
      <c r="L206">
        <v>12.79</v>
      </c>
      <c r="M206">
        <v>12.63</v>
      </c>
      <c r="N206">
        <v>6.83</v>
      </c>
      <c r="O206">
        <v>25.9</v>
      </c>
      <c r="P206">
        <v>13.14</v>
      </c>
      <c r="Q206">
        <v>47.92</v>
      </c>
      <c r="R206">
        <v>25.7</v>
      </c>
      <c r="S206">
        <v>28.02</v>
      </c>
      <c r="T206">
        <v>33.74</v>
      </c>
      <c r="U206">
        <v>59.91</v>
      </c>
      <c r="V206" s="6">
        <v>27.69</v>
      </c>
    </row>
    <row r="207" spans="1:22" x14ac:dyDescent="0.2">
      <c r="A207" s="4">
        <v>44860</v>
      </c>
      <c r="B207" s="3">
        <v>94.77</v>
      </c>
      <c r="C207">
        <v>58.54</v>
      </c>
      <c r="D207">
        <v>17.93</v>
      </c>
      <c r="E207">
        <v>21.7</v>
      </c>
      <c r="F207">
        <v>20.95</v>
      </c>
      <c r="G207">
        <v>36.119999999999997</v>
      </c>
      <c r="H207">
        <v>15.06</v>
      </c>
      <c r="I207">
        <v>40.89</v>
      </c>
      <c r="J207">
        <v>56.85</v>
      </c>
      <c r="K207">
        <v>15.11</v>
      </c>
      <c r="L207">
        <v>12.17</v>
      </c>
      <c r="M207">
        <v>12.79</v>
      </c>
      <c r="N207">
        <v>6.65</v>
      </c>
      <c r="O207">
        <v>24.79</v>
      </c>
      <c r="P207">
        <v>12.76</v>
      </c>
      <c r="Q207">
        <v>48.63</v>
      </c>
      <c r="R207">
        <v>24.53</v>
      </c>
      <c r="S207">
        <v>27.44</v>
      </c>
      <c r="T207">
        <v>33.28</v>
      </c>
      <c r="U207">
        <v>57.72</v>
      </c>
      <c r="V207" s="6">
        <v>26.58</v>
      </c>
    </row>
    <row r="208" spans="1:22" x14ac:dyDescent="0.2">
      <c r="A208" s="4">
        <v>44861</v>
      </c>
      <c r="B208" s="3">
        <v>97.42</v>
      </c>
      <c r="C208">
        <v>56.46</v>
      </c>
      <c r="D208">
        <v>18.07</v>
      </c>
      <c r="E208">
        <v>22.1</v>
      </c>
      <c r="F208">
        <v>21.01</v>
      </c>
      <c r="G208">
        <v>36.93</v>
      </c>
      <c r="H208">
        <v>15.25</v>
      </c>
      <c r="I208">
        <v>42.92</v>
      </c>
      <c r="J208">
        <v>58.13</v>
      </c>
      <c r="K208">
        <v>15.39</v>
      </c>
      <c r="L208">
        <v>12.82</v>
      </c>
      <c r="M208">
        <v>13.18</v>
      </c>
      <c r="N208">
        <v>6.82</v>
      </c>
      <c r="O208">
        <v>24.93</v>
      </c>
      <c r="P208">
        <v>12.89</v>
      </c>
      <c r="Q208">
        <v>48.92</v>
      </c>
      <c r="R208">
        <v>25.43</v>
      </c>
      <c r="S208">
        <v>28.56</v>
      </c>
      <c r="T208">
        <v>33.56</v>
      </c>
      <c r="U208">
        <v>60.59</v>
      </c>
      <c r="V208" s="6">
        <v>27.75</v>
      </c>
    </row>
    <row r="209" spans="1:22" x14ac:dyDescent="0.2">
      <c r="A209" s="4">
        <v>44862</v>
      </c>
      <c r="B209" s="3">
        <v>95.9</v>
      </c>
      <c r="C209">
        <v>53.7</v>
      </c>
      <c r="D209">
        <v>17.86</v>
      </c>
      <c r="E209">
        <v>22.27</v>
      </c>
      <c r="F209">
        <v>20.7</v>
      </c>
      <c r="G209">
        <v>36.590000000000003</v>
      </c>
      <c r="H209">
        <v>15.34</v>
      </c>
      <c r="I209">
        <v>43.67</v>
      </c>
      <c r="J209">
        <v>59.54</v>
      </c>
      <c r="K209">
        <v>15.48</v>
      </c>
      <c r="L209">
        <v>13.1</v>
      </c>
      <c r="M209">
        <v>13.36</v>
      </c>
      <c r="N209">
        <v>6.83</v>
      </c>
      <c r="O209">
        <v>25.79</v>
      </c>
      <c r="P209">
        <v>13.12</v>
      </c>
      <c r="Q209">
        <v>50.75</v>
      </c>
      <c r="R209">
        <v>25.55</v>
      </c>
      <c r="S209">
        <v>28.58</v>
      </c>
      <c r="T209">
        <v>33.97</v>
      </c>
      <c r="U209">
        <v>61.02</v>
      </c>
      <c r="V209" s="6">
        <v>28.92</v>
      </c>
    </row>
    <row r="210" spans="1:22" x14ac:dyDescent="0.2">
      <c r="A210" s="4">
        <v>44865</v>
      </c>
      <c r="B210" s="3">
        <v>96.58</v>
      </c>
      <c r="C210">
        <v>53.45</v>
      </c>
      <c r="D210">
        <v>16.34</v>
      </c>
      <c r="E210">
        <v>22.92</v>
      </c>
      <c r="F210">
        <v>19.239999999999998</v>
      </c>
      <c r="G210">
        <v>38.31</v>
      </c>
      <c r="H210">
        <v>14.63</v>
      </c>
      <c r="I210">
        <v>44.93</v>
      </c>
      <c r="J210">
        <v>60.1</v>
      </c>
      <c r="K210">
        <v>15.9</v>
      </c>
      <c r="L210">
        <v>13.89</v>
      </c>
      <c r="M210">
        <v>13.55</v>
      </c>
      <c r="N210">
        <v>7.05</v>
      </c>
      <c r="O210">
        <v>24.96</v>
      </c>
      <c r="P210">
        <v>13.74</v>
      </c>
      <c r="Q210">
        <v>48.99</v>
      </c>
      <c r="R210">
        <v>26.97</v>
      </c>
      <c r="S210">
        <v>30.03</v>
      </c>
      <c r="T210">
        <v>35.33</v>
      </c>
      <c r="U210">
        <v>64.239999999999995</v>
      </c>
      <c r="V210" s="6">
        <v>30.61</v>
      </c>
    </row>
    <row r="211" spans="1:22" x14ac:dyDescent="0.2">
      <c r="A211" s="4">
        <v>44866</v>
      </c>
      <c r="B211" s="3">
        <v>97.8</v>
      </c>
      <c r="C211">
        <v>55.07</v>
      </c>
      <c r="D211">
        <v>16.37</v>
      </c>
      <c r="E211">
        <v>22.98</v>
      </c>
      <c r="F211">
        <v>19.3</v>
      </c>
      <c r="G211">
        <v>37.479999999999997</v>
      </c>
      <c r="H211">
        <v>14.98</v>
      </c>
      <c r="I211">
        <v>44.68</v>
      </c>
      <c r="J211">
        <v>60.28</v>
      </c>
      <c r="K211">
        <v>15.99</v>
      </c>
      <c r="L211">
        <v>13.97</v>
      </c>
      <c r="M211">
        <v>13.38</v>
      </c>
      <c r="N211">
        <v>7.07</v>
      </c>
      <c r="O211">
        <v>24.9</v>
      </c>
      <c r="P211">
        <v>13.71</v>
      </c>
      <c r="Q211">
        <v>48.69</v>
      </c>
      <c r="R211">
        <v>27.04</v>
      </c>
      <c r="S211">
        <v>30</v>
      </c>
      <c r="T211">
        <v>37.07</v>
      </c>
      <c r="U211">
        <v>64.27</v>
      </c>
      <c r="V211" s="6">
        <v>31.66</v>
      </c>
    </row>
    <row r="212" spans="1:22" x14ac:dyDescent="0.2">
      <c r="A212" s="4">
        <v>44868</v>
      </c>
      <c r="B212" s="3">
        <v>97.9</v>
      </c>
      <c r="C212">
        <v>53.46</v>
      </c>
      <c r="D212">
        <v>16.420000000000002</v>
      </c>
      <c r="E212">
        <v>22.81</v>
      </c>
      <c r="F212">
        <v>19.350000000000001</v>
      </c>
      <c r="G212">
        <v>38.229999999999997</v>
      </c>
      <c r="H212">
        <v>15.29</v>
      </c>
      <c r="I212">
        <v>45.69</v>
      </c>
      <c r="J212">
        <v>60</v>
      </c>
      <c r="K212">
        <v>15.72</v>
      </c>
      <c r="L212">
        <v>14.21</v>
      </c>
      <c r="M212">
        <v>13.57</v>
      </c>
      <c r="N212">
        <v>7.05</v>
      </c>
      <c r="O212">
        <v>24.93</v>
      </c>
      <c r="P212">
        <v>13.58</v>
      </c>
      <c r="Q212">
        <v>49.66</v>
      </c>
      <c r="R212">
        <v>26.92</v>
      </c>
      <c r="S212">
        <v>29.73</v>
      </c>
      <c r="T212">
        <v>36.68</v>
      </c>
      <c r="U212">
        <v>65.91</v>
      </c>
      <c r="V212" s="6">
        <v>31.73</v>
      </c>
    </row>
    <row r="213" spans="1:22" x14ac:dyDescent="0.2">
      <c r="A213" s="4">
        <v>44869</v>
      </c>
      <c r="B213" s="3">
        <v>99.14</v>
      </c>
      <c r="C213">
        <v>57.52</v>
      </c>
      <c r="D213">
        <v>15.51</v>
      </c>
      <c r="E213">
        <v>22.89</v>
      </c>
      <c r="F213">
        <v>18.34</v>
      </c>
      <c r="G213">
        <v>38.799999999999997</v>
      </c>
      <c r="H213">
        <v>15.52</v>
      </c>
      <c r="I213">
        <v>46.51</v>
      </c>
      <c r="J213">
        <v>59.65</v>
      </c>
      <c r="K213">
        <v>15.55</v>
      </c>
      <c r="L213">
        <v>14.41</v>
      </c>
      <c r="M213">
        <v>13.94</v>
      </c>
      <c r="N213">
        <v>7.07</v>
      </c>
      <c r="O213">
        <v>25.56</v>
      </c>
      <c r="P213">
        <v>13.53</v>
      </c>
      <c r="Q213">
        <v>50.17</v>
      </c>
      <c r="R213">
        <v>27.41</v>
      </c>
      <c r="S213">
        <v>30.06</v>
      </c>
      <c r="T213">
        <v>37.590000000000003</v>
      </c>
      <c r="U213">
        <v>66.989999999999995</v>
      </c>
      <c r="V213" s="6">
        <v>31.68</v>
      </c>
    </row>
    <row r="214" spans="1:22" x14ac:dyDescent="0.2">
      <c r="A214" s="4">
        <v>44872</v>
      </c>
      <c r="B214" s="3">
        <v>96.35</v>
      </c>
      <c r="C214">
        <v>57.22</v>
      </c>
      <c r="D214">
        <v>14.88</v>
      </c>
      <c r="E214">
        <v>22.37</v>
      </c>
      <c r="F214">
        <v>17.72</v>
      </c>
      <c r="G214">
        <v>38.9</v>
      </c>
      <c r="H214">
        <v>14.98</v>
      </c>
      <c r="I214">
        <v>44.01</v>
      </c>
      <c r="J214">
        <v>58.12</v>
      </c>
      <c r="K214">
        <v>15.03</v>
      </c>
      <c r="L214">
        <v>14.13</v>
      </c>
      <c r="M214">
        <v>13.86</v>
      </c>
      <c r="N214">
        <v>6.95</v>
      </c>
      <c r="O214">
        <v>25.4</v>
      </c>
      <c r="P214">
        <v>13.32</v>
      </c>
      <c r="Q214">
        <v>50.63</v>
      </c>
      <c r="R214">
        <v>26.87</v>
      </c>
      <c r="S214">
        <v>28.94</v>
      </c>
      <c r="T214">
        <v>36.36</v>
      </c>
      <c r="U214">
        <v>64.91</v>
      </c>
      <c r="V214" s="6">
        <v>31.11</v>
      </c>
    </row>
    <row r="215" spans="1:22" x14ac:dyDescent="0.2">
      <c r="A215" s="4">
        <v>44873</v>
      </c>
      <c r="B215" s="3">
        <v>97.05</v>
      </c>
      <c r="C215">
        <v>58.96</v>
      </c>
      <c r="D215">
        <v>14.99</v>
      </c>
      <c r="E215">
        <v>22.31</v>
      </c>
      <c r="F215">
        <v>17.72</v>
      </c>
      <c r="G215">
        <v>38.799999999999997</v>
      </c>
      <c r="H215">
        <v>15.05</v>
      </c>
      <c r="I215">
        <v>44.17</v>
      </c>
      <c r="J215">
        <v>58.4</v>
      </c>
      <c r="K215">
        <v>14.89</v>
      </c>
      <c r="L215">
        <v>14.16</v>
      </c>
      <c r="M215">
        <v>14.18</v>
      </c>
      <c r="N215">
        <v>6.97</v>
      </c>
      <c r="O215">
        <v>25.47</v>
      </c>
      <c r="P215">
        <v>13.34</v>
      </c>
      <c r="Q215">
        <v>51.07</v>
      </c>
      <c r="R215">
        <v>26.76</v>
      </c>
      <c r="S215">
        <v>29.36</v>
      </c>
      <c r="T215">
        <v>37.369999999999997</v>
      </c>
      <c r="U215">
        <v>64.959999999999994</v>
      </c>
      <c r="V215" s="6">
        <v>31.02</v>
      </c>
    </row>
    <row r="216" spans="1:22" x14ac:dyDescent="0.2">
      <c r="A216" s="4">
        <v>44874</v>
      </c>
      <c r="B216" s="3">
        <v>95.17</v>
      </c>
      <c r="C216">
        <v>58.24</v>
      </c>
      <c r="D216">
        <v>14.75</v>
      </c>
      <c r="E216">
        <v>21.24</v>
      </c>
      <c r="F216">
        <v>17.39</v>
      </c>
      <c r="G216">
        <v>38.61</v>
      </c>
      <c r="H216">
        <v>14.65</v>
      </c>
      <c r="I216">
        <v>43.65</v>
      </c>
      <c r="J216">
        <v>57.68</v>
      </c>
      <c r="K216">
        <v>12.3</v>
      </c>
      <c r="L216">
        <v>14.08</v>
      </c>
      <c r="M216">
        <v>13.96</v>
      </c>
      <c r="N216">
        <v>6.68</v>
      </c>
      <c r="O216">
        <v>25.33</v>
      </c>
      <c r="P216">
        <v>13.34</v>
      </c>
      <c r="Q216">
        <v>50.76</v>
      </c>
      <c r="R216">
        <v>26.27</v>
      </c>
      <c r="S216">
        <v>29.35</v>
      </c>
      <c r="T216">
        <v>37.159999999999997</v>
      </c>
      <c r="U216">
        <v>63.96</v>
      </c>
      <c r="V216" s="6">
        <v>30.73</v>
      </c>
    </row>
    <row r="217" spans="1:22" x14ac:dyDescent="0.2">
      <c r="A217" s="4">
        <v>44875</v>
      </c>
      <c r="B217" s="3">
        <v>91.7</v>
      </c>
      <c r="C217">
        <v>59.35</v>
      </c>
      <c r="D217">
        <v>14.32</v>
      </c>
      <c r="E217">
        <v>20.84</v>
      </c>
      <c r="F217">
        <v>17.170000000000002</v>
      </c>
      <c r="G217">
        <v>37.31</v>
      </c>
      <c r="H217">
        <v>14.36</v>
      </c>
      <c r="I217">
        <v>40.58</v>
      </c>
      <c r="J217">
        <v>55.42</v>
      </c>
      <c r="K217">
        <v>11.94</v>
      </c>
      <c r="L217">
        <v>12.29</v>
      </c>
      <c r="M217">
        <v>13.55</v>
      </c>
      <c r="N217">
        <v>6.51</v>
      </c>
      <c r="O217">
        <v>24.84</v>
      </c>
      <c r="P217">
        <v>13.44</v>
      </c>
      <c r="Q217">
        <v>51.92</v>
      </c>
      <c r="R217">
        <v>24.52</v>
      </c>
      <c r="S217">
        <v>28.52</v>
      </c>
      <c r="T217">
        <v>36.520000000000003</v>
      </c>
      <c r="U217">
        <v>59.14</v>
      </c>
      <c r="V217" s="6">
        <v>30.64</v>
      </c>
    </row>
    <row r="218" spans="1:22" x14ac:dyDescent="0.2">
      <c r="A218" s="4">
        <v>44876</v>
      </c>
      <c r="B218" s="3">
        <v>93.67</v>
      </c>
      <c r="C218">
        <v>65.53</v>
      </c>
      <c r="D218">
        <v>14.8</v>
      </c>
      <c r="E218">
        <v>20.16</v>
      </c>
      <c r="F218">
        <v>17.760000000000002</v>
      </c>
      <c r="G218">
        <v>38.03</v>
      </c>
      <c r="H218">
        <v>14.04</v>
      </c>
      <c r="I218">
        <v>40.64</v>
      </c>
      <c r="J218">
        <v>56.6</v>
      </c>
      <c r="K218">
        <v>12.14</v>
      </c>
      <c r="L218">
        <v>11.62</v>
      </c>
      <c r="M218">
        <v>13.63</v>
      </c>
      <c r="N218">
        <v>6.38</v>
      </c>
      <c r="O218">
        <v>27.8</v>
      </c>
      <c r="P218">
        <v>13.92</v>
      </c>
      <c r="Q218">
        <v>53.65</v>
      </c>
      <c r="R218">
        <v>23.95</v>
      </c>
      <c r="S218">
        <v>28.55</v>
      </c>
      <c r="T218">
        <v>37.64</v>
      </c>
      <c r="U218">
        <v>58.57</v>
      </c>
      <c r="V218" s="6">
        <v>29.72</v>
      </c>
    </row>
    <row r="219" spans="1:22" x14ac:dyDescent="0.2">
      <c r="A219" s="4">
        <v>44879</v>
      </c>
      <c r="B219" s="3">
        <v>95.35</v>
      </c>
      <c r="C219">
        <v>66.33</v>
      </c>
      <c r="D219">
        <v>15.19</v>
      </c>
      <c r="E219">
        <v>20.100000000000001</v>
      </c>
      <c r="F219">
        <v>18.25</v>
      </c>
      <c r="G219">
        <v>38.67</v>
      </c>
      <c r="H219">
        <v>14.39</v>
      </c>
      <c r="I219">
        <v>41.01</v>
      </c>
      <c r="J219">
        <v>57.82</v>
      </c>
      <c r="K219">
        <v>12.15</v>
      </c>
      <c r="L219">
        <v>11.52</v>
      </c>
      <c r="M219">
        <v>13.51</v>
      </c>
      <c r="N219">
        <v>6.46</v>
      </c>
      <c r="O219">
        <v>26.94</v>
      </c>
      <c r="P219">
        <v>13.07</v>
      </c>
      <c r="Q219">
        <v>53.18</v>
      </c>
      <c r="R219">
        <v>24.14</v>
      </c>
      <c r="S219">
        <v>28.62</v>
      </c>
      <c r="T219">
        <v>38.44</v>
      </c>
      <c r="U219">
        <v>59.55</v>
      </c>
      <c r="V219" s="6">
        <v>29.97</v>
      </c>
    </row>
    <row r="220" spans="1:22" x14ac:dyDescent="0.2">
      <c r="A220" s="4">
        <v>44881</v>
      </c>
      <c r="B220" s="3">
        <v>91.92</v>
      </c>
      <c r="C220">
        <v>65.64</v>
      </c>
      <c r="D220">
        <v>14.88</v>
      </c>
      <c r="E220">
        <v>19.82</v>
      </c>
      <c r="F220">
        <v>18.05</v>
      </c>
      <c r="G220">
        <v>36.81</v>
      </c>
      <c r="H220">
        <v>13.93</v>
      </c>
      <c r="I220">
        <v>39.5</v>
      </c>
      <c r="J220">
        <v>57</v>
      </c>
      <c r="K220">
        <v>12.19</v>
      </c>
      <c r="L220">
        <v>11.45</v>
      </c>
      <c r="M220">
        <v>13.08</v>
      </c>
      <c r="N220">
        <v>6.35</v>
      </c>
      <c r="O220">
        <v>25.71</v>
      </c>
      <c r="P220">
        <v>14.37</v>
      </c>
      <c r="Q220">
        <v>53.97</v>
      </c>
      <c r="R220">
        <v>22.87</v>
      </c>
      <c r="S220">
        <v>27.36</v>
      </c>
      <c r="T220">
        <v>36.21</v>
      </c>
      <c r="U220">
        <v>55.18</v>
      </c>
      <c r="V220" s="6">
        <v>28.39</v>
      </c>
    </row>
    <row r="221" spans="1:22" x14ac:dyDescent="0.2">
      <c r="A221" s="4">
        <v>44882</v>
      </c>
      <c r="B221" s="3">
        <v>90.79</v>
      </c>
      <c r="C221">
        <v>66.16</v>
      </c>
      <c r="D221">
        <v>14.89</v>
      </c>
      <c r="E221">
        <v>19.940000000000001</v>
      </c>
      <c r="F221">
        <v>17.91</v>
      </c>
      <c r="G221">
        <v>37.61</v>
      </c>
      <c r="H221">
        <v>13.64</v>
      </c>
      <c r="I221">
        <v>39.520000000000003</v>
      </c>
      <c r="J221">
        <v>55.11</v>
      </c>
      <c r="K221">
        <v>12.45</v>
      </c>
      <c r="L221">
        <v>10.76</v>
      </c>
      <c r="M221">
        <v>13.05</v>
      </c>
      <c r="N221">
        <v>6.38</v>
      </c>
      <c r="O221">
        <v>23.94</v>
      </c>
      <c r="P221">
        <v>13.88</v>
      </c>
      <c r="Q221">
        <v>53.36</v>
      </c>
      <c r="R221">
        <v>22.86</v>
      </c>
      <c r="S221">
        <v>27.43</v>
      </c>
      <c r="T221">
        <v>35.74</v>
      </c>
      <c r="U221">
        <v>54.99</v>
      </c>
      <c r="V221" s="6">
        <v>28.06</v>
      </c>
    </row>
    <row r="222" spans="1:22" x14ac:dyDescent="0.2">
      <c r="A222" s="4">
        <v>44883</v>
      </c>
      <c r="B222" s="3">
        <v>91.2</v>
      </c>
      <c r="C222">
        <v>64.349999999999994</v>
      </c>
      <c r="D222">
        <v>14.64</v>
      </c>
      <c r="E222">
        <v>20.100000000000001</v>
      </c>
      <c r="F222">
        <v>17.579999999999998</v>
      </c>
      <c r="G222">
        <v>37.36</v>
      </c>
      <c r="H222">
        <v>13.59</v>
      </c>
      <c r="I222">
        <v>39.71</v>
      </c>
      <c r="J222">
        <v>55.21</v>
      </c>
      <c r="K222">
        <v>12.51</v>
      </c>
      <c r="L222">
        <v>10.96</v>
      </c>
      <c r="M222">
        <v>13.23</v>
      </c>
      <c r="N222">
        <v>6.44</v>
      </c>
      <c r="O222">
        <v>23.06</v>
      </c>
      <c r="P222">
        <v>14.19</v>
      </c>
      <c r="Q222">
        <v>53.02</v>
      </c>
      <c r="R222">
        <v>23.19</v>
      </c>
      <c r="S222">
        <v>27.51</v>
      </c>
      <c r="T222">
        <v>34.44</v>
      </c>
      <c r="U222">
        <v>54.84</v>
      </c>
      <c r="V222" s="6">
        <v>27.16</v>
      </c>
    </row>
    <row r="223" spans="1:22" x14ac:dyDescent="0.2">
      <c r="A223" s="4">
        <v>44886</v>
      </c>
      <c r="B223" s="3">
        <v>91.42</v>
      </c>
      <c r="C223">
        <v>63.63</v>
      </c>
      <c r="D223">
        <v>14.68</v>
      </c>
      <c r="E223">
        <v>20.16</v>
      </c>
      <c r="F223">
        <v>17.510000000000002</v>
      </c>
      <c r="G223">
        <v>37.56</v>
      </c>
      <c r="H223">
        <v>13.91</v>
      </c>
      <c r="I223">
        <v>41.14</v>
      </c>
      <c r="J223">
        <v>59.25</v>
      </c>
      <c r="K223">
        <v>12.42</v>
      </c>
      <c r="L223">
        <v>11.11</v>
      </c>
      <c r="M223">
        <v>13.28</v>
      </c>
      <c r="N223">
        <v>6.44</v>
      </c>
      <c r="O223">
        <v>23.48</v>
      </c>
      <c r="P223">
        <v>14.35</v>
      </c>
      <c r="Q223">
        <v>51.5</v>
      </c>
      <c r="R223">
        <v>23.6</v>
      </c>
      <c r="S223">
        <v>27.73</v>
      </c>
      <c r="T223">
        <v>34.43</v>
      </c>
      <c r="U223">
        <v>56.12</v>
      </c>
      <c r="V223" s="6">
        <v>27.42</v>
      </c>
    </row>
    <row r="224" spans="1:22" x14ac:dyDescent="0.2">
      <c r="A224" s="4">
        <v>44887</v>
      </c>
      <c r="B224" s="3">
        <v>91.03</v>
      </c>
      <c r="C224">
        <v>63.81</v>
      </c>
      <c r="D224">
        <v>14.56</v>
      </c>
      <c r="E224">
        <v>19.82</v>
      </c>
      <c r="F224">
        <v>17.54</v>
      </c>
      <c r="G224">
        <v>37</v>
      </c>
      <c r="H224">
        <v>13.73</v>
      </c>
      <c r="I224">
        <v>41.08</v>
      </c>
      <c r="J224">
        <v>58.86</v>
      </c>
      <c r="K224">
        <v>12.37</v>
      </c>
      <c r="L224">
        <v>11.08</v>
      </c>
      <c r="M224">
        <v>13.27</v>
      </c>
      <c r="N224">
        <v>6.39</v>
      </c>
      <c r="O224">
        <v>23.28</v>
      </c>
      <c r="P224">
        <v>14.28</v>
      </c>
      <c r="Q224">
        <v>51.65</v>
      </c>
      <c r="R224">
        <v>22.78</v>
      </c>
      <c r="S224">
        <v>27.67</v>
      </c>
      <c r="T224">
        <v>35.409999999999997</v>
      </c>
      <c r="U224">
        <v>55.2</v>
      </c>
      <c r="V224" s="6">
        <v>26.94</v>
      </c>
    </row>
    <row r="225" spans="1:22" x14ac:dyDescent="0.2">
      <c r="A225" s="4">
        <v>44888</v>
      </c>
      <c r="B225" s="3">
        <v>91.1</v>
      </c>
      <c r="C225">
        <v>64.430000000000007</v>
      </c>
      <c r="D225">
        <v>14.63</v>
      </c>
      <c r="E225">
        <v>19.62</v>
      </c>
      <c r="F225">
        <v>17.55</v>
      </c>
      <c r="G225">
        <v>37.03</v>
      </c>
      <c r="H225">
        <v>13.9</v>
      </c>
      <c r="I225">
        <v>40.78</v>
      </c>
      <c r="J225">
        <v>59</v>
      </c>
      <c r="K225">
        <v>12.29</v>
      </c>
      <c r="L225">
        <v>11.08</v>
      </c>
      <c r="M225">
        <v>13.32</v>
      </c>
      <c r="N225">
        <v>6.34</v>
      </c>
      <c r="O225">
        <v>23.24</v>
      </c>
      <c r="P225">
        <v>14.17</v>
      </c>
      <c r="Q225">
        <v>51.31</v>
      </c>
      <c r="R225">
        <v>23.03</v>
      </c>
      <c r="S225">
        <v>27.92</v>
      </c>
      <c r="T225">
        <v>35.21</v>
      </c>
      <c r="U225">
        <v>54.08</v>
      </c>
      <c r="V225" s="6">
        <v>27.91</v>
      </c>
    </row>
    <row r="226" spans="1:22" x14ac:dyDescent="0.2">
      <c r="A226" s="4">
        <v>44889</v>
      </c>
      <c r="B226" s="3">
        <v>93.82</v>
      </c>
      <c r="C226">
        <v>64.849999999999994</v>
      </c>
      <c r="D226">
        <v>15.14</v>
      </c>
      <c r="E226">
        <v>20.32</v>
      </c>
      <c r="F226">
        <v>18.23</v>
      </c>
      <c r="G226">
        <v>37.81</v>
      </c>
      <c r="H226">
        <v>14.13</v>
      </c>
      <c r="I226">
        <v>42.2</v>
      </c>
      <c r="J226">
        <v>60.48</v>
      </c>
      <c r="K226">
        <v>12.53</v>
      </c>
      <c r="L226">
        <v>11.69</v>
      </c>
      <c r="M226">
        <v>13.59</v>
      </c>
      <c r="N226">
        <v>6.55</v>
      </c>
      <c r="O226">
        <v>23.63</v>
      </c>
      <c r="P226">
        <v>14.49</v>
      </c>
      <c r="Q226">
        <v>51.53</v>
      </c>
      <c r="R226">
        <v>24.01</v>
      </c>
      <c r="S226">
        <v>28.64</v>
      </c>
      <c r="T226">
        <v>36.450000000000003</v>
      </c>
      <c r="U226">
        <v>55.91</v>
      </c>
      <c r="V226" s="6">
        <v>29.84</v>
      </c>
    </row>
    <row r="227" spans="1:22" x14ac:dyDescent="0.2">
      <c r="A227" s="4">
        <v>44890</v>
      </c>
      <c r="B227" s="3">
        <v>91.47</v>
      </c>
      <c r="C227">
        <v>64.41</v>
      </c>
      <c r="D227">
        <v>14.89</v>
      </c>
      <c r="E227">
        <v>19.61</v>
      </c>
      <c r="F227">
        <v>17.82</v>
      </c>
      <c r="G227">
        <v>37.19</v>
      </c>
      <c r="H227">
        <v>13.8</v>
      </c>
      <c r="I227">
        <v>40.880000000000003</v>
      </c>
      <c r="J227">
        <v>60.09</v>
      </c>
      <c r="K227">
        <v>12.3</v>
      </c>
      <c r="L227">
        <v>11.13</v>
      </c>
      <c r="M227">
        <v>13.36</v>
      </c>
      <c r="N227">
        <v>6.41</v>
      </c>
      <c r="O227">
        <v>23.32</v>
      </c>
      <c r="P227">
        <v>14.3</v>
      </c>
      <c r="Q227">
        <v>50.6</v>
      </c>
      <c r="R227">
        <v>22.97</v>
      </c>
      <c r="S227">
        <v>27.5</v>
      </c>
      <c r="T227">
        <v>34.590000000000003</v>
      </c>
      <c r="U227">
        <v>53.24</v>
      </c>
      <c r="V227" s="6">
        <v>28.2</v>
      </c>
    </row>
    <row r="228" spans="1:22" x14ac:dyDescent="0.2">
      <c r="A228" s="4">
        <v>44893</v>
      </c>
      <c r="B228" s="3">
        <v>91.39</v>
      </c>
      <c r="C228">
        <v>64.73</v>
      </c>
      <c r="D228">
        <v>15.21</v>
      </c>
      <c r="E228">
        <v>19.25</v>
      </c>
      <c r="F228">
        <v>18.260000000000002</v>
      </c>
      <c r="G228">
        <v>35.659999999999997</v>
      </c>
      <c r="H228">
        <v>14.05</v>
      </c>
      <c r="I228">
        <v>41.23</v>
      </c>
      <c r="J228">
        <v>60.17</v>
      </c>
      <c r="K228">
        <v>12.29</v>
      </c>
      <c r="L228">
        <v>11.16</v>
      </c>
      <c r="M228">
        <v>13.48</v>
      </c>
      <c r="N228">
        <v>6.36</v>
      </c>
      <c r="O228">
        <v>22.75</v>
      </c>
      <c r="P228">
        <v>14.01</v>
      </c>
      <c r="Q228">
        <v>50.6</v>
      </c>
      <c r="R228">
        <v>22.83</v>
      </c>
      <c r="S228">
        <v>27.2</v>
      </c>
      <c r="T228">
        <v>34.840000000000003</v>
      </c>
      <c r="U228">
        <v>53.32</v>
      </c>
      <c r="V228" s="6">
        <v>27.83</v>
      </c>
    </row>
    <row r="229" spans="1:22" x14ac:dyDescent="0.2">
      <c r="A229" s="4">
        <v>44894</v>
      </c>
      <c r="B229" s="3">
        <v>92.98</v>
      </c>
      <c r="C229">
        <v>67.23</v>
      </c>
      <c r="D229">
        <v>15.84</v>
      </c>
      <c r="E229">
        <v>19.420000000000002</v>
      </c>
      <c r="F229">
        <v>19.04</v>
      </c>
      <c r="G229">
        <v>35.86</v>
      </c>
      <c r="H229">
        <v>14.22</v>
      </c>
      <c r="I229">
        <v>41.95</v>
      </c>
      <c r="J229">
        <v>59.84</v>
      </c>
      <c r="K229">
        <v>12.43</v>
      </c>
      <c r="L229">
        <v>11.59</v>
      </c>
      <c r="M229">
        <v>13.35</v>
      </c>
      <c r="N229">
        <v>6.38</v>
      </c>
      <c r="O229">
        <v>22.46</v>
      </c>
      <c r="P229">
        <v>13.5</v>
      </c>
      <c r="Q229">
        <v>49.1</v>
      </c>
      <c r="R229">
        <v>23.35</v>
      </c>
      <c r="S229">
        <v>27.43</v>
      </c>
      <c r="T229">
        <v>35.22</v>
      </c>
      <c r="U229">
        <v>55.02</v>
      </c>
      <c r="V229" s="6">
        <v>28.76</v>
      </c>
    </row>
    <row r="230" spans="1:22" x14ac:dyDescent="0.2">
      <c r="A230" s="4">
        <v>44895</v>
      </c>
      <c r="B230" s="3">
        <v>94.08</v>
      </c>
      <c r="C230">
        <v>68.239999999999995</v>
      </c>
      <c r="D230">
        <v>16.64</v>
      </c>
      <c r="E230">
        <v>19.61</v>
      </c>
      <c r="F230">
        <v>19.7</v>
      </c>
      <c r="G230">
        <v>37.090000000000003</v>
      </c>
      <c r="H230">
        <v>14.23</v>
      </c>
      <c r="I230">
        <v>42.84</v>
      </c>
      <c r="J230">
        <v>60.29</v>
      </c>
      <c r="K230">
        <v>12.49</v>
      </c>
      <c r="L230">
        <v>11.76</v>
      </c>
      <c r="M230">
        <v>13.49</v>
      </c>
      <c r="N230">
        <v>6.45</v>
      </c>
      <c r="O230">
        <v>22.05</v>
      </c>
      <c r="P230">
        <v>13.54</v>
      </c>
      <c r="Q230">
        <v>48.95</v>
      </c>
      <c r="R230">
        <v>23.46</v>
      </c>
      <c r="S230">
        <v>27.55</v>
      </c>
      <c r="T230">
        <v>35.99</v>
      </c>
      <c r="U230">
        <v>54.73</v>
      </c>
      <c r="V230" s="6">
        <v>29.55</v>
      </c>
    </row>
    <row r="231" spans="1:22" x14ac:dyDescent="0.2">
      <c r="A231" s="4">
        <v>44896</v>
      </c>
      <c r="B231" s="3">
        <v>93.1</v>
      </c>
      <c r="C231">
        <v>68.61</v>
      </c>
      <c r="D231">
        <v>15.97</v>
      </c>
      <c r="E231">
        <v>19.61</v>
      </c>
      <c r="F231">
        <v>18.96</v>
      </c>
      <c r="G231">
        <v>36.43</v>
      </c>
      <c r="H231">
        <v>14.22</v>
      </c>
      <c r="I231">
        <v>41.57</v>
      </c>
      <c r="J231">
        <v>60.23</v>
      </c>
      <c r="K231">
        <v>12.34</v>
      </c>
      <c r="L231">
        <v>11.46</v>
      </c>
      <c r="M231">
        <v>13.62</v>
      </c>
      <c r="N231">
        <v>6.35</v>
      </c>
      <c r="O231">
        <v>21.57</v>
      </c>
      <c r="P231">
        <v>13.85</v>
      </c>
      <c r="Q231">
        <v>48.97</v>
      </c>
      <c r="R231">
        <v>23.29</v>
      </c>
      <c r="S231">
        <v>27.37</v>
      </c>
      <c r="T231">
        <v>36.64</v>
      </c>
      <c r="U231">
        <v>52.85</v>
      </c>
      <c r="V231" s="6">
        <v>28.83</v>
      </c>
    </row>
    <row r="232" spans="1:22" x14ac:dyDescent="0.2">
      <c r="A232" s="4">
        <v>44897</v>
      </c>
      <c r="B232" s="3">
        <v>93.8</v>
      </c>
      <c r="C232">
        <v>69.11</v>
      </c>
      <c r="D232">
        <v>16.170000000000002</v>
      </c>
      <c r="E232">
        <v>19.87</v>
      </c>
      <c r="F232">
        <v>19.21</v>
      </c>
      <c r="G232">
        <v>36.770000000000003</v>
      </c>
      <c r="H232">
        <v>14.53</v>
      </c>
      <c r="I232">
        <v>39.67</v>
      </c>
      <c r="J232">
        <v>60.77</v>
      </c>
      <c r="K232">
        <v>12.33</v>
      </c>
      <c r="L232">
        <v>11.73</v>
      </c>
      <c r="M232">
        <v>13.83</v>
      </c>
      <c r="N232">
        <v>6.38</v>
      </c>
      <c r="O232">
        <v>22.22</v>
      </c>
      <c r="P232">
        <v>13.97</v>
      </c>
      <c r="Q232">
        <v>47.32</v>
      </c>
      <c r="R232">
        <v>23.87</v>
      </c>
      <c r="S232">
        <v>27.21</v>
      </c>
      <c r="T232">
        <v>36.630000000000003</v>
      </c>
      <c r="U232">
        <v>53.61</v>
      </c>
      <c r="V232" s="6">
        <v>29.22</v>
      </c>
    </row>
    <row r="233" spans="1:22" x14ac:dyDescent="0.2">
      <c r="A233" s="4">
        <v>44900</v>
      </c>
      <c r="B233" s="3">
        <v>91.5</v>
      </c>
      <c r="C233">
        <v>69.040000000000006</v>
      </c>
      <c r="D233">
        <v>15.99</v>
      </c>
      <c r="E233">
        <v>19.29</v>
      </c>
      <c r="F233">
        <v>18.95</v>
      </c>
      <c r="G233">
        <v>35.76</v>
      </c>
      <c r="H233">
        <v>14.2</v>
      </c>
      <c r="I233">
        <v>38.78</v>
      </c>
      <c r="J233">
        <v>59.23</v>
      </c>
      <c r="K233">
        <v>11.87</v>
      </c>
      <c r="L233">
        <v>11.22</v>
      </c>
      <c r="M233">
        <v>13.57</v>
      </c>
      <c r="N233">
        <v>6.24</v>
      </c>
      <c r="O233">
        <v>21.35</v>
      </c>
      <c r="P233">
        <v>13.53</v>
      </c>
      <c r="Q233">
        <v>48.36</v>
      </c>
      <c r="R233">
        <v>22.77</v>
      </c>
      <c r="S233">
        <v>26.47</v>
      </c>
      <c r="T233">
        <v>35.96</v>
      </c>
      <c r="U233">
        <v>51.3</v>
      </c>
      <c r="V233" s="6">
        <v>27.75</v>
      </c>
    </row>
    <row r="234" spans="1:22" x14ac:dyDescent="0.2">
      <c r="A234" s="4">
        <v>44901</v>
      </c>
      <c r="B234" s="3">
        <v>91.83</v>
      </c>
      <c r="C234">
        <v>70.040000000000006</v>
      </c>
      <c r="D234">
        <v>16</v>
      </c>
      <c r="E234">
        <v>19.739999999999998</v>
      </c>
      <c r="F234">
        <v>18.920000000000002</v>
      </c>
      <c r="G234">
        <v>35.86</v>
      </c>
      <c r="H234">
        <v>14.34</v>
      </c>
      <c r="I234">
        <v>39</v>
      </c>
      <c r="J234">
        <v>56.57</v>
      </c>
      <c r="K234">
        <v>12.15</v>
      </c>
      <c r="L234">
        <v>11.25</v>
      </c>
      <c r="M234">
        <v>13.6</v>
      </c>
      <c r="N234">
        <v>6.29</v>
      </c>
      <c r="O234">
        <v>20.78</v>
      </c>
      <c r="P234">
        <v>13.62</v>
      </c>
      <c r="Q234">
        <v>49.09</v>
      </c>
      <c r="R234">
        <v>22.76</v>
      </c>
      <c r="S234">
        <v>26.49</v>
      </c>
      <c r="T234">
        <v>34.58</v>
      </c>
      <c r="U234">
        <v>51.08</v>
      </c>
      <c r="V234" s="6">
        <v>27.52</v>
      </c>
    </row>
    <row r="235" spans="1:22" x14ac:dyDescent="0.2">
      <c r="A235" s="4">
        <v>44902</v>
      </c>
      <c r="B235" s="3">
        <v>91.54</v>
      </c>
      <c r="C235">
        <v>67.55</v>
      </c>
      <c r="D235">
        <v>15.82</v>
      </c>
      <c r="E235">
        <v>19.59</v>
      </c>
      <c r="F235">
        <v>18.63</v>
      </c>
      <c r="G235">
        <v>35.44</v>
      </c>
      <c r="H235">
        <v>14.31</v>
      </c>
      <c r="I235">
        <v>39.61</v>
      </c>
      <c r="J235">
        <v>57.46</v>
      </c>
      <c r="K235">
        <v>12.02</v>
      </c>
      <c r="L235">
        <v>11.32</v>
      </c>
      <c r="M235">
        <v>13.55</v>
      </c>
      <c r="N235">
        <v>6.26</v>
      </c>
      <c r="O235">
        <v>21.46</v>
      </c>
      <c r="P235">
        <v>13.53</v>
      </c>
      <c r="Q235">
        <v>48.86</v>
      </c>
      <c r="R235">
        <v>22.3</v>
      </c>
      <c r="S235">
        <v>26.61</v>
      </c>
      <c r="T235">
        <v>32.619999999999997</v>
      </c>
      <c r="U235">
        <v>50.82</v>
      </c>
      <c r="V235" s="6">
        <v>27.22</v>
      </c>
    </row>
    <row r="236" spans="1:22" x14ac:dyDescent="0.2">
      <c r="A236" s="4">
        <v>44903</v>
      </c>
      <c r="B236" s="3">
        <v>89.84</v>
      </c>
      <c r="C236">
        <v>68.38</v>
      </c>
      <c r="D236">
        <v>15.47</v>
      </c>
      <c r="E236">
        <v>18.91</v>
      </c>
      <c r="F236">
        <v>18.23</v>
      </c>
      <c r="G236">
        <v>35.380000000000003</v>
      </c>
      <c r="H236">
        <v>14.13</v>
      </c>
      <c r="I236">
        <v>38.78</v>
      </c>
      <c r="J236">
        <v>56.32</v>
      </c>
      <c r="K236">
        <v>11.67</v>
      </c>
      <c r="L236">
        <v>10.84</v>
      </c>
      <c r="M236">
        <v>13.3</v>
      </c>
      <c r="N236">
        <v>6.09</v>
      </c>
      <c r="O236">
        <v>21.19</v>
      </c>
      <c r="P236">
        <v>13.24</v>
      </c>
      <c r="Q236">
        <v>48.9</v>
      </c>
      <c r="R236">
        <v>21.71</v>
      </c>
      <c r="S236">
        <v>26.38</v>
      </c>
      <c r="T236">
        <v>33.119999999999997</v>
      </c>
      <c r="U236">
        <v>48.88</v>
      </c>
      <c r="V236" s="6">
        <v>26.4</v>
      </c>
    </row>
    <row r="237" spans="1:22" x14ac:dyDescent="0.2">
      <c r="A237" s="4">
        <v>44904</v>
      </c>
      <c r="B237" s="3">
        <v>90.29</v>
      </c>
      <c r="C237">
        <v>70.650000000000006</v>
      </c>
      <c r="D237">
        <v>15.42</v>
      </c>
      <c r="E237">
        <v>18.670000000000002</v>
      </c>
      <c r="F237">
        <v>18.190000000000001</v>
      </c>
      <c r="G237">
        <v>35.28</v>
      </c>
      <c r="H237">
        <v>14.11</v>
      </c>
      <c r="I237">
        <v>38.479999999999997</v>
      </c>
      <c r="J237">
        <v>55.77</v>
      </c>
      <c r="K237">
        <v>11.47</v>
      </c>
      <c r="L237">
        <v>10.84</v>
      </c>
      <c r="M237">
        <v>13.14</v>
      </c>
      <c r="N237">
        <v>6.06</v>
      </c>
      <c r="O237">
        <v>21.11</v>
      </c>
      <c r="P237">
        <v>13.1</v>
      </c>
      <c r="Q237">
        <v>50.64</v>
      </c>
      <c r="R237">
        <v>21.29</v>
      </c>
      <c r="S237">
        <v>26.38</v>
      </c>
      <c r="T237">
        <v>33.6</v>
      </c>
      <c r="U237">
        <v>48.09</v>
      </c>
      <c r="V237" s="6">
        <v>25.13</v>
      </c>
    </row>
    <row r="238" spans="1:22" x14ac:dyDescent="0.2">
      <c r="A238" s="4">
        <v>44907</v>
      </c>
      <c r="B238" s="3">
        <v>88.62</v>
      </c>
      <c r="C238">
        <v>68.540000000000006</v>
      </c>
      <c r="D238">
        <v>14.92</v>
      </c>
      <c r="E238">
        <v>18.5</v>
      </c>
      <c r="F238">
        <v>17.7</v>
      </c>
      <c r="G238">
        <v>34.299999999999997</v>
      </c>
      <c r="H238">
        <v>13.63</v>
      </c>
      <c r="I238">
        <v>37.869999999999997</v>
      </c>
      <c r="J238">
        <v>54.44</v>
      </c>
      <c r="K238">
        <v>11.34</v>
      </c>
      <c r="L238">
        <v>10.58</v>
      </c>
      <c r="M238">
        <v>12.91</v>
      </c>
      <c r="N238">
        <v>6.01</v>
      </c>
      <c r="O238">
        <v>20.89</v>
      </c>
      <c r="P238">
        <v>13.33</v>
      </c>
      <c r="Q238">
        <v>50.55</v>
      </c>
      <c r="R238">
        <v>20.3</v>
      </c>
      <c r="S238">
        <v>26.43</v>
      </c>
      <c r="T238">
        <v>34.58</v>
      </c>
      <c r="U238">
        <v>46.92</v>
      </c>
      <c r="V238" s="6">
        <v>24.07</v>
      </c>
    </row>
    <row r="239" spans="1:22" x14ac:dyDescent="0.2">
      <c r="A239" s="4">
        <v>44908</v>
      </c>
      <c r="B239" s="3">
        <v>88.24</v>
      </c>
      <c r="C239">
        <v>68.8</v>
      </c>
      <c r="D239">
        <v>14.56</v>
      </c>
      <c r="E239">
        <v>17.8</v>
      </c>
      <c r="F239">
        <v>17.46</v>
      </c>
      <c r="G239">
        <v>34.04</v>
      </c>
      <c r="H239">
        <v>12.96</v>
      </c>
      <c r="I239">
        <v>37.82</v>
      </c>
      <c r="J239">
        <v>54</v>
      </c>
      <c r="K239">
        <v>11.01</v>
      </c>
      <c r="L239">
        <v>10.52</v>
      </c>
      <c r="M239">
        <v>12.94</v>
      </c>
      <c r="N239">
        <v>5.81</v>
      </c>
      <c r="O239">
        <v>20.63</v>
      </c>
      <c r="P239">
        <v>13.37</v>
      </c>
      <c r="Q239">
        <v>47.3</v>
      </c>
      <c r="R239">
        <v>19.47</v>
      </c>
      <c r="S239">
        <v>26.09</v>
      </c>
      <c r="T239">
        <v>34.83</v>
      </c>
      <c r="U239">
        <v>45.04</v>
      </c>
      <c r="V239" s="6">
        <v>23.12</v>
      </c>
    </row>
    <row r="240" spans="1:22" x14ac:dyDescent="0.2">
      <c r="A240" s="4">
        <v>44909</v>
      </c>
      <c r="B240" s="3">
        <v>87.04</v>
      </c>
      <c r="C240">
        <v>69.38</v>
      </c>
      <c r="D240">
        <v>13.4</v>
      </c>
      <c r="E240">
        <v>17.87</v>
      </c>
      <c r="F240">
        <v>15.75</v>
      </c>
      <c r="G240">
        <v>35.25</v>
      </c>
      <c r="H240">
        <v>12.64</v>
      </c>
      <c r="I240">
        <v>37.71</v>
      </c>
      <c r="J240">
        <v>55.04</v>
      </c>
      <c r="K240">
        <v>11.24</v>
      </c>
      <c r="L240">
        <v>10.88</v>
      </c>
      <c r="M240">
        <v>12.82</v>
      </c>
      <c r="N240">
        <v>5.92</v>
      </c>
      <c r="O240">
        <v>20.52</v>
      </c>
      <c r="P240">
        <v>13.88</v>
      </c>
      <c r="Q240">
        <v>48.35</v>
      </c>
      <c r="R240">
        <v>19.95</v>
      </c>
      <c r="S240">
        <v>26.2</v>
      </c>
      <c r="T240">
        <v>36.119999999999997</v>
      </c>
      <c r="U240">
        <v>45.73</v>
      </c>
      <c r="V240" s="6">
        <v>24.23</v>
      </c>
    </row>
    <row r="241" spans="1:22" x14ac:dyDescent="0.2">
      <c r="A241" s="4">
        <v>44910</v>
      </c>
      <c r="B241" s="3">
        <v>86.6</v>
      </c>
      <c r="C241">
        <v>69.599999999999994</v>
      </c>
      <c r="D241">
        <v>13.76</v>
      </c>
      <c r="E241">
        <v>17.97</v>
      </c>
      <c r="F241">
        <v>16.149999999999999</v>
      </c>
      <c r="G241">
        <v>35.26</v>
      </c>
      <c r="H241">
        <v>13</v>
      </c>
      <c r="I241">
        <v>37.17</v>
      </c>
      <c r="J241">
        <v>55.33</v>
      </c>
      <c r="K241">
        <v>11.1</v>
      </c>
      <c r="L241">
        <v>10.65</v>
      </c>
      <c r="M241">
        <v>12.71</v>
      </c>
      <c r="N241">
        <v>5.92</v>
      </c>
      <c r="O241">
        <v>20.53</v>
      </c>
      <c r="P241">
        <v>13.51</v>
      </c>
      <c r="Q241">
        <v>47.68</v>
      </c>
      <c r="R241">
        <v>20.079999999999998</v>
      </c>
      <c r="S241">
        <v>25.98</v>
      </c>
      <c r="T241">
        <v>35.71</v>
      </c>
      <c r="U241">
        <v>45.82</v>
      </c>
      <c r="V241" s="6">
        <v>24.64</v>
      </c>
    </row>
    <row r="242" spans="1:22" x14ac:dyDescent="0.2">
      <c r="A242" s="4">
        <v>44911</v>
      </c>
      <c r="B242" s="3">
        <v>85.8</v>
      </c>
      <c r="C242">
        <v>68.41</v>
      </c>
      <c r="D242">
        <v>13.76</v>
      </c>
      <c r="E242">
        <v>18.170000000000002</v>
      </c>
      <c r="F242">
        <v>16.190000000000001</v>
      </c>
      <c r="G242">
        <v>35.619999999999997</v>
      </c>
      <c r="H242">
        <v>13.27</v>
      </c>
      <c r="I242">
        <v>36.92</v>
      </c>
      <c r="J242">
        <v>53.78</v>
      </c>
      <c r="K242">
        <v>11.09</v>
      </c>
      <c r="L242">
        <v>10.49</v>
      </c>
      <c r="M242">
        <v>12.58</v>
      </c>
      <c r="N242">
        <v>5.97</v>
      </c>
      <c r="O242">
        <v>20.420000000000002</v>
      </c>
      <c r="P242">
        <v>13.54</v>
      </c>
      <c r="Q242">
        <v>47.36</v>
      </c>
      <c r="R242">
        <v>19.34</v>
      </c>
      <c r="S242">
        <v>26.23</v>
      </c>
      <c r="T242">
        <v>35.29</v>
      </c>
      <c r="U242">
        <v>45.26</v>
      </c>
      <c r="V242" s="6">
        <v>23.72</v>
      </c>
    </row>
    <row r="243" spans="1:22" x14ac:dyDescent="0.2">
      <c r="A243" s="4">
        <v>44914</v>
      </c>
      <c r="B243" s="3">
        <v>87.5</v>
      </c>
      <c r="C243">
        <v>68.17</v>
      </c>
      <c r="D243">
        <v>13.97</v>
      </c>
      <c r="E243">
        <v>18.72</v>
      </c>
      <c r="F243">
        <v>16.559999999999999</v>
      </c>
      <c r="G243">
        <v>36.299999999999997</v>
      </c>
      <c r="H243">
        <v>13.41</v>
      </c>
      <c r="I243">
        <v>37.56</v>
      </c>
      <c r="J243">
        <v>54.75</v>
      </c>
      <c r="K243">
        <v>11.39</v>
      </c>
      <c r="L243">
        <v>11.17</v>
      </c>
      <c r="M243">
        <v>12.9</v>
      </c>
      <c r="N243">
        <v>6.16</v>
      </c>
      <c r="O243">
        <v>20.399999999999999</v>
      </c>
      <c r="P243">
        <v>13.57</v>
      </c>
      <c r="Q243">
        <v>46.6</v>
      </c>
      <c r="R243">
        <v>20.73</v>
      </c>
      <c r="S243">
        <v>26.55</v>
      </c>
      <c r="T243">
        <v>35.72</v>
      </c>
      <c r="U243">
        <v>47.09</v>
      </c>
      <c r="V243" s="6">
        <v>24.93</v>
      </c>
    </row>
    <row r="244" spans="1:22" x14ac:dyDescent="0.2">
      <c r="A244" s="4">
        <v>44915</v>
      </c>
      <c r="B244" s="3">
        <v>89.82</v>
      </c>
      <c r="C244">
        <v>68.47</v>
      </c>
      <c r="D244">
        <v>14.4</v>
      </c>
      <c r="E244">
        <v>18.920000000000002</v>
      </c>
      <c r="F244">
        <v>16.96</v>
      </c>
      <c r="G244">
        <v>36.590000000000003</v>
      </c>
      <c r="H244">
        <v>13.75</v>
      </c>
      <c r="I244">
        <v>38.270000000000003</v>
      </c>
      <c r="J244">
        <v>56.23</v>
      </c>
      <c r="K244">
        <v>11.8</v>
      </c>
      <c r="L244">
        <v>11.66</v>
      </c>
      <c r="M244">
        <v>12.85</v>
      </c>
      <c r="N244">
        <v>6.22</v>
      </c>
      <c r="O244">
        <v>20.67</v>
      </c>
      <c r="P244">
        <v>13.98</v>
      </c>
      <c r="Q244">
        <v>46.32</v>
      </c>
      <c r="R244">
        <v>21.3</v>
      </c>
      <c r="S244">
        <v>26.76</v>
      </c>
      <c r="T244">
        <v>35.799999999999997</v>
      </c>
      <c r="U244">
        <v>49.18</v>
      </c>
      <c r="V244" s="6">
        <v>26.2</v>
      </c>
    </row>
    <row r="245" spans="1:22" x14ac:dyDescent="0.2">
      <c r="A245" s="4">
        <v>44916</v>
      </c>
      <c r="B245" s="3">
        <v>89.86</v>
      </c>
      <c r="C245">
        <v>68.86</v>
      </c>
      <c r="D245">
        <v>14.71</v>
      </c>
      <c r="E245">
        <v>18.989999999999998</v>
      </c>
      <c r="F245">
        <v>17.41</v>
      </c>
      <c r="G245">
        <v>36.57</v>
      </c>
      <c r="H245">
        <v>13.88</v>
      </c>
      <c r="I245">
        <v>38.42</v>
      </c>
      <c r="J245">
        <v>55.5</v>
      </c>
      <c r="K245">
        <v>11.9</v>
      </c>
      <c r="L245">
        <v>11.6</v>
      </c>
      <c r="M245">
        <v>12.7</v>
      </c>
      <c r="N245">
        <v>6.23</v>
      </c>
      <c r="O245">
        <v>20.239999999999998</v>
      </c>
      <c r="P245">
        <v>14.05</v>
      </c>
      <c r="Q245">
        <v>46.2</v>
      </c>
      <c r="R245">
        <v>21.65</v>
      </c>
      <c r="S245">
        <v>26.77</v>
      </c>
      <c r="T245">
        <v>35.57</v>
      </c>
      <c r="U245">
        <v>48.4</v>
      </c>
      <c r="V245" s="6">
        <v>27.38</v>
      </c>
    </row>
    <row r="246" spans="1:22" x14ac:dyDescent="0.2">
      <c r="A246" s="4">
        <v>44917</v>
      </c>
      <c r="B246" s="3">
        <v>89.68</v>
      </c>
      <c r="C246">
        <v>68.47</v>
      </c>
      <c r="D246">
        <v>14.97</v>
      </c>
      <c r="E246">
        <v>19.03</v>
      </c>
      <c r="F246">
        <v>17.61</v>
      </c>
      <c r="G246">
        <v>37.08</v>
      </c>
      <c r="H246">
        <v>14.01</v>
      </c>
      <c r="I246">
        <v>38.409999999999997</v>
      </c>
      <c r="J246">
        <v>56.84</v>
      </c>
      <c r="K246">
        <v>11.94</v>
      </c>
      <c r="L246">
        <v>11.38</v>
      </c>
      <c r="M246">
        <v>12.76</v>
      </c>
      <c r="N246">
        <v>6.26</v>
      </c>
      <c r="O246">
        <v>20.89</v>
      </c>
      <c r="P246">
        <v>14.02</v>
      </c>
      <c r="Q246">
        <v>45.94</v>
      </c>
      <c r="R246">
        <v>21.7</v>
      </c>
      <c r="S246">
        <v>26.89</v>
      </c>
      <c r="T246">
        <v>35.200000000000003</v>
      </c>
      <c r="U246">
        <v>48.6</v>
      </c>
      <c r="V246" s="6">
        <v>26.91</v>
      </c>
    </row>
    <row r="247" spans="1:22" x14ac:dyDescent="0.2">
      <c r="A247" s="4">
        <v>44918</v>
      </c>
      <c r="B247" s="3">
        <v>91.89</v>
      </c>
      <c r="C247">
        <v>68.92</v>
      </c>
      <c r="D247">
        <v>15.68</v>
      </c>
      <c r="E247">
        <v>19.329999999999998</v>
      </c>
      <c r="F247">
        <v>18.510000000000002</v>
      </c>
      <c r="G247">
        <v>36.659999999999997</v>
      </c>
      <c r="H247">
        <v>14.36</v>
      </c>
      <c r="I247">
        <v>38.950000000000003</v>
      </c>
      <c r="J247">
        <v>58.11</v>
      </c>
      <c r="K247">
        <v>12.15</v>
      </c>
      <c r="L247">
        <v>12.36</v>
      </c>
      <c r="M247">
        <v>12.94</v>
      </c>
      <c r="N247">
        <v>6.36</v>
      </c>
      <c r="O247">
        <v>21.11</v>
      </c>
      <c r="P247">
        <v>14.1</v>
      </c>
      <c r="Q247">
        <v>44.7</v>
      </c>
      <c r="R247">
        <v>23.2</v>
      </c>
      <c r="S247">
        <v>26.97</v>
      </c>
      <c r="T247">
        <v>35.43</v>
      </c>
      <c r="U247">
        <v>51.25</v>
      </c>
      <c r="V247" s="6">
        <v>27.85</v>
      </c>
    </row>
    <row r="248" spans="1:22" x14ac:dyDescent="0.2">
      <c r="A248" s="4">
        <v>44921</v>
      </c>
      <c r="B248" s="3">
        <v>91.24</v>
      </c>
      <c r="C248">
        <v>69.56</v>
      </c>
      <c r="D248">
        <v>15.57</v>
      </c>
      <c r="E248">
        <v>18.95</v>
      </c>
      <c r="F248">
        <v>18.45</v>
      </c>
      <c r="G248">
        <v>36.369999999999997</v>
      </c>
      <c r="H248">
        <v>14.34</v>
      </c>
      <c r="I248">
        <v>38.65</v>
      </c>
      <c r="J248">
        <v>57.49</v>
      </c>
      <c r="K248">
        <v>11.86</v>
      </c>
      <c r="L248">
        <v>12.42</v>
      </c>
      <c r="M248">
        <v>12.85</v>
      </c>
      <c r="N248">
        <v>6.28</v>
      </c>
      <c r="O248">
        <v>21.04</v>
      </c>
      <c r="P248">
        <v>14.01</v>
      </c>
      <c r="Q248">
        <v>44.07</v>
      </c>
      <c r="R248">
        <v>22.43</v>
      </c>
      <c r="S248">
        <v>26.31</v>
      </c>
      <c r="T248">
        <v>35.380000000000003</v>
      </c>
      <c r="U248">
        <v>49.85</v>
      </c>
      <c r="V248" s="6">
        <v>28.46</v>
      </c>
    </row>
    <row r="249" spans="1:22" x14ac:dyDescent="0.2">
      <c r="A249" s="4">
        <v>44922</v>
      </c>
      <c r="B249" s="3">
        <v>90.89</v>
      </c>
      <c r="C249">
        <v>71.22</v>
      </c>
      <c r="D249">
        <v>15.67</v>
      </c>
      <c r="E249">
        <v>18.84</v>
      </c>
      <c r="F249">
        <v>18.579999999999998</v>
      </c>
      <c r="G249">
        <v>36.19</v>
      </c>
      <c r="H249">
        <v>13.86</v>
      </c>
      <c r="I249">
        <v>37.630000000000003</v>
      </c>
      <c r="J249">
        <v>56.48</v>
      </c>
      <c r="K249">
        <v>11.8</v>
      </c>
      <c r="L249">
        <v>11.99</v>
      </c>
      <c r="M249">
        <v>12.85</v>
      </c>
      <c r="N249">
        <v>6.21</v>
      </c>
      <c r="O249">
        <v>21.06</v>
      </c>
      <c r="P249">
        <v>13.95</v>
      </c>
      <c r="Q249">
        <v>45.33</v>
      </c>
      <c r="R249">
        <v>21.99</v>
      </c>
      <c r="S249">
        <v>26.37</v>
      </c>
      <c r="T249">
        <v>35.520000000000003</v>
      </c>
      <c r="U249">
        <v>47.99</v>
      </c>
      <c r="V249" s="6">
        <v>28.67</v>
      </c>
    </row>
    <row r="250" spans="1:22" x14ac:dyDescent="0.2">
      <c r="A250" s="4">
        <v>44923</v>
      </c>
      <c r="B250" s="3">
        <v>92.42</v>
      </c>
      <c r="C250">
        <v>71.06</v>
      </c>
      <c r="D250">
        <v>15.48</v>
      </c>
      <c r="E250">
        <v>19.22</v>
      </c>
      <c r="F250">
        <v>18.47</v>
      </c>
      <c r="G250">
        <v>36.85</v>
      </c>
      <c r="H250">
        <v>14.11</v>
      </c>
      <c r="I250">
        <v>38.340000000000003</v>
      </c>
      <c r="J250">
        <v>57.34</v>
      </c>
      <c r="K250">
        <v>12.16</v>
      </c>
      <c r="L250">
        <v>12.4</v>
      </c>
      <c r="M250">
        <v>12.87</v>
      </c>
      <c r="N250">
        <v>6.34</v>
      </c>
      <c r="O250">
        <v>21.64</v>
      </c>
      <c r="P250">
        <v>14.19</v>
      </c>
      <c r="Q250">
        <v>45.93</v>
      </c>
      <c r="R250">
        <v>23.03</v>
      </c>
      <c r="S250">
        <v>27.28</v>
      </c>
      <c r="T250">
        <v>37.19</v>
      </c>
      <c r="U250">
        <v>49.73</v>
      </c>
      <c r="V250" s="6">
        <v>28.84</v>
      </c>
    </row>
    <row r="251" spans="1:22" x14ac:dyDescent="0.2">
      <c r="A251" s="4">
        <v>44924</v>
      </c>
      <c r="B251" s="3">
        <v>91.85</v>
      </c>
      <c r="C251">
        <v>70.97</v>
      </c>
      <c r="D251">
        <v>15.29</v>
      </c>
      <c r="E251">
        <v>19.190000000000001</v>
      </c>
      <c r="F251">
        <v>18.18</v>
      </c>
      <c r="G251">
        <v>36.67</v>
      </c>
      <c r="H251">
        <v>14.13</v>
      </c>
      <c r="I251">
        <v>37.979999999999997</v>
      </c>
      <c r="J251">
        <v>57.16</v>
      </c>
      <c r="K251">
        <v>12.15</v>
      </c>
      <c r="L251">
        <v>12.23</v>
      </c>
      <c r="M251">
        <v>12.85</v>
      </c>
      <c r="N251">
        <v>6.31</v>
      </c>
      <c r="O251">
        <v>21.99</v>
      </c>
      <c r="P251">
        <v>14.3</v>
      </c>
      <c r="Q251">
        <v>46.03</v>
      </c>
      <c r="R251">
        <v>22.49</v>
      </c>
      <c r="S251">
        <v>27.02</v>
      </c>
      <c r="T251">
        <v>37.15</v>
      </c>
      <c r="U251">
        <v>48.73</v>
      </c>
      <c r="V251" s="6">
        <v>28.22</v>
      </c>
    </row>
    <row r="252" spans="1:22" x14ac:dyDescent="0.2">
      <c r="A252" s="4">
        <v>44928</v>
      </c>
      <c r="B252" s="3">
        <v>89</v>
      </c>
      <c r="C252">
        <v>71.38</v>
      </c>
      <c r="D252">
        <v>14.31</v>
      </c>
      <c r="E252">
        <v>18.809999999999999</v>
      </c>
      <c r="F252">
        <v>16.96</v>
      </c>
      <c r="G252">
        <v>36.28</v>
      </c>
      <c r="H252">
        <v>13.53</v>
      </c>
      <c r="I252">
        <v>36.6</v>
      </c>
      <c r="J252">
        <v>53.45</v>
      </c>
      <c r="K252">
        <v>11.83</v>
      </c>
      <c r="L252">
        <v>11.38</v>
      </c>
      <c r="M252">
        <v>12.56</v>
      </c>
      <c r="N252">
        <v>6.2</v>
      </c>
      <c r="O252">
        <v>21.45</v>
      </c>
      <c r="P252">
        <v>14.29</v>
      </c>
      <c r="Q252">
        <v>46.74</v>
      </c>
      <c r="R252">
        <v>21.21</v>
      </c>
      <c r="S252">
        <v>26.19</v>
      </c>
      <c r="T252">
        <v>36.700000000000003</v>
      </c>
      <c r="U252">
        <v>46.95</v>
      </c>
      <c r="V252" s="6">
        <v>25.83</v>
      </c>
    </row>
    <row r="253" spans="1:22" x14ac:dyDescent="0.2">
      <c r="A253" s="4">
        <v>44929</v>
      </c>
      <c r="B253" s="3">
        <v>87.3</v>
      </c>
      <c r="C253">
        <v>71.260000000000005</v>
      </c>
      <c r="D253">
        <v>13.94</v>
      </c>
      <c r="E253">
        <v>18.41</v>
      </c>
      <c r="F253">
        <v>16.72</v>
      </c>
      <c r="G253">
        <v>35.369999999999997</v>
      </c>
      <c r="H253">
        <v>13.28</v>
      </c>
      <c r="I253">
        <v>35.92</v>
      </c>
      <c r="J253">
        <v>52.94</v>
      </c>
      <c r="K253">
        <v>11.24</v>
      </c>
      <c r="L253">
        <v>11</v>
      </c>
      <c r="M253">
        <v>12.54</v>
      </c>
      <c r="N253">
        <v>6.04</v>
      </c>
      <c r="O253">
        <v>20.99</v>
      </c>
      <c r="P253">
        <v>14.56</v>
      </c>
      <c r="Q253">
        <v>47.57</v>
      </c>
      <c r="R253">
        <v>20.22</v>
      </c>
      <c r="S253">
        <v>25.55</v>
      </c>
      <c r="T253">
        <v>34.24</v>
      </c>
      <c r="U253">
        <v>45.79</v>
      </c>
      <c r="V253" s="6">
        <v>24.55</v>
      </c>
    </row>
    <row r="254" spans="1:22" x14ac:dyDescent="0.2">
      <c r="A254" s="4">
        <v>44930</v>
      </c>
      <c r="B254" s="3">
        <v>88.3</v>
      </c>
      <c r="C254">
        <v>71.38</v>
      </c>
      <c r="D254">
        <v>14.39</v>
      </c>
      <c r="E254">
        <v>18.47</v>
      </c>
      <c r="F254">
        <v>17</v>
      </c>
      <c r="G254">
        <v>35.61</v>
      </c>
      <c r="H254">
        <v>13.45</v>
      </c>
      <c r="I254">
        <v>36.880000000000003</v>
      </c>
      <c r="J254">
        <v>53.35</v>
      </c>
      <c r="K254">
        <v>11.28</v>
      </c>
      <c r="L254">
        <v>11.09</v>
      </c>
      <c r="M254">
        <v>12.61</v>
      </c>
      <c r="N254">
        <v>6.09</v>
      </c>
      <c r="O254">
        <v>21.3</v>
      </c>
      <c r="P254">
        <v>14.95</v>
      </c>
      <c r="Q254">
        <v>47.66</v>
      </c>
      <c r="R254">
        <v>20.57</v>
      </c>
      <c r="S254">
        <v>25.6</v>
      </c>
      <c r="T254">
        <v>34.04</v>
      </c>
      <c r="U254">
        <v>46.33</v>
      </c>
      <c r="V254" s="6">
        <v>24.94</v>
      </c>
    </row>
    <row r="255" spans="1:22" x14ac:dyDescent="0.2">
      <c r="A255" s="4">
        <v>44931</v>
      </c>
      <c r="B255" s="3">
        <v>90.15</v>
      </c>
      <c r="C255">
        <v>72.58</v>
      </c>
      <c r="D255">
        <v>14.91</v>
      </c>
      <c r="E255">
        <v>19.04</v>
      </c>
      <c r="F255">
        <v>17.55</v>
      </c>
      <c r="G255">
        <v>35.69</v>
      </c>
      <c r="H255">
        <v>14.07</v>
      </c>
      <c r="I255">
        <v>36.96</v>
      </c>
      <c r="J255">
        <v>54.68</v>
      </c>
      <c r="K255">
        <v>11.77</v>
      </c>
      <c r="L255">
        <v>11.43</v>
      </c>
      <c r="M255">
        <v>12.64</v>
      </c>
      <c r="N255">
        <v>6.18</v>
      </c>
      <c r="O255">
        <v>22.1</v>
      </c>
      <c r="P255">
        <v>14.78</v>
      </c>
      <c r="Q255">
        <v>47.96</v>
      </c>
      <c r="R255">
        <v>21.37</v>
      </c>
      <c r="S255">
        <v>25.68</v>
      </c>
      <c r="T255">
        <v>34.909999999999997</v>
      </c>
      <c r="U255">
        <v>46.72</v>
      </c>
      <c r="V255" s="6">
        <v>26.38</v>
      </c>
    </row>
    <row r="256" spans="1:22" x14ac:dyDescent="0.2">
      <c r="A256" s="4">
        <v>44932</v>
      </c>
      <c r="B256" s="3">
        <v>91</v>
      </c>
      <c r="C256">
        <v>73.73</v>
      </c>
      <c r="D256">
        <v>14.82</v>
      </c>
      <c r="E256">
        <v>19.37</v>
      </c>
      <c r="F256">
        <v>17.440000000000001</v>
      </c>
      <c r="G256">
        <v>36.21</v>
      </c>
      <c r="H256">
        <v>14.26</v>
      </c>
      <c r="I256">
        <v>36.97</v>
      </c>
      <c r="J256">
        <v>54.93</v>
      </c>
      <c r="K256">
        <v>12.09</v>
      </c>
      <c r="L256">
        <v>11.7</v>
      </c>
      <c r="M256">
        <v>12.67</v>
      </c>
      <c r="N256">
        <v>6.29</v>
      </c>
      <c r="O256">
        <v>22.21</v>
      </c>
      <c r="P256">
        <v>14.54</v>
      </c>
      <c r="Q256">
        <v>47.66</v>
      </c>
      <c r="R256">
        <v>21.64</v>
      </c>
      <c r="S256">
        <v>25.6</v>
      </c>
      <c r="T256">
        <v>35.119999999999997</v>
      </c>
      <c r="U256">
        <v>47.61</v>
      </c>
      <c r="V256" s="6">
        <v>26.65</v>
      </c>
    </row>
    <row r="257" spans="1:22" x14ac:dyDescent="0.2">
      <c r="A257" s="4">
        <v>44935</v>
      </c>
      <c r="B257" s="3">
        <v>91.86</v>
      </c>
      <c r="C257">
        <v>73.81</v>
      </c>
      <c r="D257">
        <v>14.9</v>
      </c>
      <c r="E257">
        <v>19.510000000000002</v>
      </c>
      <c r="F257">
        <v>17.559999999999999</v>
      </c>
      <c r="G257">
        <v>36.11</v>
      </c>
      <c r="H257">
        <v>14.12</v>
      </c>
      <c r="I257">
        <v>37.24</v>
      </c>
      <c r="J257">
        <v>55.03</v>
      </c>
      <c r="K257">
        <v>12.09</v>
      </c>
      <c r="L257">
        <v>11.54</v>
      </c>
      <c r="M257">
        <v>12.74</v>
      </c>
      <c r="N257">
        <v>6.33</v>
      </c>
      <c r="O257">
        <v>22.88</v>
      </c>
      <c r="P257">
        <v>14.79</v>
      </c>
      <c r="Q257">
        <v>48.29</v>
      </c>
      <c r="R257">
        <v>21.37</v>
      </c>
      <c r="S257">
        <v>25.95</v>
      </c>
      <c r="T257">
        <v>35.950000000000003</v>
      </c>
      <c r="U257">
        <v>47.55</v>
      </c>
      <c r="V257" s="6">
        <v>26.18</v>
      </c>
    </row>
    <row r="258" spans="1:22" x14ac:dyDescent="0.2">
      <c r="A258" s="4">
        <v>44936</v>
      </c>
      <c r="B258" s="3">
        <v>92.8</v>
      </c>
      <c r="C258">
        <v>74.72</v>
      </c>
      <c r="D258">
        <v>15.04</v>
      </c>
      <c r="E258">
        <v>19.89</v>
      </c>
      <c r="F258">
        <v>17.66</v>
      </c>
      <c r="G258">
        <v>35.76</v>
      </c>
      <c r="H258">
        <v>14.36</v>
      </c>
      <c r="I258">
        <v>36.880000000000003</v>
      </c>
      <c r="J258">
        <v>55.19</v>
      </c>
      <c r="K258">
        <v>12.54</v>
      </c>
      <c r="L258">
        <v>11.95</v>
      </c>
      <c r="M258">
        <v>12.87</v>
      </c>
      <c r="N258">
        <v>6.47</v>
      </c>
      <c r="O258">
        <v>22.65</v>
      </c>
      <c r="P258">
        <v>15.07</v>
      </c>
      <c r="Q258">
        <v>47.69</v>
      </c>
      <c r="R258">
        <v>22.34</v>
      </c>
      <c r="S258">
        <v>26.18</v>
      </c>
      <c r="T258">
        <v>36.15</v>
      </c>
      <c r="U258">
        <v>49.08</v>
      </c>
      <c r="V258" s="6">
        <v>25.85</v>
      </c>
    </row>
    <row r="259" spans="1:22" x14ac:dyDescent="0.2">
      <c r="A259" s="4">
        <v>44937</v>
      </c>
      <c r="B259" s="3">
        <v>93.69</v>
      </c>
      <c r="C259">
        <v>74.459999999999994</v>
      </c>
      <c r="D259">
        <v>15.16</v>
      </c>
      <c r="E259">
        <v>20.23</v>
      </c>
      <c r="F259">
        <v>17.89</v>
      </c>
      <c r="G259">
        <v>36.76</v>
      </c>
      <c r="H259">
        <v>14.57</v>
      </c>
      <c r="I259">
        <v>38.549999999999997</v>
      </c>
      <c r="J259">
        <v>55.83</v>
      </c>
      <c r="K259">
        <v>12.79</v>
      </c>
      <c r="L259">
        <v>12.5</v>
      </c>
      <c r="M259">
        <v>12.64</v>
      </c>
      <c r="N259">
        <v>6.52</v>
      </c>
      <c r="O259">
        <v>22.41</v>
      </c>
      <c r="P259">
        <v>15.57</v>
      </c>
      <c r="Q259">
        <v>47</v>
      </c>
      <c r="R259">
        <v>22.51</v>
      </c>
      <c r="S259">
        <v>27.36</v>
      </c>
      <c r="T259">
        <v>38.96</v>
      </c>
      <c r="U259">
        <v>50.4</v>
      </c>
      <c r="V259" s="6">
        <v>26.14</v>
      </c>
    </row>
    <row r="260" spans="1:22" x14ac:dyDescent="0.2">
      <c r="A260" s="4">
        <v>44938</v>
      </c>
      <c r="B260" s="3">
        <v>94.19</v>
      </c>
      <c r="C260">
        <v>74.849999999999994</v>
      </c>
      <c r="D260">
        <v>15.37</v>
      </c>
      <c r="E260">
        <v>19.95</v>
      </c>
      <c r="F260">
        <v>17.989999999999998</v>
      </c>
      <c r="G260">
        <v>36.67</v>
      </c>
      <c r="H260">
        <v>14.47</v>
      </c>
      <c r="I260">
        <v>38.21</v>
      </c>
      <c r="J260">
        <v>55.17</v>
      </c>
      <c r="K260">
        <v>12.49</v>
      </c>
      <c r="L260">
        <v>12.43</v>
      </c>
      <c r="M260">
        <v>12.48</v>
      </c>
      <c r="N260">
        <v>6.45</v>
      </c>
      <c r="O260">
        <v>22.03</v>
      </c>
      <c r="P260">
        <v>15.69</v>
      </c>
      <c r="Q260">
        <v>47.96</v>
      </c>
      <c r="R260">
        <v>21.62</v>
      </c>
      <c r="S260">
        <v>27.55</v>
      </c>
      <c r="T260">
        <v>39.69</v>
      </c>
      <c r="U260">
        <v>49.95</v>
      </c>
      <c r="V260" s="6">
        <v>25.61</v>
      </c>
    </row>
    <row r="261" spans="1:22" x14ac:dyDescent="0.2">
      <c r="A261" s="4">
        <v>44939</v>
      </c>
      <c r="B261" s="3">
        <v>93.14</v>
      </c>
      <c r="C261">
        <v>74.91</v>
      </c>
      <c r="D261">
        <v>15.34</v>
      </c>
      <c r="E261">
        <v>19.850000000000001</v>
      </c>
      <c r="F261">
        <v>17.95</v>
      </c>
      <c r="G261">
        <v>37.11</v>
      </c>
      <c r="H261">
        <v>14.51</v>
      </c>
      <c r="I261">
        <v>37.5</v>
      </c>
      <c r="J261">
        <v>54.7</v>
      </c>
      <c r="K261">
        <v>12.45</v>
      </c>
      <c r="L261">
        <v>12.23</v>
      </c>
      <c r="M261">
        <v>12.28</v>
      </c>
      <c r="N261">
        <v>6.4</v>
      </c>
      <c r="O261">
        <v>21.5</v>
      </c>
      <c r="P261">
        <v>15.73</v>
      </c>
      <c r="Q261">
        <v>48.12</v>
      </c>
      <c r="R261">
        <v>20.98</v>
      </c>
      <c r="S261">
        <v>27.08</v>
      </c>
      <c r="T261">
        <v>38.99</v>
      </c>
      <c r="U261">
        <v>49.2</v>
      </c>
      <c r="V261" s="6">
        <v>25.09</v>
      </c>
    </row>
    <row r="262" spans="1:22" x14ac:dyDescent="0.2">
      <c r="A262" s="4">
        <v>44942</v>
      </c>
      <c r="B262" s="3">
        <v>91.67</v>
      </c>
      <c r="C262">
        <v>73.66</v>
      </c>
      <c r="D262">
        <v>15.01</v>
      </c>
      <c r="E262">
        <v>19.64</v>
      </c>
      <c r="F262">
        <v>17.5</v>
      </c>
      <c r="G262">
        <v>35.89</v>
      </c>
      <c r="H262">
        <v>14.49</v>
      </c>
      <c r="I262">
        <v>36.81</v>
      </c>
      <c r="J262">
        <v>54.85</v>
      </c>
      <c r="K262">
        <v>12.07</v>
      </c>
      <c r="L262">
        <v>12.04</v>
      </c>
      <c r="M262">
        <v>11.68</v>
      </c>
      <c r="N262">
        <v>6.29</v>
      </c>
      <c r="O262">
        <v>21.37</v>
      </c>
      <c r="P262">
        <v>16.350000000000001</v>
      </c>
      <c r="Q262">
        <v>48.29</v>
      </c>
      <c r="R262">
        <v>20.28</v>
      </c>
      <c r="S262">
        <v>26.83</v>
      </c>
      <c r="T262">
        <v>39.01</v>
      </c>
      <c r="U262">
        <v>49.24</v>
      </c>
      <c r="V262" s="6">
        <v>24.93</v>
      </c>
    </row>
    <row r="263" spans="1:22" x14ac:dyDescent="0.2">
      <c r="A263" s="4">
        <v>44943</v>
      </c>
      <c r="B263" s="3">
        <v>92.89</v>
      </c>
      <c r="C263">
        <v>73.56</v>
      </c>
      <c r="D263">
        <v>15.93</v>
      </c>
      <c r="E263">
        <v>20.04</v>
      </c>
      <c r="F263">
        <v>18.73</v>
      </c>
      <c r="G263">
        <v>36.479999999999997</v>
      </c>
      <c r="H263">
        <v>15.34</v>
      </c>
      <c r="I263">
        <v>37.479999999999997</v>
      </c>
      <c r="J263">
        <v>55.35</v>
      </c>
      <c r="K263">
        <v>12.15</v>
      </c>
      <c r="L263">
        <v>12.09</v>
      </c>
      <c r="M263">
        <v>12.26</v>
      </c>
      <c r="N263">
        <v>6.38</v>
      </c>
      <c r="O263">
        <v>21.67</v>
      </c>
      <c r="P263">
        <v>16.34</v>
      </c>
      <c r="Q263">
        <v>48.88</v>
      </c>
      <c r="R263">
        <v>20.94</v>
      </c>
      <c r="S263">
        <v>26.82</v>
      </c>
      <c r="T263">
        <v>38.68</v>
      </c>
      <c r="U263">
        <v>50.92</v>
      </c>
      <c r="V263" s="6">
        <v>26.95</v>
      </c>
    </row>
    <row r="264" spans="1:22" x14ac:dyDescent="0.2">
      <c r="A264" s="4">
        <v>44944</v>
      </c>
      <c r="B264" s="3">
        <v>94.45</v>
      </c>
      <c r="C264">
        <v>74.53</v>
      </c>
      <c r="D264">
        <v>15.65</v>
      </c>
      <c r="E264">
        <v>20.399999999999999</v>
      </c>
      <c r="F264">
        <v>18.489999999999998</v>
      </c>
      <c r="G264">
        <v>36.17</v>
      </c>
      <c r="H264">
        <v>15.56</v>
      </c>
      <c r="I264">
        <v>37.61</v>
      </c>
      <c r="J264">
        <v>55.19</v>
      </c>
      <c r="K264">
        <v>12.33</v>
      </c>
      <c r="L264">
        <v>12.16</v>
      </c>
      <c r="M264">
        <v>12.19</v>
      </c>
      <c r="N264">
        <v>6.44</v>
      </c>
      <c r="O264">
        <v>21.56</v>
      </c>
      <c r="P264">
        <v>16.28</v>
      </c>
      <c r="Q264">
        <v>47.58</v>
      </c>
      <c r="R264">
        <v>21.4</v>
      </c>
      <c r="S264">
        <v>27.42</v>
      </c>
      <c r="T264">
        <v>38.909999999999997</v>
      </c>
      <c r="U264">
        <v>53.08</v>
      </c>
      <c r="V264" s="6">
        <v>26.52</v>
      </c>
    </row>
    <row r="265" spans="1:22" x14ac:dyDescent="0.2">
      <c r="A265" s="4">
        <v>44945</v>
      </c>
      <c r="B265" s="3">
        <v>94.5</v>
      </c>
      <c r="C265">
        <v>74.849999999999994</v>
      </c>
      <c r="D265">
        <v>16.12</v>
      </c>
      <c r="E265">
        <v>20.399999999999999</v>
      </c>
      <c r="F265">
        <v>19.12</v>
      </c>
      <c r="G265">
        <v>36.1</v>
      </c>
      <c r="H265">
        <v>15.91</v>
      </c>
      <c r="I265">
        <v>37.61</v>
      </c>
      <c r="J265">
        <v>55.34</v>
      </c>
      <c r="K265">
        <v>12.36</v>
      </c>
      <c r="L265">
        <v>12.05</v>
      </c>
      <c r="M265">
        <v>12.07</v>
      </c>
      <c r="N265">
        <v>6.44</v>
      </c>
      <c r="O265">
        <v>21.7</v>
      </c>
      <c r="P265">
        <v>16.350000000000001</v>
      </c>
      <c r="Q265">
        <v>47.08</v>
      </c>
      <c r="R265">
        <v>20.81</v>
      </c>
      <c r="S265">
        <v>27.39</v>
      </c>
      <c r="T265">
        <v>40.46</v>
      </c>
      <c r="U265">
        <v>52.13</v>
      </c>
      <c r="V265" s="6">
        <v>28.16</v>
      </c>
    </row>
    <row r="266" spans="1:22" x14ac:dyDescent="0.2">
      <c r="A266" s="4">
        <v>44946</v>
      </c>
      <c r="B266" s="3">
        <v>93.82</v>
      </c>
      <c r="C266">
        <v>75.05</v>
      </c>
      <c r="D266">
        <v>16.46</v>
      </c>
      <c r="E266">
        <v>20.04</v>
      </c>
      <c r="F266">
        <v>19.34</v>
      </c>
      <c r="G266">
        <v>35.549999999999997</v>
      </c>
      <c r="H266">
        <v>16.309999999999999</v>
      </c>
      <c r="I266">
        <v>36.96</v>
      </c>
      <c r="J266">
        <v>53.6</v>
      </c>
      <c r="K266">
        <v>12.18</v>
      </c>
      <c r="L266">
        <v>11.87</v>
      </c>
      <c r="M266">
        <v>11.97</v>
      </c>
      <c r="N266">
        <v>6.36</v>
      </c>
      <c r="O266">
        <v>21.6</v>
      </c>
      <c r="P266">
        <v>16.2</v>
      </c>
      <c r="Q266">
        <v>44.98</v>
      </c>
      <c r="R266">
        <v>20.13</v>
      </c>
      <c r="S266">
        <v>26.99</v>
      </c>
      <c r="T266">
        <v>41.03</v>
      </c>
      <c r="U266">
        <v>50.56</v>
      </c>
      <c r="V266" s="6">
        <v>26.93</v>
      </c>
    </row>
    <row r="267" spans="1:22" x14ac:dyDescent="0.2">
      <c r="A267" s="4">
        <v>44949</v>
      </c>
      <c r="B267" s="3">
        <v>94.5</v>
      </c>
      <c r="C267">
        <v>75.3</v>
      </c>
      <c r="D267">
        <v>16.72</v>
      </c>
      <c r="E267">
        <v>19.43</v>
      </c>
      <c r="F267">
        <v>19.78</v>
      </c>
      <c r="G267">
        <v>35.58</v>
      </c>
      <c r="H267">
        <v>16.18</v>
      </c>
      <c r="I267">
        <v>36.869999999999997</v>
      </c>
      <c r="J267">
        <v>52.39</v>
      </c>
      <c r="K267">
        <v>11.67</v>
      </c>
      <c r="L267">
        <v>11.76</v>
      </c>
      <c r="M267">
        <v>11.87</v>
      </c>
      <c r="N267">
        <v>6.23</v>
      </c>
      <c r="O267">
        <v>21.78</v>
      </c>
      <c r="P267">
        <v>16.3</v>
      </c>
      <c r="Q267">
        <v>44.83</v>
      </c>
      <c r="R267">
        <v>19.75</v>
      </c>
      <c r="S267">
        <v>26.99</v>
      </c>
      <c r="T267">
        <v>41.49</v>
      </c>
      <c r="U267">
        <v>51.6</v>
      </c>
      <c r="V267" s="6">
        <v>27.04</v>
      </c>
    </row>
    <row r="268" spans="1:22" x14ac:dyDescent="0.2">
      <c r="A268" s="4">
        <v>44950</v>
      </c>
      <c r="B268" s="3">
        <v>95.7</v>
      </c>
      <c r="C268">
        <v>76.09</v>
      </c>
      <c r="D268">
        <v>16.600000000000001</v>
      </c>
      <c r="E268">
        <v>19.61</v>
      </c>
      <c r="F268">
        <v>19.63</v>
      </c>
      <c r="G268">
        <v>35.43</v>
      </c>
      <c r="H268">
        <v>16.100000000000001</v>
      </c>
      <c r="I268">
        <v>37.549999999999997</v>
      </c>
      <c r="J268">
        <v>53.83</v>
      </c>
      <c r="K268">
        <v>11.79</v>
      </c>
      <c r="L268">
        <v>11.93</v>
      </c>
      <c r="M268">
        <v>12.04</v>
      </c>
      <c r="N268">
        <v>6.35</v>
      </c>
      <c r="O268">
        <v>22.1</v>
      </c>
      <c r="P268">
        <v>16.77</v>
      </c>
      <c r="Q268">
        <v>45.34</v>
      </c>
      <c r="R268">
        <v>19.98</v>
      </c>
      <c r="S268">
        <v>27.23</v>
      </c>
      <c r="T268">
        <v>40.96</v>
      </c>
      <c r="U268">
        <v>53.34</v>
      </c>
      <c r="V268" s="6">
        <v>27.48</v>
      </c>
    </row>
    <row r="269" spans="1:22" x14ac:dyDescent="0.2">
      <c r="A269" s="4">
        <v>44951</v>
      </c>
      <c r="B269" s="3">
        <v>95.7</v>
      </c>
      <c r="C269">
        <v>76.81</v>
      </c>
      <c r="D269">
        <v>16.82</v>
      </c>
      <c r="E269">
        <v>19.670000000000002</v>
      </c>
      <c r="F269">
        <v>19.72</v>
      </c>
      <c r="G269">
        <v>36.869999999999997</v>
      </c>
      <c r="H269">
        <v>16.54</v>
      </c>
      <c r="I269">
        <v>38.49</v>
      </c>
      <c r="J269">
        <v>54.54</v>
      </c>
      <c r="K269">
        <v>11.71</v>
      </c>
      <c r="L269">
        <v>12.18</v>
      </c>
      <c r="M269">
        <v>12.13</v>
      </c>
      <c r="N269">
        <v>6.36</v>
      </c>
      <c r="O269">
        <v>22.07</v>
      </c>
      <c r="P269">
        <v>16.77</v>
      </c>
      <c r="Q269">
        <v>44.63</v>
      </c>
      <c r="R269">
        <v>20.37</v>
      </c>
      <c r="S269">
        <v>27.87</v>
      </c>
      <c r="T269">
        <v>41.85</v>
      </c>
      <c r="U269">
        <v>54.22</v>
      </c>
      <c r="V269" s="6">
        <v>28.24</v>
      </c>
    </row>
    <row r="270" spans="1:22" x14ac:dyDescent="0.2">
      <c r="A270" s="4">
        <v>44952</v>
      </c>
      <c r="B270" s="3">
        <v>94.33</v>
      </c>
      <c r="C270">
        <v>78.25</v>
      </c>
      <c r="D270">
        <v>16.350000000000001</v>
      </c>
      <c r="E270">
        <v>19.559999999999999</v>
      </c>
      <c r="F270">
        <v>19.170000000000002</v>
      </c>
      <c r="G270">
        <v>36.380000000000003</v>
      </c>
      <c r="H270">
        <v>16.53</v>
      </c>
      <c r="I270">
        <v>38.49</v>
      </c>
      <c r="J270">
        <v>54.06</v>
      </c>
      <c r="K270">
        <v>11.74</v>
      </c>
      <c r="L270">
        <v>12.19</v>
      </c>
      <c r="M270">
        <v>12.16</v>
      </c>
      <c r="N270">
        <v>6.39</v>
      </c>
      <c r="O270">
        <v>21.92</v>
      </c>
      <c r="P270">
        <v>16.66</v>
      </c>
      <c r="Q270">
        <v>43.32</v>
      </c>
      <c r="R270">
        <v>20.45</v>
      </c>
      <c r="S270">
        <v>27.98</v>
      </c>
      <c r="T270">
        <v>42.27</v>
      </c>
      <c r="U270">
        <v>54.31</v>
      </c>
      <c r="V270" s="6">
        <v>28.32</v>
      </c>
    </row>
    <row r="271" spans="1:22" x14ac:dyDescent="0.2">
      <c r="A271" s="4">
        <v>44953</v>
      </c>
      <c r="B271" s="3">
        <v>94.17</v>
      </c>
      <c r="C271">
        <v>76.11</v>
      </c>
      <c r="D271">
        <v>15.99</v>
      </c>
      <c r="E271">
        <v>19.14</v>
      </c>
      <c r="F271">
        <v>18.73</v>
      </c>
      <c r="G271">
        <v>36.1</v>
      </c>
      <c r="H271">
        <v>16.350000000000001</v>
      </c>
      <c r="I271">
        <v>37.24</v>
      </c>
      <c r="J271">
        <v>53.6</v>
      </c>
      <c r="K271">
        <v>11.39</v>
      </c>
      <c r="L271">
        <v>11.81</v>
      </c>
      <c r="M271">
        <v>12.08</v>
      </c>
      <c r="N271">
        <v>6.24</v>
      </c>
      <c r="O271">
        <v>21.43</v>
      </c>
      <c r="P271">
        <v>16.34</v>
      </c>
      <c r="Q271">
        <v>43.02</v>
      </c>
      <c r="R271">
        <v>19.989999999999998</v>
      </c>
      <c r="S271">
        <v>27.79</v>
      </c>
      <c r="T271">
        <v>41.72</v>
      </c>
      <c r="U271">
        <v>53.9</v>
      </c>
      <c r="V271" s="6">
        <v>28.97</v>
      </c>
    </row>
    <row r="272" spans="1:22" x14ac:dyDescent="0.2">
      <c r="A272" s="4">
        <v>44956</v>
      </c>
      <c r="B272" s="3">
        <v>95.41</v>
      </c>
      <c r="C272">
        <v>75.84</v>
      </c>
      <c r="D272">
        <v>16.07</v>
      </c>
      <c r="E272">
        <v>19.149999999999999</v>
      </c>
      <c r="F272">
        <v>18.79</v>
      </c>
      <c r="G272">
        <v>35.57</v>
      </c>
      <c r="H272">
        <v>16.61</v>
      </c>
      <c r="I272">
        <v>36.700000000000003</v>
      </c>
      <c r="J272">
        <v>54.06</v>
      </c>
      <c r="K272">
        <v>11.45</v>
      </c>
      <c r="L272">
        <v>11.96</v>
      </c>
      <c r="M272">
        <v>11.97</v>
      </c>
      <c r="N272">
        <v>6.3</v>
      </c>
      <c r="O272">
        <v>20.91</v>
      </c>
      <c r="P272">
        <v>16.32</v>
      </c>
      <c r="Q272">
        <v>44.16</v>
      </c>
      <c r="R272">
        <v>20.02</v>
      </c>
      <c r="S272">
        <v>27.5</v>
      </c>
      <c r="T272">
        <v>41.43</v>
      </c>
      <c r="U272">
        <v>53.59</v>
      </c>
      <c r="V272" s="6">
        <v>28.99</v>
      </c>
    </row>
    <row r="273" spans="1:22" x14ac:dyDescent="0.2">
      <c r="A273" s="4">
        <v>44957</v>
      </c>
      <c r="B273" s="3">
        <v>94.05</v>
      </c>
      <c r="C273">
        <v>75.459999999999994</v>
      </c>
      <c r="D273">
        <v>16.27</v>
      </c>
      <c r="E273">
        <v>19.45</v>
      </c>
      <c r="F273">
        <v>19.100000000000001</v>
      </c>
      <c r="G273">
        <v>36.409999999999997</v>
      </c>
      <c r="H273">
        <v>16.559999999999999</v>
      </c>
      <c r="I273">
        <v>36.659999999999997</v>
      </c>
      <c r="J273">
        <v>55.66</v>
      </c>
      <c r="K273">
        <v>11.64</v>
      </c>
      <c r="L273">
        <v>12.04</v>
      </c>
      <c r="M273">
        <v>12.09</v>
      </c>
      <c r="N273">
        <v>6.32</v>
      </c>
      <c r="O273">
        <v>20.079999999999998</v>
      </c>
      <c r="P273">
        <v>16.329999999999998</v>
      </c>
      <c r="Q273">
        <v>44.24</v>
      </c>
      <c r="R273">
        <v>20.43</v>
      </c>
      <c r="S273">
        <v>28.02</v>
      </c>
      <c r="T273">
        <v>42.03</v>
      </c>
      <c r="U273">
        <v>54.24</v>
      </c>
      <c r="V273" s="6">
        <v>30.43</v>
      </c>
    </row>
    <row r="274" spans="1:22" x14ac:dyDescent="0.2">
      <c r="A274" s="4">
        <v>44958</v>
      </c>
      <c r="B274" s="3">
        <v>92.41</v>
      </c>
      <c r="C274">
        <v>74.63</v>
      </c>
      <c r="D274">
        <v>16.05</v>
      </c>
      <c r="E274">
        <v>19.190000000000001</v>
      </c>
      <c r="F274">
        <v>18.72</v>
      </c>
      <c r="G274">
        <v>36.56</v>
      </c>
      <c r="H274">
        <v>16.36</v>
      </c>
      <c r="I274">
        <v>35.909999999999997</v>
      </c>
      <c r="J274">
        <v>55.6</v>
      </c>
      <c r="K274">
        <v>11.42</v>
      </c>
      <c r="L274">
        <v>12</v>
      </c>
      <c r="M274">
        <v>11.66</v>
      </c>
      <c r="N274">
        <v>6.14</v>
      </c>
      <c r="O274">
        <v>20.11</v>
      </c>
      <c r="P274">
        <v>16.3</v>
      </c>
      <c r="Q274">
        <v>44.61</v>
      </c>
      <c r="R274">
        <v>20.059999999999999</v>
      </c>
      <c r="S274">
        <v>28</v>
      </c>
      <c r="T274">
        <v>41.03</v>
      </c>
      <c r="U274">
        <v>53.62</v>
      </c>
      <c r="V274" s="6">
        <v>30.43</v>
      </c>
    </row>
    <row r="275" spans="1:22" x14ac:dyDescent="0.2">
      <c r="A275" s="4">
        <v>44959</v>
      </c>
      <c r="B275" s="3">
        <v>90.98</v>
      </c>
      <c r="C275">
        <v>71.180000000000007</v>
      </c>
      <c r="D275">
        <v>15.31</v>
      </c>
      <c r="E275">
        <v>19.37</v>
      </c>
      <c r="F275">
        <v>17.829999999999998</v>
      </c>
      <c r="G275">
        <v>36.22</v>
      </c>
      <c r="H275">
        <v>16.05</v>
      </c>
      <c r="I275">
        <v>35.17</v>
      </c>
      <c r="J275">
        <v>55.71</v>
      </c>
      <c r="K275">
        <v>11.59</v>
      </c>
      <c r="L275">
        <v>12.08</v>
      </c>
      <c r="M275">
        <v>11.6</v>
      </c>
      <c r="N275">
        <v>6.17</v>
      </c>
      <c r="O275">
        <v>19.850000000000001</v>
      </c>
      <c r="P275">
        <v>16.5</v>
      </c>
      <c r="Q275">
        <v>42.96</v>
      </c>
      <c r="R275">
        <v>19.41</v>
      </c>
      <c r="S275">
        <v>28.06</v>
      </c>
      <c r="T275">
        <v>39.99</v>
      </c>
      <c r="U275">
        <v>55.1</v>
      </c>
      <c r="V275" s="6">
        <v>29.56</v>
      </c>
    </row>
    <row r="276" spans="1:22" x14ac:dyDescent="0.2">
      <c r="A276" s="4">
        <v>44960</v>
      </c>
      <c r="B276" s="3">
        <v>90.98</v>
      </c>
      <c r="C276">
        <v>71.02</v>
      </c>
      <c r="D276">
        <v>15.47</v>
      </c>
      <c r="E276">
        <v>19.3</v>
      </c>
      <c r="F276">
        <v>18.05</v>
      </c>
      <c r="G276">
        <v>36.1</v>
      </c>
      <c r="H276">
        <v>15.95</v>
      </c>
      <c r="I276">
        <v>34.270000000000003</v>
      </c>
      <c r="J276">
        <v>53.5</v>
      </c>
      <c r="K276">
        <v>11.33</v>
      </c>
      <c r="L276">
        <v>11.25</v>
      </c>
      <c r="M276">
        <v>11.48</v>
      </c>
      <c r="N276">
        <v>6.11</v>
      </c>
      <c r="O276">
        <v>19.690000000000001</v>
      </c>
      <c r="P276">
        <v>16.45</v>
      </c>
      <c r="Q276">
        <v>44.19</v>
      </c>
      <c r="R276">
        <v>19.03</v>
      </c>
      <c r="S276">
        <v>27.19</v>
      </c>
      <c r="T276">
        <v>40.11</v>
      </c>
      <c r="U276">
        <v>53.07</v>
      </c>
      <c r="V276" s="6">
        <v>28.2</v>
      </c>
    </row>
    <row r="277" spans="1:22" x14ac:dyDescent="0.2">
      <c r="A277" s="4">
        <v>44963</v>
      </c>
      <c r="B277" s="3">
        <v>90.41</v>
      </c>
      <c r="C277">
        <v>70.14</v>
      </c>
      <c r="D277">
        <v>16.09</v>
      </c>
      <c r="E277">
        <v>19.309999999999999</v>
      </c>
      <c r="F277">
        <v>18.7</v>
      </c>
      <c r="G277">
        <v>35.770000000000003</v>
      </c>
      <c r="H277">
        <v>16.04</v>
      </c>
      <c r="I277">
        <v>34.46</v>
      </c>
      <c r="J277">
        <v>53.52</v>
      </c>
      <c r="K277">
        <v>11.29</v>
      </c>
      <c r="L277">
        <v>11.25</v>
      </c>
      <c r="M277">
        <v>11.52</v>
      </c>
      <c r="N277">
        <v>6.12</v>
      </c>
      <c r="O277">
        <v>19.12</v>
      </c>
      <c r="P277">
        <v>16.440000000000001</v>
      </c>
      <c r="Q277">
        <v>43.86</v>
      </c>
      <c r="R277">
        <v>19.04</v>
      </c>
      <c r="S277">
        <v>26.93</v>
      </c>
      <c r="T277">
        <v>41.13</v>
      </c>
      <c r="U277">
        <v>52.96</v>
      </c>
      <c r="V277" s="6">
        <v>27.97</v>
      </c>
    </row>
    <row r="278" spans="1:22" x14ac:dyDescent="0.2">
      <c r="A278" s="4">
        <v>44964</v>
      </c>
      <c r="B278" s="3">
        <v>92.12</v>
      </c>
      <c r="C278">
        <v>70.599999999999994</v>
      </c>
      <c r="D278">
        <v>15.99</v>
      </c>
      <c r="E278">
        <v>18.86</v>
      </c>
      <c r="F278">
        <v>18.600000000000001</v>
      </c>
      <c r="G278">
        <v>35.869999999999997</v>
      </c>
      <c r="H278">
        <v>15.82</v>
      </c>
      <c r="I278">
        <v>33.25</v>
      </c>
      <c r="J278">
        <v>51.67</v>
      </c>
      <c r="K278">
        <v>11.22</v>
      </c>
      <c r="L278">
        <v>11.05</v>
      </c>
      <c r="M278">
        <v>11.47</v>
      </c>
      <c r="N278">
        <v>6.05</v>
      </c>
      <c r="O278">
        <v>18.79</v>
      </c>
      <c r="P278">
        <v>16.95</v>
      </c>
      <c r="Q278">
        <v>43.95</v>
      </c>
      <c r="R278">
        <v>19</v>
      </c>
      <c r="S278">
        <v>26.45</v>
      </c>
      <c r="T278">
        <v>41.56</v>
      </c>
      <c r="U278">
        <v>52.48</v>
      </c>
      <c r="V278" s="6">
        <v>27.42</v>
      </c>
    </row>
    <row r="279" spans="1:22" x14ac:dyDescent="0.2">
      <c r="A279" s="4">
        <v>44965</v>
      </c>
      <c r="B279" s="3">
        <v>90.42</v>
      </c>
      <c r="C279">
        <v>70.84</v>
      </c>
      <c r="D279">
        <v>16.260000000000002</v>
      </c>
      <c r="E279">
        <v>20.420000000000002</v>
      </c>
      <c r="F279">
        <v>18.98</v>
      </c>
      <c r="G279">
        <v>35.86</v>
      </c>
      <c r="H279">
        <v>16.2</v>
      </c>
      <c r="I279">
        <v>33.619999999999997</v>
      </c>
      <c r="J279">
        <v>52.55</v>
      </c>
      <c r="K279">
        <v>11.77</v>
      </c>
      <c r="L279">
        <v>11.26</v>
      </c>
      <c r="M279">
        <v>11.67</v>
      </c>
      <c r="N279">
        <v>6.56</v>
      </c>
      <c r="O279">
        <v>18.82</v>
      </c>
      <c r="P279">
        <v>16.62</v>
      </c>
      <c r="Q279">
        <v>43.85</v>
      </c>
      <c r="R279">
        <v>19.98</v>
      </c>
      <c r="S279">
        <v>26.96</v>
      </c>
      <c r="T279">
        <v>42.48</v>
      </c>
      <c r="U279">
        <v>53.63</v>
      </c>
      <c r="V279" s="6">
        <v>27.31</v>
      </c>
    </row>
    <row r="280" spans="1:22" x14ac:dyDescent="0.2">
      <c r="A280" s="4">
        <v>44966</v>
      </c>
      <c r="B280" s="3">
        <v>90.71</v>
      </c>
      <c r="C280">
        <v>70.58</v>
      </c>
      <c r="D280">
        <v>16.190000000000001</v>
      </c>
      <c r="E280">
        <v>19.920000000000002</v>
      </c>
      <c r="F280">
        <v>18.98</v>
      </c>
      <c r="G280">
        <v>36.17</v>
      </c>
      <c r="H280">
        <v>16.11</v>
      </c>
      <c r="I280">
        <v>32.880000000000003</v>
      </c>
      <c r="J280">
        <v>52.08</v>
      </c>
      <c r="K280">
        <v>11.47</v>
      </c>
      <c r="L280">
        <v>10.83</v>
      </c>
      <c r="M280">
        <v>11.52</v>
      </c>
      <c r="N280">
        <v>6.39</v>
      </c>
      <c r="O280">
        <v>18.600000000000001</v>
      </c>
      <c r="P280">
        <v>16.23</v>
      </c>
      <c r="Q280">
        <v>44.18</v>
      </c>
      <c r="R280">
        <v>19.54</v>
      </c>
      <c r="S280">
        <v>26.22</v>
      </c>
      <c r="T280">
        <v>41.89</v>
      </c>
      <c r="U280">
        <v>51.91</v>
      </c>
      <c r="V280" s="6">
        <v>26.81</v>
      </c>
    </row>
    <row r="281" spans="1:22" x14ac:dyDescent="0.2">
      <c r="A281" s="4">
        <v>44967</v>
      </c>
      <c r="B281" s="3">
        <v>91.21</v>
      </c>
      <c r="C281">
        <v>69.31</v>
      </c>
      <c r="D281">
        <v>16.68</v>
      </c>
      <c r="E281">
        <v>19.82</v>
      </c>
      <c r="F281">
        <v>19.5</v>
      </c>
      <c r="G281">
        <v>36.76</v>
      </c>
      <c r="H281">
        <v>16.43</v>
      </c>
      <c r="I281">
        <v>33.39</v>
      </c>
      <c r="J281">
        <v>53</v>
      </c>
      <c r="K281">
        <v>10.53</v>
      </c>
      <c r="L281">
        <v>10.97</v>
      </c>
      <c r="M281">
        <v>11.38</v>
      </c>
      <c r="N281">
        <v>6.32</v>
      </c>
      <c r="O281">
        <v>18.84</v>
      </c>
      <c r="P281">
        <v>16.100000000000001</v>
      </c>
      <c r="Q281">
        <v>44.28</v>
      </c>
      <c r="R281">
        <v>19.61</v>
      </c>
      <c r="S281">
        <v>26.75</v>
      </c>
      <c r="T281">
        <v>42.68</v>
      </c>
      <c r="U281">
        <v>52.04</v>
      </c>
      <c r="V281" s="6">
        <v>27.05</v>
      </c>
    </row>
    <row r="282" spans="1:22" x14ac:dyDescent="0.2">
      <c r="A282" s="4">
        <v>44970</v>
      </c>
      <c r="B282" s="3">
        <v>90.16</v>
      </c>
      <c r="C282">
        <v>69.239999999999995</v>
      </c>
      <c r="D282">
        <v>16.73</v>
      </c>
      <c r="E282">
        <v>20.52</v>
      </c>
      <c r="F282">
        <v>19.600000000000001</v>
      </c>
      <c r="G282">
        <v>36.74</v>
      </c>
      <c r="H282">
        <v>16.52</v>
      </c>
      <c r="I282">
        <v>33.04</v>
      </c>
      <c r="J282">
        <v>53.5</v>
      </c>
      <c r="K282">
        <v>10.91</v>
      </c>
      <c r="L282">
        <v>11.08</v>
      </c>
      <c r="M282">
        <v>11.62</v>
      </c>
      <c r="N282">
        <v>6.48</v>
      </c>
      <c r="O282">
        <v>19.39</v>
      </c>
      <c r="P282">
        <v>15.98</v>
      </c>
      <c r="Q282">
        <v>44.57</v>
      </c>
      <c r="R282">
        <v>20.09</v>
      </c>
      <c r="S282">
        <v>26.61</v>
      </c>
      <c r="T282">
        <v>41.97</v>
      </c>
      <c r="U282">
        <v>51.85</v>
      </c>
      <c r="V282" s="6">
        <v>26.9</v>
      </c>
    </row>
    <row r="283" spans="1:22" x14ac:dyDescent="0.2">
      <c r="A283" s="4">
        <v>44971</v>
      </c>
      <c r="B283" s="3">
        <v>91.7</v>
      </c>
      <c r="C283">
        <v>69.55</v>
      </c>
      <c r="D283">
        <v>16.670000000000002</v>
      </c>
      <c r="E283">
        <v>20.27</v>
      </c>
      <c r="F283">
        <v>19.48</v>
      </c>
      <c r="G283">
        <v>36.53</v>
      </c>
      <c r="H283">
        <v>16.91</v>
      </c>
      <c r="I283">
        <v>31.82</v>
      </c>
      <c r="J283">
        <v>54.5</v>
      </c>
      <c r="K283">
        <v>11.01</v>
      </c>
      <c r="L283">
        <v>10.63</v>
      </c>
      <c r="M283">
        <v>11.5</v>
      </c>
      <c r="N283">
        <v>6.44</v>
      </c>
      <c r="O283">
        <v>19.18</v>
      </c>
      <c r="P283">
        <v>16.22</v>
      </c>
      <c r="Q283">
        <v>44.8</v>
      </c>
      <c r="R283">
        <v>19.55</v>
      </c>
      <c r="S283">
        <v>26.35</v>
      </c>
      <c r="T283">
        <v>40.79</v>
      </c>
      <c r="U283">
        <v>50.8</v>
      </c>
      <c r="V283" s="6">
        <v>25.91</v>
      </c>
    </row>
    <row r="284" spans="1:22" x14ac:dyDescent="0.2">
      <c r="A284" s="4">
        <v>44972</v>
      </c>
      <c r="B284" s="3">
        <v>92.34</v>
      </c>
      <c r="C284">
        <v>71.06</v>
      </c>
      <c r="D284">
        <v>16.690000000000001</v>
      </c>
      <c r="E284">
        <v>20.57</v>
      </c>
      <c r="F284">
        <v>19.559999999999999</v>
      </c>
      <c r="G284">
        <v>37.020000000000003</v>
      </c>
      <c r="H284">
        <v>17.059999999999999</v>
      </c>
      <c r="I284">
        <v>32.33</v>
      </c>
      <c r="J284">
        <v>54.4</v>
      </c>
      <c r="K284">
        <v>11.44</v>
      </c>
      <c r="L284">
        <v>10.77</v>
      </c>
      <c r="M284">
        <v>11.71</v>
      </c>
      <c r="N284">
        <v>6.48</v>
      </c>
      <c r="O284">
        <v>19.649999999999999</v>
      </c>
      <c r="P284">
        <v>16.399999999999999</v>
      </c>
      <c r="Q284">
        <v>45.98</v>
      </c>
      <c r="R284">
        <v>20.22</v>
      </c>
      <c r="S284">
        <v>26.6</v>
      </c>
      <c r="T284">
        <v>40.83</v>
      </c>
      <c r="U284">
        <v>51.87</v>
      </c>
      <c r="V284" s="6">
        <v>26.94</v>
      </c>
    </row>
    <row r="285" spans="1:22" x14ac:dyDescent="0.2">
      <c r="A285" s="4">
        <v>44973</v>
      </c>
      <c r="B285" s="3">
        <v>91.69</v>
      </c>
      <c r="C285">
        <v>71.22</v>
      </c>
      <c r="D285">
        <v>16.760000000000002</v>
      </c>
      <c r="E285">
        <v>20.72</v>
      </c>
      <c r="F285">
        <v>19.54</v>
      </c>
      <c r="G285">
        <v>36.93</v>
      </c>
      <c r="H285">
        <v>17.25</v>
      </c>
      <c r="I285">
        <v>32.44</v>
      </c>
      <c r="J285">
        <v>55.04</v>
      </c>
      <c r="K285">
        <v>11.66</v>
      </c>
      <c r="L285">
        <v>10.57</v>
      </c>
      <c r="M285">
        <v>11.57</v>
      </c>
      <c r="N285">
        <v>6.5</v>
      </c>
      <c r="O285">
        <v>19.010000000000002</v>
      </c>
      <c r="P285">
        <v>16.22</v>
      </c>
      <c r="Q285">
        <v>45.57</v>
      </c>
      <c r="R285">
        <v>20.21</v>
      </c>
      <c r="S285">
        <v>26.48</v>
      </c>
      <c r="T285">
        <v>40.19</v>
      </c>
      <c r="U285">
        <v>53.21</v>
      </c>
      <c r="V285" s="6">
        <v>27.73</v>
      </c>
    </row>
    <row r="286" spans="1:22" x14ac:dyDescent="0.2">
      <c r="A286" s="4">
        <v>44974</v>
      </c>
      <c r="B286" s="3">
        <v>89.74</v>
      </c>
      <c r="C286">
        <v>70.290000000000006</v>
      </c>
      <c r="D286">
        <v>16.5</v>
      </c>
      <c r="E286">
        <v>20.65</v>
      </c>
      <c r="F286">
        <v>19.25</v>
      </c>
      <c r="G286">
        <v>37.729999999999997</v>
      </c>
      <c r="H286">
        <v>17.420000000000002</v>
      </c>
      <c r="I286">
        <v>32.369999999999997</v>
      </c>
      <c r="J286">
        <v>55.05</v>
      </c>
      <c r="K286">
        <v>11.59</v>
      </c>
      <c r="L286">
        <v>10.25</v>
      </c>
      <c r="M286">
        <v>11.68</v>
      </c>
      <c r="N286">
        <v>6.48</v>
      </c>
      <c r="O286">
        <v>18.72</v>
      </c>
      <c r="P286">
        <v>16.54</v>
      </c>
      <c r="Q286">
        <v>44.81</v>
      </c>
      <c r="R286">
        <v>19.66</v>
      </c>
      <c r="S286">
        <v>26.45</v>
      </c>
      <c r="T286">
        <v>38.15</v>
      </c>
      <c r="U286">
        <v>52.85</v>
      </c>
      <c r="V286" s="6">
        <v>27.67</v>
      </c>
    </row>
    <row r="287" spans="1:22" x14ac:dyDescent="0.2">
      <c r="A287" s="4">
        <v>44979</v>
      </c>
      <c r="B287" s="3">
        <v>90.01</v>
      </c>
      <c r="C287">
        <v>69.75</v>
      </c>
      <c r="D287">
        <v>16.079999999999998</v>
      </c>
      <c r="E287">
        <v>20.27</v>
      </c>
      <c r="F287">
        <v>18.77</v>
      </c>
      <c r="G287">
        <v>36.78</v>
      </c>
      <c r="H287">
        <v>16.989999999999998</v>
      </c>
      <c r="I287">
        <v>31.36</v>
      </c>
      <c r="J287">
        <v>53.38</v>
      </c>
      <c r="K287">
        <v>11.47</v>
      </c>
      <c r="L287">
        <v>10.08</v>
      </c>
      <c r="M287">
        <v>11.69</v>
      </c>
      <c r="N287">
        <v>6.35</v>
      </c>
      <c r="O287">
        <v>17.91</v>
      </c>
      <c r="P287">
        <v>16.079999999999998</v>
      </c>
      <c r="Q287">
        <v>43.93</v>
      </c>
      <c r="R287">
        <v>19.489999999999998</v>
      </c>
      <c r="S287">
        <v>25.86</v>
      </c>
      <c r="T287">
        <v>37.54</v>
      </c>
      <c r="U287">
        <v>50.88</v>
      </c>
      <c r="V287" s="6">
        <v>26.76</v>
      </c>
    </row>
    <row r="288" spans="1:22" x14ac:dyDescent="0.2">
      <c r="A288" s="4">
        <v>44980</v>
      </c>
      <c r="B288" s="3">
        <v>88.87</v>
      </c>
      <c r="C288">
        <v>69.430000000000007</v>
      </c>
      <c r="D288">
        <v>16.57</v>
      </c>
      <c r="E288">
        <v>20.350000000000001</v>
      </c>
      <c r="F288">
        <v>19.47</v>
      </c>
      <c r="G288">
        <v>37.58</v>
      </c>
      <c r="H288">
        <v>17.13</v>
      </c>
      <c r="I288">
        <v>31.27</v>
      </c>
      <c r="J288">
        <v>52.71</v>
      </c>
      <c r="K288">
        <v>11.42</v>
      </c>
      <c r="L288">
        <v>10.02</v>
      </c>
      <c r="M288">
        <v>11.72</v>
      </c>
      <c r="N288">
        <v>6.35</v>
      </c>
      <c r="O288">
        <v>18.899999999999999</v>
      </c>
      <c r="P288">
        <v>16.05</v>
      </c>
      <c r="Q288">
        <v>44.04</v>
      </c>
      <c r="R288">
        <v>19.45</v>
      </c>
      <c r="S288">
        <v>26.05</v>
      </c>
      <c r="T288">
        <v>37.409999999999997</v>
      </c>
      <c r="U288">
        <v>50.68</v>
      </c>
      <c r="V288" s="6">
        <v>26.39</v>
      </c>
    </row>
    <row r="289" spans="1:22" x14ac:dyDescent="0.2">
      <c r="A289" s="4">
        <v>44981</v>
      </c>
      <c r="B289" s="3">
        <v>89.01</v>
      </c>
      <c r="C289">
        <v>67.900000000000006</v>
      </c>
      <c r="D289">
        <v>16.21</v>
      </c>
      <c r="E289">
        <v>19.72</v>
      </c>
      <c r="F289">
        <v>19.170000000000002</v>
      </c>
      <c r="G289">
        <v>37.22</v>
      </c>
      <c r="H289">
        <v>16.77</v>
      </c>
      <c r="I289">
        <v>31.12</v>
      </c>
      <c r="J289">
        <v>52.69</v>
      </c>
      <c r="K289">
        <v>11.06</v>
      </c>
      <c r="L289">
        <v>9.69</v>
      </c>
      <c r="M289">
        <v>11.79</v>
      </c>
      <c r="N289">
        <v>6.17</v>
      </c>
      <c r="O289">
        <v>18.809999999999999</v>
      </c>
      <c r="P289">
        <v>16.059999999999999</v>
      </c>
      <c r="Q289">
        <v>44.04</v>
      </c>
      <c r="R289">
        <v>19.2</v>
      </c>
      <c r="S289">
        <v>25.7</v>
      </c>
      <c r="T289">
        <v>37.54</v>
      </c>
      <c r="U289">
        <v>50.38</v>
      </c>
      <c r="V289" s="6">
        <v>25.62</v>
      </c>
    </row>
    <row r="290" spans="1:22" x14ac:dyDescent="0.2">
      <c r="A290" s="4">
        <v>44984</v>
      </c>
      <c r="B290" s="3">
        <v>88.92</v>
      </c>
      <c r="C290">
        <v>67.900000000000006</v>
      </c>
      <c r="D290">
        <v>16.32</v>
      </c>
      <c r="E290">
        <v>19.47</v>
      </c>
      <c r="F290">
        <v>19.489999999999998</v>
      </c>
      <c r="G290">
        <v>37.159999999999997</v>
      </c>
      <c r="H290">
        <v>16.54</v>
      </c>
      <c r="I290">
        <v>31.21</v>
      </c>
      <c r="J290">
        <v>53.36</v>
      </c>
      <c r="K290">
        <v>10.95</v>
      </c>
      <c r="L290">
        <v>9.85</v>
      </c>
      <c r="M290">
        <v>11.86</v>
      </c>
      <c r="N290">
        <v>6.12</v>
      </c>
      <c r="O290">
        <v>18.75</v>
      </c>
      <c r="P290">
        <v>16.059999999999999</v>
      </c>
      <c r="Q290">
        <v>44.22</v>
      </c>
      <c r="R290">
        <v>18.809999999999999</v>
      </c>
      <c r="S290">
        <v>25.51</v>
      </c>
      <c r="T290">
        <v>36.99</v>
      </c>
      <c r="U290">
        <v>50.22</v>
      </c>
      <c r="V290" s="6">
        <v>25.28</v>
      </c>
    </row>
    <row r="291" spans="1:22" x14ac:dyDescent="0.2">
      <c r="A291" s="4">
        <v>44985</v>
      </c>
      <c r="B291" s="3">
        <v>87.68</v>
      </c>
      <c r="C291">
        <v>68.13</v>
      </c>
      <c r="D291">
        <v>15.75</v>
      </c>
      <c r="E291">
        <v>19.54</v>
      </c>
      <c r="F291">
        <v>18.64</v>
      </c>
      <c r="G291">
        <v>37.5</v>
      </c>
      <c r="H291">
        <v>16.690000000000001</v>
      </c>
      <c r="I291">
        <v>30.95</v>
      </c>
      <c r="J291">
        <v>51.75</v>
      </c>
      <c r="K291">
        <v>10.88</v>
      </c>
      <c r="L291">
        <v>9.84</v>
      </c>
      <c r="M291">
        <v>11.85</v>
      </c>
      <c r="N291">
        <v>6.1</v>
      </c>
      <c r="O291">
        <v>19.190000000000001</v>
      </c>
      <c r="P291">
        <v>16.57</v>
      </c>
      <c r="Q291">
        <v>45.56</v>
      </c>
      <c r="R291">
        <v>19.09</v>
      </c>
      <c r="S291">
        <v>25.43</v>
      </c>
      <c r="T291">
        <v>33.65</v>
      </c>
      <c r="U291">
        <v>50.83</v>
      </c>
      <c r="V291" s="6">
        <v>24.37</v>
      </c>
    </row>
    <row r="292" spans="1:22" x14ac:dyDescent="0.2">
      <c r="A292" s="4">
        <v>44986</v>
      </c>
      <c r="B292" s="3">
        <v>87.3</v>
      </c>
      <c r="C292">
        <v>71.22</v>
      </c>
      <c r="D292">
        <v>15.79</v>
      </c>
      <c r="E292">
        <v>19.22</v>
      </c>
      <c r="F292">
        <v>18.64</v>
      </c>
      <c r="G292">
        <v>37.71</v>
      </c>
      <c r="H292">
        <v>16.149999999999999</v>
      </c>
      <c r="I292">
        <v>30.23</v>
      </c>
      <c r="J292">
        <v>52.08</v>
      </c>
      <c r="K292">
        <v>10.79</v>
      </c>
      <c r="L292">
        <v>9.7899999999999991</v>
      </c>
      <c r="M292">
        <v>11.92</v>
      </c>
      <c r="N292">
        <v>6.06</v>
      </c>
      <c r="O292">
        <v>19.2</v>
      </c>
      <c r="P292">
        <v>16.87</v>
      </c>
      <c r="Q292">
        <v>44.63</v>
      </c>
      <c r="R292">
        <v>18.440000000000001</v>
      </c>
      <c r="S292">
        <v>24.89</v>
      </c>
      <c r="T292">
        <v>33.33</v>
      </c>
      <c r="U292">
        <v>48.84</v>
      </c>
      <c r="V292" s="6">
        <v>23.5</v>
      </c>
    </row>
    <row r="293" spans="1:22" x14ac:dyDescent="0.2">
      <c r="A293" s="4">
        <v>44987</v>
      </c>
      <c r="B293" s="3">
        <v>87.37</v>
      </c>
      <c r="C293">
        <v>71.06</v>
      </c>
      <c r="D293">
        <v>15.38</v>
      </c>
      <c r="E293">
        <v>18.59</v>
      </c>
      <c r="F293">
        <v>18.12</v>
      </c>
      <c r="G293">
        <v>37.5</v>
      </c>
      <c r="H293">
        <v>15.5</v>
      </c>
      <c r="I293">
        <v>29.91</v>
      </c>
      <c r="J293">
        <v>51.87</v>
      </c>
      <c r="K293">
        <v>10.65</v>
      </c>
      <c r="L293">
        <v>9.8800000000000008</v>
      </c>
      <c r="M293">
        <v>11.62</v>
      </c>
      <c r="N293">
        <v>5.92</v>
      </c>
      <c r="O293">
        <v>19.350000000000001</v>
      </c>
      <c r="P293">
        <v>17.36</v>
      </c>
      <c r="Q293">
        <v>44.56</v>
      </c>
      <c r="R293">
        <v>18.11</v>
      </c>
      <c r="S293">
        <v>24.94</v>
      </c>
      <c r="T293">
        <v>33.909999999999997</v>
      </c>
      <c r="U293">
        <v>48.68</v>
      </c>
      <c r="V293" s="6">
        <v>22.59</v>
      </c>
    </row>
    <row r="294" spans="1:22" x14ac:dyDescent="0.2">
      <c r="A294" s="4">
        <v>44988</v>
      </c>
      <c r="B294" s="3">
        <v>87.88</v>
      </c>
      <c r="C294">
        <v>71.3</v>
      </c>
      <c r="D294">
        <v>16.04</v>
      </c>
      <c r="E294">
        <v>18.61</v>
      </c>
      <c r="F294">
        <v>18.79</v>
      </c>
      <c r="G294">
        <v>37.200000000000003</v>
      </c>
      <c r="H294">
        <v>15.68</v>
      </c>
      <c r="I294">
        <v>29.54</v>
      </c>
      <c r="J294">
        <v>51.42</v>
      </c>
      <c r="K294">
        <v>10.71</v>
      </c>
      <c r="L294">
        <v>9.81</v>
      </c>
      <c r="M294">
        <v>11.6</v>
      </c>
      <c r="N294">
        <v>5.94</v>
      </c>
      <c r="O294">
        <v>19.66</v>
      </c>
      <c r="P294">
        <v>17.93</v>
      </c>
      <c r="Q294">
        <v>45.99</v>
      </c>
      <c r="R294">
        <v>18.22</v>
      </c>
      <c r="S294">
        <v>25.13</v>
      </c>
      <c r="T294">
        <v>34.65</v>
      </c>
      <c r="U294">
        <v>48.5</v>
      </c>
      <c r="V294" s="6">
        <v>22.05</v>
      </c>
    </row>
    <row r="295" spans="1:22" x14ac:dyDescent="0.2">
      <c r="A295" s="4">
        <v>44991</v>
      </c>
      <c r="B295" s="3">
        <v>87.21</v>
      </c>
      <c r="C295">
        <v>68.790000000000006</v>
      </c>
      <c r="D295">
        <v>16.2</v>
      </c>
      <c r="E295">
        <v>19.04</v>
      </c>
      <c r="F295">
        <v>19.059999999999999</v>
      </c>
      <c r="G295">
        <v>37.76</v>
      </c>
      <c r="H295">
        <v>16.03</v>
      </c>
      <c r="I295">
        <v>29.76</v>
      </c>
      <c r="J295">
        <v>51.54</v>
      </c>
      <c r="K295">
        <v>11.06</v>
      </c>
      <c r="L295">
        <v>10.220000000000001</v>
      </c>
      <c r="M295">
        <v>11.95</v>
      </c>
      <c r="N295">
        <v>6.07</v>
      </c>
      <c r="O295">
        <v>20.02</v>
      </c>
      <c r="P295">
        <v>17.98</v>
      </c>
      <c r="Q295">
        <v>45.59</v>
      </c>
      <c r="R295">
        <v>18.510000000000002</v>
      </c>
      <c r="S295">
        <v>25.49</v>
      </c>
      <c r="T295">
        <v>34.57</v>
      </c>
      <c r="U295">
        <v>48.86</v>
      </c>
      <c r="V295" s="6">
        <v>22.51</v>
      </c>
    </row>
    <row r="296" spans="1:22" x14ac:dyDescent="0.2">
      <c r="A296" s="4">
        <v>44992</v>
      </c>
      <c r="B296" s="3">
        <v>89.02</v>
      </c>
      <c r="C296">
        <v>68.13</v>
      </c>
      <c r="D296">
        <v>15.67</v>
      </c>
      <c r="E296">
        <v>19.09</v>
      </c>
      <c r="F296">
        <v>18.489999999999998</v>
      </c>
      <c r="G296">
        <v>37.909999999999997</v>
      </c>
      <c r="H296">
        <v>16.399999999999999</v>
      </c>
      <c r="I296">
        <v>29.11</v>
      </c>
      <c r="J296">
        <v>51.9</v>
      </c>
      <c r="K296">
        <v>11.32</v>
      </c>
      <c r="L296">
        <v>10.3</v>
      </c>
      <c r="M296">
        <v>11.88</v>
      </c>
      <c r="N296">
        <v>6.04</v>
      </c>
      <c r="O296">
        <v>19.600000000000001</v>
      </c>
      <c r="P296">
        <v>18.21</v>
      </c>
      <c r="Q296">
        <v>45.57</v>
      </c>
      <c r="R296">
        <v>18.28</v>
      </c>
      <c r="S296">
        <v>25.5</v>
      </c>
      <c r="T296">
        <v>33.54</v>
      </c>
      <c r="U296">
        <v>48.93</v>
      </c>
      <c r="V296" s="6">
        <v>22.42</v>
      </c>
    </row>
    <row r="297" spans="1:22" x14ac:dyDescent="0.2">
      <c r="A297" s="4">
        <v>44993</v>
      </c>
      <c r="B297" s="3">
        <v>89.1</v>
      </c>
      <c r="C297">
        <v>68.760000000000005</v>
      </c>
      <c r="D297">
        <v>15.87</v>
      </c>
      <c r="E297">
        <v>19.329999999999998</v>
      </c>
      <c r="F297">
        <v>18.77</v>
      </c>
      <c r="G297">
        <v>38.46</v>
      </c>
      <c r="H297">
        <v>16.57</v>
      </c>
      <c r="I297">
        <v>29.82</v>
      </c>
      <c r="J297">
        <v>53.16</v>
      </c>
      <c r="K297">
        <v>11.67</v>
      </c>
      <c r="L297">
        <v>10.86</v>
      </c>
      <c r="M297">
        <v>12.05</v>
      </c>
      <c r="N297">
        <v>6.17</v>
      </c>
      <c r="O297">
        <v>19.86</v>
      </c>
      <c r="P297">
        <v>18.13</v>
      </c>
      <c r="Q297">
        <v>45.27</v>
      </c>
      <c r="R297">
        <v>19.57</v>
      </c>
      <c r="S297">
        <v>26.05</v>
      </c>
      <c r="T297">
        <v>34.409999999999997</v>
      </c>
      <c r="U297">
        <v>51.3</v>
      </c>
      <c r="V297" s="6">
        <v>23.75</v>
      </c>
    </row>
    <row r="298" spans="1:22" x14ac:dyDescent="0.2">
      <c r="A298" s="4">
        <v>44994</v>
      </c>
      <c r="B298" s="3">
        <v>87.01</v>
      </c>
      <c r="C298">
        <v>67.849999999999994</v>
      </c>
      <c r="D298">
        <v>15.8</v>
      </c>
      <c r="E298">
        <v>18.96</v>
      </c>
      <c r="F298">
        <v>18.54</v>
      </c>
      <c r="G298">
        <v>38.17</v>
      </c>
      <c r="H298">
        <v>16.21</v>
      </c>
      <c r="I298">
        <v>28.93</v>
      </c>
      <c r="J298">
        <v>52.13</v>
      </c>
      <c r="K298">
        <v>11.63</v>
      </c>
      <c r="L298">
        <v>10.8</v>
      </c>
      <c r="M298">
        <v>12.03</v>
      </c>
      <c r="N298">
        <v>6.1</v>
      </c>
      <c r="O298">
        <v>19.63</v>
      </c>
      <c r="P298">
        <v>17.96</v>
      </c>
      <c r="Q298">
        <v>44.34</v>
      </c>
      <c r="R298">
        <v>19.5</v>
      </c>
      <c r="S298">
        <v>26.12</v>
      </c>
      <c r="T298">
        <v>33.380000000000003</v>
      </c>
      <c r="U298">
        <v>51.26</v>
      </c>
      <c r="V298" s="6">
        <v>23.43</v>
      </c>
    </row>
    <row r="299" spans="1:22" x14ac:dyDescent="0.2">
      <c r="A299" s="4">
        <v>44995</v>
      </c>
      <c r="B299" s="3">
        <v>86.95</v>
      </c>
      <c r="C299">
        <v>67.63</v>
      </c>
      <c r="D299">
        <v>15.59</v>
      </c>
      <c r="E299">
        <v>18.510000000000002</v>
      </c>
      <c r="F299">
        <v>18.41</v>
      </c>
      <c r="G299">
        <v>37.869999999999997</v>
      </c>
      <c r="H299">
        <v>15.9</v>
      </c>
      <c r="I299">
        <v>28.7</v>
      </c>
      <c r="J299">
        <v>50.81</v>
      </c>
      <c r="K299">
        <v>11.3</v>
      </c>
      <c r="L299">
        <v>10.5</v>
      </c>
      <c r="M299">
        <v>11.95</v>
      </c>
      <c r="N299">
        <v>6</v>
      </c>
      <c r="O299">
        <v>19.11</v>
      </c>
      <c r="P299">
        <v>18.98</v>
      </c>
      <c r="Q299">
        <v>43.01</v>
      </c>
      <c r="R299">
        <v>18.89</v>
      </c>
      <c r="S299">
        <v>26.16</v>
      </c>
      <c r="T299">
        <v>33.159999999999997</v>
      </c>
      <c r="U299">
        <v>50.3</v>
      </c>
      <c r="V299" s="6">
        <v>22.26</v>
      </c>
    </row>
    <row r="300" spans="1:22" x14ac:dyDescent="0.2">
      <c r="A300" s="4">
        <v>44998</v>
      </c>
      <c r="B300" s="3">
        <v>86.51</v>
      </c>
      <c r="C300">
        <v>67.91</v>
      </c>
      <c r="D300">
        <v>15.1</v>
      </c>
      <c r="E300">
        <v>18.28</v>
      </c>
      <c r="F300">
        <v>17.829999999999998</v>
      </c>
      <c r="G300">
        <v>38.11</v>
      </c>
      <c r="H300">
        <v>15.8</v>
      </c>
      <c r="I300">
        <v>28.76</v>
      </c>
      <c r="J300">
        <v>51.78</v>
      </c>
      <c r="K300">
        <v>11.17</v>
      </c>
      <c r="L300">
        <v>10.58</v>
      </c>
      <c r="M300">
        <v>12.04</v>
      </c>
      <c r="N300">
        <v>5.91</v>
      </c>
      <c r="O300">
        <v>18.79</v>
      </c>
      <c r="P300">
        <v>18.78</v>
      </c>
      <c r="Q300">
        <v>42.54</v>
      </c>
      <c r="R300">
        <v>18.45</v>
      </c>
      <c r="S300">
        <v>26.27</v>
      </c>
      <c r="T300">
        <v>31.72</v>
      </c>
      <c r="U300">
        <v>50.14</v>
      </c>
      <c r="V300" s="6">
        <v>22.56</v>
      </c>
    </row>
    <row r="301" spans="1:22" x14ac:dyDescent="0.2">
      <c r="A301" s="4">
        <v>44999</v>
      </c>
      <c r="B301" s="3">
        <v>86.05</v>
      </c>
      <c r="C301">
        <v>68.53</v>
      </c>
      <c r="D301">
        <v>14.83</v>
      </c>
      <c r="E301">
        <v>18.22</v>
      </c>
      <c r="F301">
        <v>17.510000000000002</v>
      </c>
      <c r="G301">
        <v>38.56</v>
      </c>
      <c r="H301">
        <v>15.66</v>
      </c>
      <c r="I301">
        <v>29.11</v>
      </c>
      <c r="J301">
        <v>52.48</v>
      </c>
      <c r="K301">
        <v>11.11</v>
      </c>
      <c r="L301">
        <v>10.67</v>
      </c>
      <c r="M301">
        <v>12.34</v>
      </c>
      <c r="N301">
        <v>5.91</v>
      </c>
      <c r="O301">
        <v>19.010000000000002</v>
      </c>
      <c r="P301">
        <v>19.510000000000002</v>
      </c>
      <c r="Q301">
        <v>42.91</v>
      </c>
      <c r="R301">
        <v>18.420000000000002</v>
      </c>
      <c r="S301">
        <v>26.08</v>
      </c>
      <c r="T301">
        <v>32.159999999999997</v>
      </c>
      <c r="U301">
        <v>48.1</v>
      </c>
      <c r="V301" s="6">
        <v>21.42</v>
      </c>
    </row>
    <row r="302" spans="1:22" x14ac:dyDescent="0.2">
      <c r="A302" s="4">
        <v>45000</v>
      </c>
      <c r="B302" s="3">
        <v>86.5</v>
      </c>
      <c r="C302">
        <v>66.459999999999994</v>
      </c>
      <c r="D302">
        <v>14.57</v>
      </c>
      <c r="E302">
        <v>18.18</v>
      </c>
      <c r="F302">
        <v>17.079999999999998</v>
      </c>
      <c r="G302">
        <v>38.369999999999997</v>
      </c>
      <c r="H302">
        <v>15.68</v>
      </c>
      <c r="I302">
        <v>30.54</v>
      </c>
      <c r="J302">
        <v>53.37</v>
      </c>
      <c r="K302">
        <v>11.26</v>
      </c>
      <c r="L302">
        <v>10.76</v>
      </c>
      <c r="M302">
        <v>12.41</v>
      </c>
      <c r="N302">
        <v>5.93</v>
      </c>
      <c r="O302">
        <v>19.25</v>
      </c>
      <c r="P302">
        <v>19.489999999999998</v>
      </c>
      <c r="Q302">
        <v>42.2</v>
      </c>
      <c r="R302">
        <v>18.5</v>
      </c>
      <c r="S302">
        <v>27.04</v>
      </c>
      <c r="T302">
        <v>31.1</v>
      </c>
      <c r="U302">
        <v>48.46</v>
      </c>
      <c r="V302" s="6">
        <v>22.67</v>
      </c>
    </row>
    <row r="303" spans="1:22" x14ac:dyDescent="0.2">
      <c r="A303" s="4">
        <v>45001</v>
      </c>
      <c r="B303" s="3">
        <v>85.66</v>
      </c>
      <c r="C303">
        <v>66.709999999999994</v>
      </c>
      <c r="D303">
        <v>14.52</v>
      </c>
      <c r="E303">
        <v>18.47</v>
      </c>
      <c r="F303">
        <v>17.02</v>
      </c>
      <c r="G303">
        <v>38.590000000000003</v>
      </c>
      <c r="H303">
        <v>15.84</v>
      </c>
      <c r="I303">
        <v>30.39</v>
      </c>
      <c r="J303">
        <v>53.5</v>
      </c>
      <c r="K303">
        <v>11.58</v>
      </c>
      <c r="L303">
        <v>11.06</v>
      </c>
      <c r="M303">
        <v>12.62</v>
      </c>
      <c r="N303">
        <v>5.98</v>
      </c>
      <c r="O303">
        <v>19.98</v>
      </c>
      <c r="P303">
        <v>19.97</v>
      </c>
      <c r="Q303">
        <v>41.98</v>
      </c>
      <c r="R303">
        <v>19.22</v>
      </c>
      <c r="S303">
        <v>26.76</v>
      </c>
      <c r="T303">
        <v>31.65</v>
      </c>
      <c r="U303">
        <v>51.11</v>
      </c>
      <c r="V303" s="6">
        <v>22.18</v>
      </c>
    </row>
    <row r="304" spans="1:22" x14ac:dyDescent="0.2">
      <c r="A304" s="4">
        <v>45002</v>
      </c>
      <c r="B304" s="3">
        <v>84.73</v>
      </c>
      <c r="C304">
        <v>67.510000000000005</v>
      </c>
      <c r="D304">
        <v>14.67</v>
      </c>
      <c r="E304">
        <v>17.940000000000001</v>
      </c>
      <c r="F304">
        <v>17.09</v>
      </c>
      <c r="G304">
        <v>38.18</v>
      </c>
      <c r="H304">
        <v>15.57</v>
      </c>
      <c r="I304">
        <v>29.08</v>
      </c>
      <c r="J304">
        <v>51.75</v>
      </c>
      <c r="K304">
        <v>11.1</v>
      </c>
      <c r="L304">
        <v>10.54</v>
      </c>
      <c r="M304">
        <v>12.58</v>
      </c>
      <c r="N304">
        <v>5.84</v>
      </c>
      <c r="O304">
        <v>20.49</v>
      </c>
      <c r="P304">
        <v>20.149999999999999</v>
      </c>
      <c r="Q304">
        <v>41.6</v>
      </c>
      <c r="R304">
        <v>18.8</v>
      </c>
      <c r="S304">
        <v>25.42</v>
      </c>
      <c r="T304">
        <v>31.32</v>
      </c>
      <c r="U304">
        <v>49.23</v>
      </c>
      <c r="V304" s="6">
        <v>20.97</v>
      </c>
    </row>
    <row r="305" spans="1:22" x14ac:dyDescent="0.2">
      <c r="A305" s="4">
        <v>45005</v>
      </c>
      <c r="B305" s="3">
        <v>84.65</v>
      </c>
      <c r="C305">
        <v>68.06</v>
      </c>
      <c r="D305">
        <v>14.31</v>
      </c>
      <c r="E305">
        <v>17.989999999999998</v>
      </c>
      <c r="F305">
        <v>16.690000000000001</v>
      </c>
      <c r="G305">
        <v>38.06</v>
      </c>
      <c r="H305">
        <v>15.48</v>
      </c>
      <c r="I305">
        <v>28.8</v>
      </c>
      <c r="J305">
        <v>50.48</v>
      </c>
      <c r="K305">
        <v>10.91</v>
      </c>
      <c r="L305">
        <v>10.43</v>
      </c>
      <c r="M305">
        <v>12.49</v>
      </c>
      <c r="N305">
        <v>5.88</v>
      </c>
      <c r="O305">
        <v>19</v>
      </c>
      <c r="P305">
        <v>19.93</v>
      </c>
      <c r="Q305">
        <v>41.25</v>
      </c>
      <c r="R305">
        <v>18.309999999999999</v>
      </c>
      <c r="S305">
        <v>25.19</v>
      </c>
      <c r="T305">
        <v>30.94</v>
      </c>
      <c r="U305">
        <v>48.6</v>
      </c>
      <c r="V305" s="6">
        <v>20.55</v>
      </c>
    </row>
    <row r="306" spans="1:22" x14ac:dyDescent="0.2">
      <c r="A306" s="4">
        <v>45006</v>
      </c>
      <c r="B306" s="3">
        <v>84.3</v>
      </c>
      <c r="C306">
        <v>67.489999999999995</v>
      </c>
      <c r="D306">
        <v>14.61</v>
      </c>
      <c r="E306">
        <v>18.36</v>
      </c>
      <c r="F306">
        <v>17.05</v>
      </c>
      <c r="G306">
        <v>38.31</v>
      </c>
      <c r="H306">
        <v>15.67</v>
      </c>
      <c r="I306">
        <v>27.8</v>
      </c>
      <c r="J306">
        <v>49.44</v>
      </c>
      <c r="K306">
        <v>10.94</v>
      </c>
      <c r="L306">
        <v>10.42</v>
      </c>
      <c r="M306">
        <v>12.34</v>
      </c>
      <c r="N306">
        <v>5.95</v>
      </c>
      <c r="O306">
        <v>19.14</v>
      </c>
      <c r="P306">
        <v>20.260000000000002</v>
      </c>
      <c r="Q306">
        <v>40.99</v>
      </c>
      <c r="R306">
        <v>18.260000000000002</v>
      </c>
      <c r="S306">
        <v>25.07</v>
      </c>
      <c r="T306">
        <v>31.67</v>
      </c>
      <c r="U306">
        <v>47.7</v>
      </c>
      <c r="V306" s="6">
        <v>20.61</v>
      </c>
    </row>
    <row r="307" spans="1:22" x14ac:dyDescent="0.2">
      <c r="A307" s="4">
        <v>45007</v>
      </c>
      <c r="B307" s="3">
        <v>81.59</v>
      </c>
      <c r="C307">
        <v>66.650000000000006</v>
      </c>
      <c r="D307">
        <v>14.56</v>
      </c>
      <c r="E307">
        <v>18.25</v>
      </c>
      <c r="F307">
        <v>16.91</v>
      </c>
      <c r="G307">
        <v>37.89</v>
      </c>
      <c r="H307">
        <v>15.71</v>
      </c>
      <c r="I307">
        <v>27.71</v>
      </c>
      <c r="J307">
        <v>49.6</v>
      </c>
      <c r="K307">
        <v>10.84</v>
      </c>
      <c r="L307">
        <v>10.3</v>
      </c>
      <c r="M307">
        <v>12.34</v>
      </c>
      <c r="N307">
        <v>5.87</v>
      </c>
      <c r="O307">
        <v>18.52</v>
      </c>
      <c r="P307">
        <v>20.16</v>
      </c>
      <c r="Q307">
        <v>40.92</v>
      </c>
      <c r="R307">
        <v>17.98</v>
      </c>
      <c r="S307">
        <v>25.16</v>
      </c>
      <c r="T307">
        <v>31.3</v>
      </c>
      <c r="U307">
        <v>47.63</v>
      </c>
      <c r="V307" s="6">
        <v>20.28</v>
      </c>
    </row>
    <row r="308" spans="1:22" x14ac:dyDescent="0.2">
      <c r="A308" s="4">
        <v>45008</v>
      </c>
      <c r="B308" s="3">
        <v>82.6</v>
      </c>
      <c r="C308">
        <v>64.94</v>
      </c>
      <c r="D308">
        <v>14.23</v>
      </c>
      <c r="E308">
        <v>17.8</v>
      </c>
      <c r="F308">
        <v>16.57</v>
      </c>
      <c r="G308">
        <v>38.25</v>
      </c>
      <c r="H308">
        <v>15.53</v>
      </c>
      <c r="I308">
        <v>27.53</v>
      </c>
      <c r="J308">
        <v>48.21</v>
      </c>
      <c r="K308">
        <v>10.46</v>
      </c>
      <c r="L308">
        <v>9.7200000000000006</v>
      </c>
      <c r="M308">
        <v>12.19</v>
      </c>
      <c r="N308">
        <v>5.78</v>
      </c>
      <c r="O308">
        <v>18.23</v>
      </c>
      <c r="P308">
        <v>20.52</v>
      </c>
      <c r="Q308">
        <v>40.31</v>
      </c>
      <c r="R308">
        <v>17.28</v>
      </c>
      <c r="S308">
        <v>24.53</v>
      </c>
      <c r="T308">
        <v>29.88</v>
      </c>
      <c r="U308">
        <v>45.86</v>
      </c>
      <c r="V308" s="6">
        <v>19.79</v>
      </c>
    </row>
    <row r="309" spans="1:22" x14ac:dyDescent="0.2">
      <c r="A309" s="4">
        <v>45009</v>
      </c>
      <c r="B309" s="3">
        <v>83.66</v>
      </c>
      <c r="C309">
        <v>64.2</v>
      </c>
      <c r="D309">
        <v>14.23</v>
      </c>
      <c r="E309">
        <v>18.03</v>
      </c>
      <c r="F309">
        <v>16.63</v>
      </c>
      <c r="G309">
        <v>38.840000000000003</v>
      </c>
      <c r="H309">
        <v>15.69</v>
      </c>
      <c r="I309">
        <v>27.95</v>
      </c>
      <c r="J309">
        <v>47.32</v>
      </c>
      <c r="K309">
        <v>10.58</v>
      </c>
      <c r="L309">
        <v>9.85</v>
      </c>
      <c r="M309">
        <v>12.29</v>
      </c>
      <c r="N309">
        <v>5.88</v>
      </c>
      <c r="O309">
        <v>18.11</v>
      </c>
      <c r="P309">
        <v>20.48</v>
      </c>
      <c r="Q309">
        <v>40.68</v>
      </c>
      <c r="R309">
        <v>17.559999999999999</v>
      </c>
      <c r="S309">
        <v>25.37</v>
      </c>
      <c r="T309">
        <v>30.23</v>
      </c>
      <c r="U309">
        <v>46.98</v>
      </c>
      <c r="V309" s="6">
        <v>20.13</v>
      </c>
    </row>
    <row r="310" spans="1:22" x14ac:dyDescent="0.2">
      <c r="A310" s="4">
        <v>45012</v>
      </c>
      <c r="B310" s="3">
        <v>84.86</v>
      </c>
      <c r="C310">
        <v>64.09</v>
      </c>
      <c r="D310">
        <v>14.47</v>
      </c>
      <c r="E310">
        <v>18.34</v>
      </c>
      <c r="F310">
        <v>16.89</v>
      </c>
      <c r="G310">
        <v>39.49</v>
      </c>
      <c r="H310">
        <v>15.7</v>
      </c>
      <c r="I310">
        <v>28.77</v>
      </c>
      <c r="J310">
        <v>48.64</v>
      </c>
      <c r="K310">
        <v>10.77</v>
      </c>
      <c r="L310">
        <v>9.8800000000000008</v>
      </c>
      <c r="M310">
        <v>12.33</v>
      </c>
      <c r="N310">
        <v>5.95</v>
      </c>
      <c r="O310">
        <v>18.28</v>
      </c>
      <c r="P310">
        <v>20.43</v>
      </c>
      <c r="Q310">
        <v>40.07</v>
      </c>
      <c r="R310">
        <v>17.78</v>
      </c>
      <c r="S310">
        <v>25.99</v>
      </c>
      <c r="T310">
        <v>31.57</v>
      </c>
      <c r="U310">
        <v>47.51</v>
      </c>
      <c r="V310" s="6">
        <v>20.05</v>
      </c>
    </row>
    <row r="311" spans="1:22" x14ac:dyDescent="0.2">
      <c r="A311" s="4">
        <v>45013</v>
      </c>
      <c r="B311" s="3">
        <v>84.76</v>
      </c>
      <c r="C311">
        <v>64.77</v>
      </c>
      <c r="D311">
        <v>14.72</v>
      </c>
      <c r="E311">
        <v>18.420000000000002</v>
      </c>
      <c r="F311">
        <v>17.18</v>
      </c>
      <c r="G311">
        <v>39.659999999999997</v>
      </c>
      <c r="H311">
        <v>15.81</v>
      </c>
      <c r="I311">
        <v>30.2</v>
      </c>
      <c r="J311">
        <v>49.67</v>
      </c>
      <c r="K311">
        <v>10.76</v>
      </c>
      <c r="L311">
        <v>9.9600000000000009</v>
      </c>
      <c r="M311">
        <v>12.91</v>
      </c>
      <c r="N311">
        <v>5.93</v>
      </c>
      <c r="O311">
        <v>17.91</v>
      </c>
      <c r="P311">
        <v>20.57</v>
      </c>
      <c r="Q311">
        <v>40.35</v>
      </c>
      <c r="R311">
        <v>18.149999999999999</v>
      </c>
      <c r="S311">
        <v>26.68</v>
      </c>
      <c r="T311">
        <v>31.83</v>
      </c>
      <c r="U311">
        <v>48.96</v>
      </c>
      <c r="V311" s="6">
        <v>19.079999999999998</v>
      </c>
    </row>
    <row r="312" spans="1:22" x14ac:dyDescent="0.2">
      <c r="A312" s="4">
        <v>45014</v>
      </c>
      <c r="B312" s="3">
        <v>86.78</v>
      </c>
      <c r="C312">
        <v>65.7</v>
      </c>
      <c r="D312">
        <v>14.92</v>
      </c>
      <c r="E312">
        <v>18.600000000000001</v>
      </c>
      <c r="F312">
        <v>17.36</v>
      </c>
      <c r="G312">
        <v>40.01</v>
      </c>
      <c r="H312">
        <v>15.99</v>
      </c>
      <c r="I312">
        <v>29.93</v>
      </c>
      <c r="J312">
        <v>49.89</v>
      </c>
      <c r="K312">
        <v>10.81</v>
      </c>
      <c r="L312">
        <v>9.8699999999999992</v>
      </c>
      <c r="M312">
        <v>13.1</v>
      </c>
      <c r="N312">
        <v>5.99</v>
      </c>
      <c r="O312">
        <v>17.95</v>
      </c>
      <c r="P312">
        <v>21.03</v>
      </c>
      <c r="Q312">
        <v>41.1</v>
      </c>
      <c r="R312">
        <v>18</v>
      </c>
      <c r="S312">
        <v>26.58</v>
      </c>
      <c r="T312">
        <v>31.89</v>
      </c>
      <c r="U312">
        <v>48.95</v>
      </c>
      <c r="V312" s="6">
        <v>19.48</v>
      </c>
    </row>
    <row r="313" spans="1:22" x14ac:dyDescent="0.2">
      <c r="A313" s="4">
        <v>45015</v>
      </c>
      <c r="B313" s="3">
        <v>85.2</v>
      </c>
      <c r="C313">
        <v>66.77</v>
      </c>
      <c r="D313">
        <v>14.96</v>
      </c>
      <c r="E313">
        <v>19.11</v>
      </c>
      <c r="F313">
        <v>17.55</v>
      </c>
      <c r="G313">
        <v>40.130000000000003</v>
      </c>
      <c r="H313">
        <v>16.29</v>
      </c>
      <c r="I313">
        <v>30.57</v>
      </c>
      <c r="J313">
        <v>50.94</v>
      </c>
      <c r="K313">
        <v>11.14</v>
      </c>
      <c r="L313">
        <v>10.119999999999999</v>
      </c>
      <c r="M313">
        <v>13.11</v>
      </c>
      <c r="N313">
        <v>6.12</v>
      </c>
      <c r="O313">
        <v>18.21</v>
      </c>
      <c r="P313">
        <v>20.96</v>
      </c>
      <c r="Q313">
        <v>41.08</v>
      </c>
      <c r="R313">
        <v>18.760000000000002</v>
      </c>
      <c r="S313">
        <v>27.07</v>
      </c>
      <c r="T313">
        <v>32.299999999999997</v>
      </c>
      <c r="U313">
        <v>50.7</v>
      </c>
      <c r="V313" s="6">
        <v>21.22</v>
      </c>
    </row>
    <row r="314" spans="1:22" x14ac:dyDescent="0.2">
      <c r="A314" s="4">
        <v>45016</v>
      </c>
      <c r="B314" s="3">
        <v>84.88</v>
      </c>
      <c r="C314">
        <v>65.52</v>
      </c>
      <c r="D314">
        <v>14.64</v>
      </c>
      <c r="E314">
        <v>19.21</v>
      </c>
      <c r="F314">
        <v>17.170000000000002</v>
      </c>
      <c r="G314">
        <v>38.880000000000003</v>
      </c>
      <c r="H314">
        <v>16.329999999999998</v>
      </c>
      <c r="I314">
        <v>30.01</v>
      </c>
      <c r="J314">
        <v>50.61</v>
      </c>
      <c r="K314">
        <v>10.96</v>
      </c>
      <c r="L314">
        <v>9.6999999999999993</v>
      </c>
      <c r="M314">
        <v>12.68</v>
      </c>
      <c r="N314">
        <v>6.16</v>
      </c>
      <c r="O314">
        <v>17.850000000000001</v>
      </c>
      <c r="P314">
        <v>20.77</v>
      </c>
      <c r="Q314">
        <v>39.700000000000003</v>
      </c>
      <c r="R314">
        <v>18.57</v>
      </c>
      <c r="S314">
        <v>26.96</v>
      </c>
      <c r="T314">
        <v>31.14</v>
      </c>
      <c r="U314">
        <v>49.2</v>
      </c>
      <c r="V314" s="6">
        <v>20.260000000000002</v>
      </c>
    </row>
    <row r="315" spans="1:22" x14ac:dyDescent="0.2">
      <c r="A315" s="4">
        <v>45019</v>
      </c>
      <c r="B315" s="3">
        <v>85.3</v>
      </c>
      <c r="C315">
        <v>65.53</v>
      </c>
      <c r="D315">
        <v>15.29</v>
      </c>
      <c r="E315">
        <v>18.670000000000002</v>
      </c>
      <c r="F315">
        <v>17.989999999999998</v>
      </c>
      <c r="G315">
        <v>37.96</v>
      </c>
      <c r="H315">
        <v>16.14</v>
      </c>
      <c r="I315">
        <v>29.58</v>
      </c>
      <c r="J315">
        <v>50.4</v>
      </c>
      <c r="K315">
        <v>10.69</v>
      </c>
      <c r="L315">
        <v>9.91</v>
      </c>
      <c r="M315">
        <v>12.68</v>
      </c>
      <c r="N315">
        <v>6.06</v>
      </c>
      <c r="O315">
        <v>17.3</v>
      </c>
      <c r="P315">
        <v>20.64</v>
      </c>
      <c r="Q315">
        <v>40.78</v>
      </c>
      <c r="R315">
        <v>18.559999999999999</v>
      </c>
      <c r="S315">
        <v>26.88</v>
      </c>
      <c r="T315">
        <v>32.35</v>
      </c>
      <c r="U315">
        <v>48.01</v>
      </c>
      <c r="V315" s="6">
        <v>19.899999999999999</v>
      </c>
    </row>
    <row r="316" spans="1:22" x14ac:dyDescent="0.2">
      <c r="A316" s="4">
        <v>45020</v>
      </c>
      <c r="B316" s="3">
        <v>85</v>
      </c>
      <c r="C316">
        <v>63.68</v>
      </c>
      <c r="D316">
        <v>15.15</v>
      </c>
      <c r="E316">
        <v>19.04</v>
      </c>
      <c r="F316">
        <v>17.739999999999998</v>
      </c>
      <c r="G316">
        <v>38</v>
      </c>
      <c r="H316">
        <v>16.399999999999999</v>
      </c>
      <c r="I316">
        <v>30.07</v>
      </c>
      <c r="J316">
        <v>50.79</v>
      </c>
      <c r="K316">
        <v>10.93</v>
      </c>
      <c r="L316">
        <v>10.15</v>
      </c>
      <c r="M316">
        <v>12.77</v>
      </c>
      <c r="N316">
        <v>6.11</v>
      </c>
      <c r="O316">
        <v>17.45</v>
      </c>
      <c r="P316">
        <v>20.79</v>
      </c>
      <c r="Q316">
        <v>40.409999999999997</v>
      </c>
      <c r="R316">
        <v>19.100000000000001</v>
      </c>
      <c r="S316">
        <v>27.6</v>
      </c>
      <c r="T316">
        <v>33.799999999999997</v>
      </c>
      <c r="U316">
        <v>49.01</v>
      </c>
      <c r="V316" s="6">
        <v>20.8</v>
      </c>
    </row>
    <row r="317" spans="1:22" x14ac:dyDescent="0.2">
      <c r="A317" s="4">
        <v>45021</v>
      </c>
      <c r="B317" s="3">
        <v>84.18</v>
      </c>
      <c r="C317">
        <v>62.74</v>
      </c>
      <c r="D317">
        <v>15.2</v>
      </c>
      <c r="E317">
        <v>19.02</v>
      </c>
      <c r="F317">
        <v>17.760000000000002</v>
      </c>
      <c r="G317">
        <v>37.15</v>
      </c>
      <c r="H317">
        <v>16.34</v>
      </c>
      <c r="I317">
        <v>29.62</v>
      </c>
      <c r="J317">
        <v>49.87</v>
      </c>
      <c r="K317">
        <v>11.02</v>
      </c>
      <c r="L317">
        <v>10.11</v>
      </c>
      <c r="M317">
        <v>12.74</v>
      </c>
      <c r="N317">
        <v>6.09</v>
      </c>
      <c r="O317">
        <v>17.22</v>
      </c>
      <c r="P317">
        <v>19.7</v>
      </c>
      <c r="Q317">
        <v>39.11</v>
      </c>
      <c r="R317">
        <v>19.440000000000001</v>
      </c>
      <c r="S317">
        <v>27.27</v>
      </c>
      <c r="T317">
        <v>33.450000000000003</v>
      </c>
      <c r="U317">
        <v>48.66</v>
      </c>
      <c r="V317" s="6">
        <v>20.6</v>
      </c>
    </row>
    <row r="318" spans="1:22" x14ac:dyDescent="0.2">
      <c r="A318" s="4">
        <v>45022</v>
      </c>
      <c r="B318" s="3">
        <v>85.14</v>
      </c>
      <c r="C318">
        <v>62.63</v>
      </c>
      <c r="D318">
        <v>14.98</v>
      </c>
      <c r="E318">
        <v>18.96</v>
      </c>
      <c r="F318">
        <v>17.55</v>
      </c>
      <c r="G318">
        <v>37.020000000000003</v>
      </c>
      <c r="H318">
        <v>16.29</v>
      </c>
      <c r="I318">
        <v>29.51</v>
      </c>
      <c r="J318">
        <v>50.2</v>
      </c>
      <c r="K318">
        <v>10.86</v>
      </c>
      <c r="L318">
        <v>10.029999999999999</v>
      </c>
      <c r="M318">
        <v>12.77</v>
      </c>
      <c r="N318">
        <v>6.09</v>
      </c>
      <c r="O318">
        <v>16.79</v>
      </c>
      <c r="P318">
        <v>19.63</v>
      </c>
      <c r="Q318">
        <v>38.51</v>
      </c>
      <c r="R318">
        <v>19.32</v>
      </c>
      <c r="S318">
        <v>27.68</v>
      </c>
      <c r="T318">
        <v>34.799999999999997</v>
      </c>
      <c r="U318">
        <v>48.14</v>
      </c>
      <c r="V318" s="6">
        <v>20.88</v>
      </c>
    </row>
    <row r="319" spans="1:22" x14ac:dyDescent="0.2">
      <c r="A319" s="4">
        <v>45026</v>
      </c>
      <c r="B319" s="3">
        <v>88.82</v>
      </c>
      <c r="C319">
        <v>63.84</v>
      </c>
      <c r="D319">
        <v>15.3</v>
      </c>
      <c r="E319">
        <v>19.16</v>
      </c>
      <c r="F319">
        <v>18.02</v>
      </c>
      <c r="G319">
        <v>36.81</v>
      </c>
      <c r="H319">
        <v>16.3</v>
      </c>
      <c r="I319">
        <v>30.03</v>
      </c>
      <c r="J319">
        <v>49.27</v>
      </c>
      <c r="K319">
        <v>10.99</v>
      </c>
      <c r="L319">
        <v>10.220000000000001</v>
      </c>
      <c r="M319">
        <v>12.79</v>
      </c>
      <c r="N319">
        <v>6.11</v>
      </c>
      <c r="O319">
        <v>17.170000000000002</v>
      </c>
      <c r="P319">
        <v>19.86</v>
      </c>
      <c r="Q319">
        <v>39.26</v>
      </c>
      <c r="R319">
        <v>19.7</v>
      </c>
      <c r="S319">
        <v>27.78</v>
      </c>
      <c r="T319">
        <v>34.86</v>
      </c>
      <c r="U319">
        <v>47.94</v>
      </c>
      <c r="V319" s="6">
        <v>20.39</v>
      </c>
    </row>
    <row r="320" spans="1:22" x14ac:dyDescent="0.2">
      <c r="A320" s="4">
        <v>45027</v>
      </c>
      <c r="B320" s="3">
        <v>89.64</v>
      </c>
      <c r="C320">
        <v>67.209999999999994</v>
      </c>
      <c r="D320">
        <v>16.02</v>
      </c>
      <c r="E320">
        <v>19.78</v>
      </c>
      <c r="F320">
        <v>18.809999999999999</v>
      </c>
      <c r="G320">
        <v>37.479999999999997</v>
      </c>
      <c r="H320">
        <v>16.670000000000002</v>
      </c>
      <c r="I320">
        <v>30.89</v>
      </c>
      <c r="J320">
        <v>51</v>
      </c>
      <c r="K320">
        <v>11.56</v>
      </c>
      <c r="L320">
        <v>10.9</v>
      </c>
      <c r="M320">
        <v>13.08</v>
      </c>
      <c r="N320">
        <v>6.31</v>
      </c>
      <c r="O320">
        <v>17.5</v>
      </c>
      <c r="P320">
        <v>20.48</v>
      </c>
      <c r="Q320">
        <v>40.6</v>
      </c>
      <c r="R320">
        <v>21.35</v>
      </c>
      <c r="S320">
        <v>28.06</v>
      </c>
      <c r="T320">
        <v>35.67</v>
      </c>
      <c r="U320">
        <v>52.34</v>
      </c>
      <c r="V320" s="6">
        <v>22.28</v>
      </c>
    </row>
    <row r="321" spans="1:22" x14ac:dyDescent="0.2">
      <c r="A321" s="4">
        <v>45028</v>
      </c>
      <c r="B321" s="3">
        <v>89.02</v>
      </c>
      <c r="C321">
        <v>65.77</v>
      </c>
      <c r="D321">
        <v>16.14</v>
      </c>
      <c r="E321">
        <v>19.920000000000002</v>
      </c>
      <c r="F321">
        <v>18.82</v>
      </c>
      <c r="G321">
        <v>38.1</v>
      </c>
      <c r="H321">
        <v>17.829999999999998</v>
      </c>
      <c r="I321">
        <v>31.69</v>
      </c>
      <c r="J321">
        <v>51.37</v>
      </c>
      <c r="K321">
        <v>11.5</v>
      </c>
      <c r="L321">
        <v>11.11</v>
      </c>
      <c r="M321">
        <v>13.06</v>
      </c>
      <c r="N321">
        <v>6.44</v>
      </c>
      <c r="O321">
        <v>17.420000000000002</v>
      </c>
      <c r="P321">
        <v>20.190000000000001</v>
      </c>
      <c r="Q321">
        <v>40.270000000000003</v>
      </c>
      <c r="R321">
        <v>21.88</v>
      </c>
      <c r="S321">
        <v>28.53</v>
      </c>
      <c r="T321">
        <v>36.369999999999997</v>
      </c>
      <c r="U321">
        <v>52.98</v>
      </c>
      <c r="V321" s="6">
        <v>22.61</v>
      </c>
    </row>
    <row r="322" spans="1:22" x14ac:dyDescent="0.2">
      <c r="A322" s="4">
        <v>45029</v>
      </c>
      <c r="B322" s="3">
        <v>88.78</v>
      </c>
      <c r="C322">
        <v>64.88</v>
      </c>
      <c r="D322">
        <v>16.25</v>
      </c>
      <c r="E322">
        <v>19.920000000000002</v>
      </c>
      <c r="F322">
        <v>19.04</v>
      </c>
      <c r="G322">
        <v>37.75</v>
      </c>
      <c r="H322">
        <v>17.829999999999998</v>
      </c>
      <c r="I322">
        <v>31.68</v>
      </c>
      <c r="J322">
        <v>51.33</v>
      </c>
      <c r="K322">
        <v>11.51</v>
      </c>
      <c r="L322">
        <v>11</v>
      </c>
      <c r="M322">
        <v>12.91</v>
      </c>
      <c r="N322">
        <v>6.45</v>
      </c>
      <c r="O322">
        <v>16.91</v>
      </c>
      <c r="P322">
        <v>20.25</v>
      </c>
      <c r="Q322">
        <v>39.42</v>
      </c>
      <c r="R322">
        <v>21.74</v>
      </c>
      <c r="S322">
        <v>28.76</v>
      </c>
      <c r="T322">
        <v>36.450000000000003</v>
      </c>
      <c r="U322">
        <v>53.4</v>
      </c>
      <c r="V322" s="6">
        <v>22.51</v>
      </c>
    </row>
    <row r="323" spans="1:22" x14ac:dyDescent="0.2">
      <c r="A323" s="4">
        <v>45030</v>
      </c>
      <c r="B323" s="3">
        <v>88.38</v>
      </c>
      <c r="C323">
        <v>64.31</v>
      </c>
      <c r="D323">
        <v>16.420000000000002</v>
      </c>
      <c r="E323">
        <v>20.2</v>
      </c>
      <c r="F323">
        <v>19.329999999999998</v>
      </c>
      <c r="G323">
        <v>37.159999999999997</v>
      </c>
      <c r="H323">
        <v>18.13</v>
      </c>
      <c r="I323">
        <v>31.52</v>
      </c>
      <c r="J323">
        <v>49.63</v>
      </c>
      <c r="K323">
        <v>11.49</v>
      </c>
      <c r="L323">
        <v>11.22</v>
      </c>
      <c r="M323">
        <v>12.96</v>
      </c>
      <c r="N323">
        <v>6.5</v>
      </c>
      <c r="O323">
        <v>16.59</v>
      </c>
      <c r="P323">
        <v>20.45</v>
      </c>
      <c r="Q323">
        <v>38.64</v>
      </c>
      <c r="R323">
        <v>21.68</v>
      </c>
      <c r="S323">
        <v>28.77</v>
      </c>
      <c r="T323">
        <v>36.619999999999997</v>
      </c>
      <c r="U323">
        <v>52.92</v>
      </c>
      <c r="V323" s="6">
        <v>21.16</v>
      </c>
    </row>
    <row r="324" spans="1:22" x14ac:dyDescent="0.2">
      <c r="A324" s="4">
        <v>45033</v>
      </c>
      <c r="B324" s="3">
        <v>88.6</v>
      </c>
      <c r="C324">
        <v>63.54</v>
      </c>
      <c r="D324">
        <v>16.670000000000002</v>
      </c>
      <c r="E324">
        <v>20.16</v>
      </c>
      <c r="F324">
        <v>19.41</v>
      </c>
      <c r="G324">
        <v>37.85</v>
      </c>
      <c r="H324">
        <v>18.170000000000002</v>
      </c>
      <c r="I324">
        <v>30.34</v>
      </c>
      <c r="J324">
        <v>48.96</v>
      </c>
      <c r="K324">
        <v>11.44</v>
      </c>
      <c r="L324">
        <v>11.26</v>
      </c>
      <c r="M324">
        <v>13.05</v>
      </c>
      <c r="N324">
        <v>6.47</v>
      </c>
      <c r="O324">
        <v>17.04</v>
      </c>
      <c r="P324">
        <v>20.41</v>
      </c>
      <c r="Q324">
        <v>38.61</v>
      </c>
      <c r="R324">
        <v>21.54</v>
      </c>
      <c r="S324">
        <v>28.44</v>
      </c>
      <c r="T324">
        <v>36.090000000000003</v>
      </c>
      <c r="U324">
        <v>53.33</v>
      </c>
      <c r="V324" s="6">
        <v>20.99</v>
      </c>
    </row>
    <row r="325" spans="1:22" x14ac:dyDescent="0.2">
      <c r="A325" s="4">
        <v>45034</v>
      </c>
      <c r="B325" s="3">
        <v>86.79</v>
      </c>
      <c r="C325">
        <v>64.09</v>
      </c>
      <c r="D325">
        <v>17.100000000000001</v>
      </c>
      <c r="E325">
        <v>20.149999999999999</v>
      </c>
      <c r="F325">
        <v>19.91</v>
      </c>
      <c r="G325">
        <v>37.65</v>
      </c>
      <c r="H325">
        <v>18.21</v>
      </c>
      <c r="I325">
        <v>31.06</v>
      </c>
      <c r="J325">
        <v>47.56</v>
      </c>
      <c r="K325">
        <v>11.37</v>
      </c>
      <c r="L325">
        <v>11.14</v>
      </c>
      <c r="M325">
        <v>12.94</v>
      </c>
      <c r="N325">
        <v>6.47</v>
      </c>
      <c r="O325">
        <v>17.329999999999998</v>
      </c>
      <c r="P325">
        <v>20.57</v>
      </c>
      <c r="Q325">
        <v>39.29</v>
      </c>
      <c r="R325">
        <v>21.86</v>
      </c>
      <c r="S325">
        <v>28.04</v>
      </c>
      <c r="T325">
        <v>35.24</v>
      </c>
      <c r="U325">
        <v>52.4</v>
      </c>
      <c r="V325" s="6">
        <v>21.72</v>
      </c>
    </row>
    <row r="326" spans="1:22" x14ac:dyDescent="0.2">
      <c r="A326" s="4">
        <v>45035</v>
      </c>
      <c r="B326" s="3">
        <v>86.9</v>
      </c>
      <c r="C326">
        <v>62.22</v>
      </c>
      <c r="D326">
        <v>16.55</v>
      </c>
      <c r="E326">
        <v>19.829999999999998</v>
      </c>
      <c r="F326">
        <v>19.27</v>
      </c>
      <c r="G326">
        <v>37.5</v>
      </c>
      <c r="H326">
        <v>17.989999999999998</v>
      </c>
      <c r="I326">
        <v>30.41</v>
      </c>
      <c r="J326">
        <v>48.11</v>
      </c>
      <c r="K326">
        <v>11.16</v>
      </c>
      <c r="L326">
        <v>10.86</v>
      </c>
      <c r="M326">
        <v>12.9</v>
      </c>
      <c r="N326">
        <v>6.4</v>
      </c>
      <c r="O326">
        <v>17.04</v>
      </c>
      <c r="P326">
        <v>20.74</v>
      </c>
      <c r="Q326">
        <v>39.31</v>
      </c>
      <c r="R326">
        <v>21.19</v>
      </c>
      <c r="S326">
        <v>27.38</v>
      </c>
      <c r="T326">
        <v>34.24</v>
      </c>
      <c r="U326">
        <v>50.54</v>
      </c>
      <c r="V326" s="6">
        <v>21.17</v>
      </c>
    </row>
    <row r="327" spans="1:22" x14ac:dyDescent="0.2">
      <c r="A327" s="4">
        <v>45036</v>
      </c>
      <c r="B327" s="3">
        <v>86.52</v>
      </c>
      <c r="C327">
        <v>60.92</v>
      </c>
      <c r="D327">
        <v>16.66</v>
      </c>
      <c r="E327">
        <v>19.89</v>
      </c>
      <c r="F327">
        <v>19.329999999999998</v>
      </c>
      <c r="G327">
        <v>38.590000000000003</v>
      </c>
      <c r="H327">
        <v>18.16</v>
      </c>
      <c r="I327">
        <v>30.44</v>
      </c>
      <c r="J327">
        <v>48.55</v>
      </c>
      <c r="K327">
        <v>11.26</v>
      </c>
      <c r="L327">
        <v>10.93</v>
      </c>
      <c r="M327">
        <v>12.92</v>
      </c>
      <c r="N327">
        <v>6.39</v>
      </c>
      <c r="O327">
        <v>17.149999999999999</v>
      </c>
      <c r="P327">
        <v>20.23</v>
      </c>
      <c r="Q327">
        <v>38.46</v>
      </c>
      <c r="R327">
        <v>21.5</v>
      </c>
      <c r="S327">
        <v>28.09</v>
      </c>
      <c r="T327">
        <v>33.950000000000003</v>
      </c>
      <c r="U327">
        <v>52.08</v>
      </c>
      <c r="V327" s="6">
        <v>21.94</v>
      </c>
    </row>
    <row r="328" spans="1:22" x14ac:dyDescent="0.2">
      <c r="A328" s="4">
        <v>45040</v>
      </c>
      <c r="B328" s="3">
        <v>85.66</v>
      </c>
      <c r="C328">
        <v>58.72</v>
      </c>
      <c r="D328">
        <v>16.98</v>
      </c>
      <c r="E328">
        <v>19.71</v>
      </c>
      <c r="F328">
        <v>19.63</v>
      </c>
      <c r="G328">
        <v>38.69</v>
      </c>
      <c r="H328">
        <v>18.13</v>
      </c>
      <c r="I328">
        <v>31</v>
      </c>
      <c r="J328">
        <v>48.67</v>
      </c>
      <c r="K328">
        <v>11.17</v>
      </c>
      <c r="L328">
        <v>11.02</v>
      </c>
      <c r="M328">
        <v>12.69</v>
      </c>
      <c r="N328">
        <v>6.42</v>
      </c>
      <c r="O328">
        <v>17.100000000000001</v>
      </c>
      <c r="P328">
        <v>20.170000000000002</v>
      </c>
      <c r="Q328">
        <v>37.86</v>
      </c>
      <c r="R328">
        <v>21.19</v>
      </c>
      <c r="S328">
        <v>27.76</v>
      </c>
      <c r="T328">
        <v>34.97</v>
      </c>
      <c r="U328">
        <v>52.06</v>
      </c>
      <c r="V328" s="6">
        <v>21.99</v>
      </c>
    </row>
    <row r="329" spans="1:22" x14ac:dyDescent="0.2">
      <c r="A329" s="4">
        <v>45041</v>
      </c>
      <c r="B329" s="3">
        <v>85.3</v>
      </c>
      <c r="C329">
        <v>57.12</v>
      </c>
      <c r="D329">
        <v>16.91</v>
      </c>
      <c r="E329">
        <v>19.89</v>
      </c>
      <c r="F329">
        <v>19.52</v>
      </c>
      <c r="G329">
        <v>38.869999999999997</v>
      </c>
      <c r="H329">
        <v>17.96</v>
      </c>
      <c r="I329">
        <v>30.86</v>
      </c>
      <c r="J329">
        <v>48.79</v>
      </c>
      <c r="K329">
        <v>11.42</v>
      </c>
      <c r="L329">
        <v>11.06</v>
      </c>
      <c r="M329">
        <v>12.64</v>
      </c>
      <c r="N329">
        <v>6.44</v>
      </c>
      <c r="O329">
        <v>16.850000000000001</v>
      </c>
      <c r="P329">
        <v>19.8</v>
      </c>
      <c r="Q329">
        <v>37.020000000000003</v>
      </c>
      <c r="R329">
        <v>21.45</v>
      </c>
      <c r="S329">
        <v>27.61</v>
      </c>
      <c r="T329">
        <v>34.590000000000003</v>
      </c>
      <c r="U329">
        <v>51.78</v>
      </c>
      <c r="V329" s="6">
        <v>21.77</v>
      </c>
    </row>
    <row r="330" spans="1:22" x14ac:dyDescent="0.2">
      <c r="A330" s="4">
        <v>45042</v>
      </c>
      <c r="B330" s="3">
        <v>85.45</v>
      </c>
      <c r="C330">
        <v>57.34</v>
      </c>
      <c r="D330">
        <v>16.7</v>
      </c>
      <c r="E330">
        <v>19.68</v>
      </c>
      <c r="F330">
        <v>19.25</v>
      </c>
      <c r="G330">
        <v>38.46</v>
      </c>
      <c r="H330">
        <v>17.809999999999999</v>
      </c>
      <c r="I330">
        <v>30.68</v>
      </c>
      <c r="J330">
        <v>47.93</v>
      </c>
      <c r="K330">
        <v>11.25</v>
      </c>
      <c r="L330">
        <v>10.54</v>
      </c>
      <c r="M330">
        <v>12.57</v>
      </c>
      <c r="N330">
        <v>6.36</v>
      </c>
      <c r="O330">
        <v>16.61</v>
      </c>
      <c r="P330">
        <v>19.64</v>
      </c>
      <c r="Q330">
        <v>36.51</v>
      </c>
      <c r="R330">
        <v>21.16</v>
      </c>
      <c r="S330">
        <v>27.33</v>
      </c>
      <c r="T330">
        <v>33.450000000000003</v>
      </c>
      <c r="U330">
        <v>52.15</v>
      </c>
      <c r="V330" s="6">
        <v>21.75</v>
      </c>
    </row>
    <row r="331" spans="1:22" x14ac:dyDescent="0.2">
      <c r="A331" s="4">
        <v>45043</v>
      </c>
      <c r="B331" s="3">
        <v>86.82</v>
      </c>
      <c r="C331">
        <v>58.56</v>
      </c>
      <c r="D331">
        <v>16.29</v>
      </c>
      <c r="E331">
        <v>20.03</v>
      </c>
      <c r="F331">
        <v>18.73</v>
      </c>
      <c r="G331">
        <v>38.69</v>
      </c>
      <c r="H331">
        <v>17.829999999999998</v>
      </c>
      <c r="I331">
        <v>30.79</v>
      </c>
      <c r="J331">
        <v>46.43</v>
      </c>
      <c r="K331">
        <v>11.47</v>
      </c>
      <c r="L331">
        <v>10.76</v>
      </c>
      <c r="M331">
        <v>12.53</v>
      </c>
      <c r="N331">
        <v>6.44</v>
      </c>
      <c r="O331">
        <v>17.02</v>
      </c>
      <c r="P331">
        <v>19.170000000000002</v>
      </c>
      <c r="Q331">
        <v>36.26</v>
      </c>
      <c r="R331">
        <v>21.87</v>
      </c>
      <c r="S331">
        <v>27.2</v>
      </c>
      <c r="T331">
        <v>33.590000000000003</v>
      </c>
      <c r="U331">
        <v>53.11</v>
      </c>
      <c r="V331" s="6">
        <v>21.46</v>
      </c>
    </row>
    <row r="332" spans="1:22" x14ac:dyDescent="0.2">
      <c r="A332" s="4">
        <v>45044</v>
      </c>
      <c r="B332" s="3">
        <v>84.99</v>
      </c>
      <c r="C332">
        <v>59.08</v>
      </c>
      <c r="D332">
        <v>16.66</v>
      </c>
      <c r="E332">
        <v>20.13</v>
      </c>
      <c r="F332">
        <v>19.239999999999998</v>
      </c>
      <c r="G332">
        <v>39.42</v>
      </c>
      <c r="H332">
        <v>17.89</v>
      </c>
      <c r="I332">
        <v>30.72</v>
      </c>
      <c r="J332">
        <v>46.13</v>
      </c>
      <c r="K332">
        <v>11.54</v>
      </c>
      <c r="L332">
        <v>10.94</v>
      </c>
      <c r="M332">
        <v>12.53</v>
      </c>
      <c r="N332">
        <v>6.51</v>
      </c>
      <c r="O332">
        <v>17.899999999999999</v>
      </c>
      <c r="P332">
        <v>19.399999999999999</v>
      </c>
      <c r="Q332">
        <v>37.979999999999997</v>
      </c>
      <c r="R332">
        <v>22.13</v>
      </c>
      <c r="S332">
        <v>27.34</v>
      </c>
      <c r="T332">
        <v>34.69</v>
      </c>
      <c r="U332">
        <v>53.45</v>
      </c>
      <c r="V332" s="6">
        <v>21.82</v>
      </c>
    </row>
    <row r="333" spans="1:22" x14ac:dyDescent="0.2">
      <c r="A333" s="4">
        <v>45048</v>
      </c>
      <c r="B333" s="3">
        <v>84.95</v>
      </c>
      <c r="C333">
        <v>56.75</v>
      </c>
      <c r="D333">
        <v>15.99</v>
      </c>
      <c r="E333">
        <v>19.350000000000001</v>
      </c>
      <c r="F333">
        <v>18.38</v>
      </c>
      <c r="G333">
        <v>39.14</v>
      </c>
      <c r="H333">
        <v>17.47</v>
      </c>
      <c r="I333">
        <v>30.43</v>
      </c>
      <c r="J333">
        <v>44.48</v>
      </c>
      <c r="K333">
        <v>11.38</v>
      </c>
      <c r="L333">
        <v>10.62</v>
      </c>
      <c r="M333">
        <v>12.62</v>
      </c>
      <c r="N333">
        <v>6.28</v>
      </c>
      <c r="O333">
        <v>17.39</v>
      </c>
      <c r="P333">
        <v>19.2</v>
      </c>
      <c r="Q333">
        <v>38.82</v>
      </c>
      <c r="R333">
        <v>21.33</v>
      </c>
      <c r="S333">
        <v>26.7</v>
      </c>
      <c r="T333">
        <v>33.47</v>
      </c>
      <c r="U333">
        <v>51.63</v>
      </c>
      <c r="V333" s="6">
        <v>21.31</v>
      </c>
    </row>
    <row r="334" spans="1:22" x14ac:dyDescent="0.2">
      <c r="A334" s="4">
        <v>45049</v>
      </c>
      <c r="B334" s="3">
        <v>85.36</v>
      </c>
      <c r="C334">
        <v>56.3</v>
      </c>
      <c r="D334">
        <v>15.93</v>
      </c>
      <c r="E334">
        <v>19.32</v>
      </c>
      <c r="F334">
        <v>18.28</v>
      </c>
      <c r="G334">
        <v>38.26</v>
      </c>
      <c r="H334">
        <v>17.41</v>
      </c>
      <c r="I334">
        <v>30.07</v>
      </c>
      <c r="J334">
        <v>44.12</v>
      </c>
      <c r="K334">
        <v>11.47</v>
      </c>
      <c r="L334">
        <v>10.79</v>
      </c>
      <c r="M334">
        <v>12.9</v>
      </c>
      <c r="N334">
        <v>6.27</v>
      </c>
      <c r="O334">
        <v>17.63</v>
      </c>
      <c r="P334">
        <v>18.72</v>
      </c>
      <c r="Q334">
        <v>38.270000000000003</v>
      </c>
      <c r="R334">
        <v>21.41</v>
      </c>
      <c r="S334">
        <v>26.4</v>
      </c>
      <c r="T334">
        <v>34.049999999999997</v>
      </c>
      <c r="U334">
        <v>52.2</v>
      </c>
      <c r="V334" s="6">
        <v>21.01</v>
      </c>
    </row>
    <row r="335" spans="1:22" x14ac:dyDescent="0.2">
      <c r="A335" s="4">
        <v>45050</v>
      </c>
      <c r="B335" s="3">
        <v>87.5</v>
      </c>
      <c r="C335">
        <v>54.56</v>
      </c>
      <c r="D335">
        <v>16.190000000000001</v>
      </c>
      <c r="E335">
        <v>19.48</v>
      </c>
      <c r="F335">
        <v>18.55</v>
      </c>
      <c r="G335">
        <v>37.68</v>
      </c>
      <c r="H335">
        <v>17.61</v>
      </c>
      <c r="I335">
        <v>30.62</v>
      </c>
      <c r="J335">
        <v>46.13</v>
      </c>
      <c r="K335">
        <v>11.74</v>
      </c>
      <c r="L335">
        <v>11.09</v>
      </c>
      <c r="M335">
        <v>12.94</v>
      </c>
      <c r="N335">
        <v>6.36</v>
      </c>
      <c r="O335">
        <v>17.95</v>
      </c>
      <c r="P335">
        <v>16.899999999999999</v>
      </c>
      <c r="Q335">
        <v>37.79</v>
      </c>
      <c r="R335">
        <v>21.92</v>
      </c>
      <c r="S335">
        <v>27.1</v>
      </c>
      <c r="T335">
        <v>32.65</v>
      </c>
      <c r="U335">
        <v>53.07</v>
      </c>
      <c r="V335" s="6">
        <v>21.75</v>
      </c>
    </row>
    <row r="336" spans="1:22" x14ac:dyDescent="0.2">
      <c r="A336" s="4">
        <v>45051</v>
      </c>
      <c r="B336" s="3">
        <v>88.3</v>
      </c>
      <c r="C336">
        <v>56.34</v>
      </c>
      <c r="D336">
        <v>16.88</v>
      </c>
      <c r="E336">
        <v>20.2</v>
      </c>
      <c r="F336">
        <v>19.329999999999998</v>
      </c>
      <c r="G336">
        <v>37.6</v>
      </c>
      <c r="H336">
        <v>18.059999999999999</v>
      </c>
      <c r="I336">
        <v>30.82</v>
      </c>
      <c r="J336">
        <v>45.84</v>
      </c>
      <c r="K336">
        <v>12.33</v>
      </c>
      <c r="L336">
        <v>11.7</v>
      </c>
      <c r="M336">
        <v>12.82</v>
      </c>
      <c r="N336">
        <v>6.55</v>
      </c>
      <c r="O336">
        <v>18.28</v>
      </c>
      <c r="P336">
        <v>16.48</v>
      </c>
      <c r="Q336">
        <v>39.71</v>
      </c>
      <c r="R336">
        <v>22.55</v>
      </c>
      <c r="S336">
        <v>27.43</v>
      </c>
      <c r="T336">
        <v>34.24</v>
      </c>
      <c r="U336">
        <v>53.77</v>
      </c>
      <c r="V336" s="6">
        <v>22.71</v>
      </c>
    </row>
    <row r="337" spans="1:22" x14ac:dyDescent="0.2">
      <c r="A337" s="4">
        <v>45054</v>
      </c>
      <c r="B337" s="3">
        <v>89.05</v>
      </c>
      <c r="C337">
        <v>57.1</v>
      </c>
      <c r="D337">
        <v>17.23</v>
      </c>
      <c r="E337">
        <v>20.48</v>
      </c>
      <c r="F337">
        <v>19.64</v>
      </c>
      <c r="G337">
        <v>37.58</v>
      </c>
      <c r="H337">
        <v>17.989999999999998</v>
      </c>
      <c r="I337">
        <v>30.3</v>
      </c>
      <c r="J337">
        <v>45.95</v>
      </c>
      <c r="K337">
        <v>12.78</v>
      </c>
      <c r="L337">
        <v>11.66</v>
      </c>
      <c r="M337">
        <v>12.84</v>
      </c>
      <c r="N337">
        <v>6.6</v>
      </c>
      <c r="O337">
        <v>17.8</v>
      </c>
      <c r="P337">
        <v>16.38</v>
      </c>
      <c r="Q337">
        <v>39.950000000000003</v>
      </c>
      <c r="R337">
        <v>22.81</v>
      </c>
      <c r="S337">
        <v>27.47</v>
      </c>
      <c r="T337">
        <v>34.450000000000003</v>
      </c>
      <c r="U337">
        <v>53.61</v>
      </c>
      <c r="V337" s="6">
        <v>22.62</v>
      </c>
    </row>
    <row r="338" spans="1:22" x14ac:dyDescent="0.2">
      <c r="A338" s="4">
        <v>45055</v>
      </c>
      <c r="B338" s="3">
        <v>89.33</v>
      </c>
      <c r="C338">
        <v>57.68</v>
      </c>
      <c r="D338">
        <v>17.29</v>
      </c>
      <c r="E338">
        <v>20.6</v>
      </c>
      <c r="F338">
        <v>19.79</v>
      </c>
      <c r="G338">
        <v>38.22</v>
      </c>
      <c r="H338">
        <v>17.93</v>
      </c>
      <c r="I338">
        <v>31.55</v>
      </c>
      <c r="J338">
        <v>46.14</v>
      </c>
      <c r="K338">
        <v>12.66</v>
      </c>
      <c r="L338">
        <v>11.77</v>
      </c>
      <c r="M338">
        <v>12.83</v>
      </c>
      <c r="N338">
        <v>6.63</v>
      </c>
      <c r="O338">
        <v>17.79</v>
      </c>
      <c r="P338">
        <v>16.43</v>
      </c>
      <c r="Q338">
        <v>39.6</v>
      </c>
      <c r="R338">
        <v>23.15</v>
      </c>
      <c r="S338">
        <v>27.8</v>
      </c>
      <c r="T338">
        <v>34.549999999999997</v>
      </c>
      <c r="U338">
        <v>54.3</v>
      </c>
      <c r="V338" s="6">
        <v>23.35</v>
      </c>
    </row>
    <row r="339" spans="1:22" x14ac:dyDescent="0.2">
      <c r="A339" s="4">
        <v>45056</v>
      </c>
      <c r="B339" s="3">
        <v>89.12</v>
      </c>
      <c r="C339">
        <v>56.6</v>
      </c>
      <c r="D339">
        <v>17.25</v>
      </c>
      <c r="E339">
        <v>20.91</v>
      </c>
      <c r="F339">
        <v>19.829999999999998</v>
      </c>
      <c r="G339">
        <v>37.729999999999997</v>
      </c>
      <c r="H339">
        <v>18.16</v>
      </c>
      <c r="I339">
        <v>32.6</v>
      </c>
      <c r="J339">
        <v>48.01</v>
      </c>
      <c r="K339">
        <v>12.68</v>
      </c>
      <c r="L339">
        <v>11.76</v>
      </c>
      <c r="M339">
        <v>12.74</v>
      </c>
      <c r="N339">
        <v>6.69</v>
      </c>
      <c r="O339">
        <v>17.3</v>
      </c>
      <c r="P339">
        <v>16.79</v>
      </c>
      <c r="Q339">
        <v>39.78</v>
      </c>
      <c r="R339">
        <v>23.62</v>
      </c>
      <c r="S339">
        <v>28.04</v>
      </c>
      <c r="T339">
        <v>34.590000000000003</v>
      </c>
      <c r="U339">
        <v>55.33</v>
      </c>
      <c r="V339" s="6">
        <v>23.32</v>
      </c>
    </row>
    <row r="340" spans="1:22" x14ac:dyDescent="0.2">
      <c r="A340" s="4">
        <v>45057</v>
      </c>
      <c r="B340" s="3">
        <v>90.14</v>
      </c>
      <c r="C340">
        <v>55.5</v>
      </c>
      <c r="D340">
        <v>17.88</v>
      </c>
      <c r="E340">
        <v>21.11</v>
      </c>
      <c r="F340">
        <v>20.309999999999999</v>
      </c>
      <c r="G340">
        <v>37.700000000000003</v>
      </c>
      <c r="H340">
        <v>18.54</v>
      </c>
      <c r="I340">
        <v>32.79</v>
      </c>
      <c r="J340">
        <v>48.46</v>
      </c>
      <c r="K340">
        <v>12.85</v>
      </c>
      <c r="L340">
        <v>11.98</v>
      </c>
      <c r="M340">
        <v>12.83</v>
      </c>
      <c r="N340">
        <v>6.75</v>
      </c>
      <c r="O340">
        <v>17.3</v>
      </c>
      <c r="P340">
        <v>17.059999999999999</v>
      </c>
      <c r="Q340">
        <v>39.67</v>
      </c>
      <c r="R340">
        <v>24.15</v>
      </c>
      <c r="S340">
        <v>28.41</v>
      </c>
      <c r="T340">
        <v>34.76</v>
      </c>
      <c r="U340">
        <v>56.98</v>
      </c>
      <c r="V340" s="6">
        <v>24.06</v>
      </c>
    </row>
    <row r="341" spans="1:22" x14ac:dyDescent="0.2">
      <c r="A341" s="4">
        <v>45058</v>
      </c>
      <c r="B341" s="3">
        <v>90.33</v>
      </c>
      <c r="C341">
        <v>55.55</v>
      </c>
      <c r="D341">
        <v>18.46</v>
      </c>
      <c r="E341">
        <v>20.91</v>
      </c>
      <c r="F341">
        <v>21.02</v>
      </c>
      <c r="G341">
        <v>37.31</v>
      </c>
      <c r="H341">
        <v>18.47</v>
      </c>
      <c r="I341">
        <v>32.04</v>
      </c>
      <c r="J341">
        <v>51.98</v>
      </c>
      <c r="K341">
        <v>12.91</v>
      </c>
      <c r="L341">
        <v>12.02</v>
      </c>
      <c r="M341">
        <v>12.79</v>
      </c>
      <c r="N341">
        <v>6.72</v>
      </c>
      <c r="O341">
        <v>16.14</v>
      </c>
      <c r="P341">
        <v>17.53</v>
      </c>
      <c r="Q341">
        <v>40.5</v>
      </c>
      <c r="R341">
        <v>24.08</v>
      </c>
      <c r="S341">
        <v>28.79</v>
      </c>
      <c r="T341">
        <v>34.44</v>
      </c>
      <c r="U341">
        <v>56.7</v>
      </c>
      <c r="V341" s="6">
        <v>24.29</v>
      </c>
    </row>
    <row r="342" spans="1:22" x14ac:dyDescent="0.2">
      <c r="A342" s="4">
        <v>45061</v>
      </c>
      <c r="B342" s="3">
        <v>90.17</v>
      </c>
      <c r="C342">
        <v>56.35</v>
      </c>
      <c r="D342">
        <v>18.04</v>
      </c>
      <c r="E342">
        <v>20.99</v>
      </c>
      <c r="F342">
        <v>20.6</v>
      </c>
      <c r="G342">
        <v>38.01</v>
      </c>
      <c r="H342">
        <v>18.55</v>
      </c>
      <c r="I342">
        <v>32.299999999999997</v>
      </c>
      <c r="J342">
        <v>52.37</v>
      </c>
      <c r="K342">
        <v>13.11</v>
      </c>
      <c r="L342">
        <v>12.18</v>
      </c>
      <c r="M342">
        <v>12.94</v>
      </c>
      <c r="N342">
        <v>6.75</v>
      </c>
      <c r="O342">
        <v>16.170000000000002</v>
      </c>
      <c r="P342">
        <v>17.63</v>
      </c>
      <c r="Q342">
        <v>40.950000000000003</v>
      </c>
      <c r="R342">
        <v>24.26</v>
      </c>
      <c r="S342">
        <v>28.96</v>
      </c>
      <c r="T342">
        <v>34.409999999999997</v>
      </c>
      <c r="U342">
        <v>56.45</v>
      </c>
      <c r="V342" s="6">
        <v>24.85</v>
      </c>
    </row>
    <row r="343" spans="1:22" x14ac:dyDescent="0.2">
      <c r="A343" s="4">
        <v>45062</v>
      </c>
      <c r="B343" s="3">
        <v>90.84</v>
      </c>
      <c r="C343">
        <v>55.2</v>
      </c>
      <c r="D343">
        <v>18.489999999999998</v>
      </c>
      <c r="E343">
        <v>20.92</v>
      </c>
      <c r="F343">
        <v>21.06</v>
      </c>
      <c r="G343">
        <v>38.06</v>
      </c>
      <c r="H343">
        <v>18.02</v>
      </c>
      <c r="I343">
        <v>31.97</v>
      </c>
      <c r="J343">
        <v>50.92</v>
      </c>
      <c r="K343">
        <v>13</v>
      </c>
      <c r="L343">
        <v>12</v>
      </c>
      <c r="M343">
        <v>12.92</v>
      </c>
      <c r="N343">
        <v>6.73</v>
      </c>
      <c r="O343">
        <v>16.22</v>
      </c>
      <c r="P343">
        <v>17.829999999999998</v>
      </c>
      <c r="Q343">
        <v>41.71</v>
      </c>
      <c r="R343">
        <v>24.2</v>
      </c>
      <c r="S343">
        <v>28.72</v>
      </c>
      <c r="T343">
        <v>34.44</v>
      </c>
      <c r="U343">
        <v>56.33</v>
      </c>
      <c r="V343" s="6">
        <v>26.52</v>
      </c>
    </row>
    <row r="344" spans="1:22" x14ac:dyDescent="0.2">
      <c r="A344" s="4">
        <v>45063</v>
      </c>
      <c r="B344" s="3">
        <v>91.37</v>
      </c>
      <c r="C344">
        <v>57.02</v>
      </c>
      <c r="D344">
        <v>18.04</v>
      </c>
      <c r="E344">
        <v>21.13</v>
      </c>
      <c r="F344">
        <v>20.93</v>
      </c>
      <c r="G344">
        <v>37.83</v>
      </c>
      <c r="H344">
        <v>18.05</v>
      </c>
      <c r="I344">
        <v>31.47</v>
      </c>
      <c r="J344">
        <v>50.56</v>
      </c>
      <c r="K344">
        <v>13.06</v>
      </c>
      <c r="L344">
        <v>12.48</v>
      </c>
      <c r="M344">
        <v>12.88</v>
      </c>
      <c r="N344">
        <v>6.75</v>
      </c>
      <c r="O344">
        <v>16.2</v>
      </c>
      <c r="P344">
        <v>18.079999999999998</v>
      </c>
      <c r="Q344">
        <v>41.73</v>
      </c>
      <c r="R344">
        <v>24.66</v>
      </c>
      <c r="S344">
        <v>28.62</v>
      </c>
      <c r="T344">
        <v>36.44</v>
      </c>
      <c r="U344">
        <v>57.36</v>
      </c>
      <c r="V344" s="6">
        <v>26.81</v>
      </c>
    </row>
    <row r="345" spans="1:22" x14ac:dyDescent="0.2">
      <c r="A345" s="4">
        <v>45064</v>
      </c>
      <c r="B345" s="3">
        <v>92.02</v>
      </c>
      <c r="C345">
        <v>57.1</v>
      </c>
      <c r="D345">
        <v>18.149999999999999</v>
      </c>
      <c r="E345">
        <v>21.05</v>
      </c>
      <c r="F345">
        <v>21.03</v>
      </c>
      <c r="G345">
        <v>37.68</v>
      </c>
      <c r="H345">
        <v>18.04</v>
      </c>
      <c r="I345">
        <v>31.1</v>
      </c>
      <c r="J345">
        <v>50.99</v>
      </c>
      <c r="K345">
        <v>13.1</v>
      </c>
      <c r="L345">
        <v>12.64</v>
      </c>
      <c r="M345">
        <v>12.87</v>
      </c>
      <c r="N345">
        <v>6.74</v>
      </c>
      <c r="O345">
        <v>16.399999999999999</v>
      </c>
      <c r="P345">
        <v>18.059999999999999</v>
      </c>
      <c r="Q345">
        <v>43.28</v>
      </c>
      <c r="R345">
        <v>24.64</v>
      </c>
      <c r="S345">
        <v>28.84</v>
      </c>
      <c r="T345">
        <v>36.29</v>
      </c>
      <c r="U345">
        <v>58</v>
      </c>
      <c r="V345" s="6">
        <v>27.64</v>
      </c>
    </row>
    <row r="346" spans="1:22" x14ac:dyDescent="0.2">
      <c r="A346" s="4">
        <v>45065</v>
      </c>
      <c r="B346" s="3">
        <v>91.62</v>
      </c>
      <c r="C346">
        <v>56.48</v>
      </c>
      <c r="D346">
        <v>18.23</v>
      </c>
      <c r="E346">
        <v>20.88</v>
      </c>
      <c r="F346">
        <v>21.13</v>
      </c>
      <c r="G346">
        <v>38.479999999999997</v>
      </c>
      <c r="H346">
        <v>18.39</v>
      </c>
      <c r="I346">
        <v>32.06</v>
      </c>
      <c r="J346">
        <v>51.03</v>
      </c>
      <c r="K346">
        <v>13.42</v>
      </c>
      <c r="L346">
        <v>12.71</v>
      </c>
      <c r="M346">
        <v>12.9</v>
      </c>
      <c r="N346">
        <v>6.69</v>
      </c>
      <c r="O346">
        <v>17</v>
      </c>
      <c r="P346">
        <v>18</v>
      </c>
      <c r="Q346">
        <v>43.34</v>
      </c>
      <c r="R346">
        <v>24.92</v>
      </c>
      <c r="S346">
        <v>29.31</v>
      </c>
      <c r="T346">
        <v>36.909999999999997</v>
      </c>
      <c r="U346">
        <v>58.34</v>
      </c>
      <c r="V346" s="6">
        <v>27.57</v>
      </c>
    </row>
    <row r="347" spans="1:22" x14ac:dyDescent="0.2">
      <c r="A347" s="4">
        <v>45068</v>
      </c>
      <c r="B347" s="3">
        <v>91.6</v>
      </c>
      <c r="C347">
        <v>55.57</v>
      </c>
      <c r="D347">
        <v>18.010000000000002</v>
      </c>
      <c r="E347">
        <v>20.49</v>
      </c>
      <c r="F347">
        <v>20.81</v>
      </c>
      <c r="G347">
        <v>38.700000000000003</v>
      </c>
      <c r="H347">
        <v>18.14</v>
      </c>
      <c r="I347">
        <v>32.49</v>
      </c>
      <c r="J347">
        <v>50.84</v>
      </c>
      <c r="K347">
        <v>13.29</v>
      </c>
      <c r="L347">
        <v>12.55</v>
      </c>
      <c r="M347">
        <v>12.94</v>
      </c>
      <c r="N347">
        <v>6.65</v>
      </c>
      <c r="O347">
        <v>17.14</v>
      </c>
      <c r="P347">
        <v>18.010000000000002</v>
      </c>
      <c r="Q347">
        <v>43.11</v>
      </c>
      <c r="R347">
        <v>24.49</v>
      </c>
      <c r="S347">
        <v>29.24</v>
      </c>
      <c r="T347">
        <v>36.130000000000003</v>
      </c>
      <c r="U347">
        <v>58.34</v>
      </c>
      <c r="V347" s="6">
        <v>27.85</v>
      </c>
    </row>
    <row r="348" spans="1:22" x14ac:dyDescent="0.2">
      <c r="A348" s="4">
        <v>45069</v>
      </c>
      <c r="B348" s="3">
        <v>90.59</v>
      </c>
      <c r="C348">
        <v>54.31</v>
      </c>
      <c r="D348">
        <v>18.46</v>
      </c>
      <c r="E348">
        <v>20.65</v>
      </c>
      <c r="F348">
        <v>21.24</v>
      </c>
      <c r="G348">
        <v>38.56</v>
      </c>
      <c r="H348">
        <v>18.57</v>
      </c>
      <c r="I348">
        <v>32.520000000000003</v>
      </c>
      <c r="J348">
        <v>50.48</v>
      </c>
      <c r="K348">
        <v>13.39</v>
      </c>
      <c r="L348">
        <v>12.38</v>
      </c>
      <c r="M348">
        <v>12.91</v>
      </c>
      <c r="N348">
        <v>6.68</v>
      </c>
      <c r="O348">
        <v>16.98</v>
      </c>
      <c r="P348">
        <v>17.739999999999998</v>
      </c>
      <c r="Q348">
        <v>43.76</v>
      </c>
      <c r="R348">
        <v>24.48</v>
      </c>
      <c r="S348">
        <v>29.15</v>
      </c>
      <c r="T348">
        <v>36.1</v>
      </c>
      <c r="U348">
        <v>58.05</v>
      </c>
      <c r="V348" s="6">
        <v>27.81</v>
      </c>
    </row>
    <row r="349" spans="1:22" x14ac:dyDescent="0.2">
      <c r="A349" s="4">
        <v>45070</v>
      </c>
      <c r="B349" s="3">
        <v>91.4</v>
      </c>
      <c r="C349">
        <v>53.08</v>
      </c>
      <c r="D349">
        <v>18.739999999999998</v>
      </c>
      <c r="E349">
        <v>20.53</v>
      </c>
      <c r="F349">
        <v>21.47</v>
      </c>
      <c r="G349">
        <v>38.18</v>
      </c>
      <c r="H349">
        <v>18.64</v>
      </c>
      <c r="I349">
        <v>31.84</v>
      </c>
      <c r="J349">
        <v>50.03</v>
      </c>
      <c r="K349">
        <v>12.98</v>
      </c>
      <c r="L349">
        <v>12.05</v>
      </c>
      <c r="M349">
        <v>12.97</v>
      </c>
      <c r="N349">
        <v>6.67</v>
      </c>
      <c r="O349">
        <v>16.149999999999999</v>
      </c>
      <c r="P349">
        <v>17.37</v>
      </c>
      <c r="Q349">
        <v>42.55</v>
      </c>
      <c r="R349">
        <v>24.41</v>
      </c>
      <c r="S349">
        <v>28.72</v>
      </c>
      <c r="T349">
        <v>35.89</v>
      </c>
      <c r="U349">
        <v>57.76</v>
      </c>
      <c r="V349" s="6">
        <v>27.28</v>
      </c>
    </row>
    <row r="350" spans="1:22" x14ac:dyDescent="0.2">
      <c r="A350" s="4">
        <v>45071</v>
      </c>
      <c r="B350" s="3">
        <v>92.22</v>
      </c>
      <c r="C350">
        <v>52.92</v>
      </c>
      <c r="D350">
        <v>18.600000000000001</v>
      </c>
      <c r="E350">
        <v>21.18</v>
      </c>
      <c r="F350">
        <v>21.32</v>
      </c>
      <c r="G350">
        <v>37.43</v>
      </c>
      <c r="H350">
        <v>18.64</v>
      </c>
      <c r="I350">
        <v>32.75</v>
      </c>
      <c r="J350">
        <v>51.33</v>
      </c>
      <c r="K350">
        <v>13.45</v>
      </c>
      <c r="L350">
        <v>12.35</v>
      </c>
      <c r="M350">
        <v>13.04</v>
      </c>
      <c r="N350">
        <v>6.77</v>
      </c>
      <c r="O350">
        <v>16.43</v>
      </c>
      <c r="P350">
        <v>18.059999999999999</v>
      </c>
      <c r="Q350">
        <v>42.1</v>
      </c>
      <c r="R350">
        <v>25.39</v>
      </c>
      <c r="S350">
        <v>28.97</v>
      </c>
      <c r="T350">
        <v>35.57</v>
      </c>
      <c r="U350">
        <v>58.92</v>
      </c>
      <c r="V350" s="6">
        <v>28.29</v>
      </c>
    </row>
    <row r="351" spans="1:22" x14ac:dyDescent="0.2">
      <c r="A351" s="4">
        <v>45072</v>
      </c>
      <c r="B351" s="3">
        <v>91.86</v>
      </c>
      <c r="C351">
        <v>54.13</v>
      </c>
      <c r="D351">
        <v>18.84</v>
      </c>
      <c r="E351">
        <v>21.02</v>
      </c>
      <c r="F351">
        <v>21.67</v>
      </c>
      <c r="G351">
        <v>37.880000000000003</v>
      </c>
      <c r="H351">
        <v>18.54</v>
      </c>
      <c r="I351">
        <v>32.22</v>
      </c>
      <c r="J351">
        <v>53.49</v>
      </c>
      <c r="K351">
        <v>13.45</v>
      </c>
      <c r="L351">
        <v>12.8</v>
      </c>
      <c r="M351">
        <v>13.06</v>
      </c>
      <c r="N351">
        <v>6.73</v>
      </c>
      <c r="O351">
        <v>16.399999999999999</v>
      </c>
      <c r="P351">
        <v>18.46</v>
      </c>
      <c r="Q351">
        <v>43.28</v>
      </c>
      <c r="R351">
        <v>25.64</v>
      </c>
      <c r="S351">
        <v>28.9</v>
      </c>
      <c r="T351">
        <v>35.29</v>
      </c>
      <c r="U351">
        <v>59.19</v>
      </c>
      <c r="V351" s="6">
        <v>28.29</v>
      </c>
    </row>
    <row r="352" spans="1:22" x14ac:dyDescent="0.2">
      <c r="A352" s="4">
        <v>45075</v>
      </c>
      <c r="B352" s="3">
        <v>90.52</v>
      </c>
      <c r="C352">
        <v>53.72</v>
      </c>
      <c r="D352">
        <v>18.77</v>
      </c>
      <c r="E352">
        <v>20.92</v>
      </c>
      <c r="F352">
        <v>21.53</v>
      </c>
      <c r="G352">
        <v>37.28</v>
      </c>
      <c r="H352">
        <v>18.5</v>
      </c>
      <c r="I352">
        <v>31.57</v>
      </c>
      <c r="J352">
        <v>52.94</v>
      </c>
      <c r="K352">
        <v>13.47</v>
      </c>
      <c r="L352">
        <v>12.68</v>
      </c>
      <c r="M352">
        <v>13.06</v>
      </c>
      <c r="N352">
        <v>6.72</v>
      </c>
      <c r="O352">
        <v>16.41</v>
      </c>
      <c r="P352">
        <v>18.79</v>
      </c>
      <c r="Q352">
        <v>43.3</v>
      </c>
      <c r="R352">
        <v>25.79</v>
      </c>
      <c r="S352">
        <v>28.24</v>
      </c>
      <c r="T352">
        <v>35.06</v>
      </c>
      <c r="U352">
        <v>59.18</v>
      </c>
      <c r="V352" s="6">
        <v>28.09</v>
      </c>
    </row>
    <row r="353" spans="1:22" x14ac:dyDescent="0.2">
      <c r="A353" s="4">
        <v>45076</v>
      </c>
      <c r="B353" s="3">
        <v>90.23</v>
      </c>
      <c r="C353">
        <v>52.45</v>
      </c>
      <c r="D353">
        <v>18.559999999999999</v>
      </c>
      <c r="E353">
        <v>20.63</v>
      </c>
      <c r="F353">
        <v>21.33</v>
      </c>
      <c r="G353">
        <v>36.76</v>
      </c>
      <c r="H353">
        <v>18.66</v>
      </c>
      <c r="I353">
        <v>31.61</v>
      </c>
      <c r="J353">
        <v>52.51</v>
      </c>
      <c r="K353">
        <v>13.1</v>
      </c>
      <c r="L353">
        <v>12.51</v>
      </c>
      <c r="M353">
        <v>12.81</v>
      </c>
      <c r="N353">
        <v>6.66</v>
      </c>
      <c r="O353">
        <v>16.41</v>
      </c>
      <c r="P353">
        <v>18.86</v>
      </c>
      <c r="Q353">
        <v>43.06</v>
      </c>
      <c r="R353">
        <v>25.15</v>
      </c>
      <c r="S353">
        <v>28.1</v>
      </c>
      <c r="T353">
        <v>34.08</v>
      </c>
      <c r="U353">
        <v>58.24</v>
      </c>
      <c r="V353" s="6">
        <v>27.65</v>
      </c>
    </row>
    <row r="354" spans="1:22" x14ac:dyDescent="0.2">
      <c r="A354" s="4">
        <v>45077</v>
      </c>
      <c r="B354" s="3">
        <v>91.9</v>
      </c>
      <c r="C354">
        <v>52.07</v>
      </c>
      <c r="D354">
        <v>18.37</v>
      </c>
      <c r="E354">
        <v>20.46</v>
      </c>
      <c r="F354">
        <v>21.07</v>
      </c>
      <c r="G354">
        <v>36.06</v>
      </c>
      <c r="H354">
        <v>18.63</v>
      </c>
      <c r="I354">
        <v>32.04</v>
      </c>
      <c r="J354">
        <v>52.55</v>
      </c>
      <c r="K354">
        <v>12.94</v>
      </c>
      <c r="L354">
        <v>12.48</v>
      </c>
      <c r="M354">
        <v>12.75</v>
      </c>
      <c r="N354">
        <v>6.58</v>
      </c>
      <c r="O354">
        <v>16.8</v>
      </c>
      <c r="P354">
        <v>19</v>
      </c>
      <c r="Q354">
        <v>42.73</v>
      </c>
      <c r="R354">
        <v>24.85</v>
      </c>
      <c r="S354">
        <v>28.15</v>
      </c>
      <c r="T354">
        <v>34.14</v>
      </c>
      <c r="U354">
        <v>57.17</v>
      </c>
      <c r="V354" s="6">
        <v>27.66</v>
      </c>
    </row>
    <row r="355" spans="1:22" x14ac:dyDescent="0.2">
      <c r="A355" s="4">
        <v>45078</v>
      </c>
      <c r="B355" s="3">
        <v>93.61</v>
      </c>
      <c r="C355">
        <v>53.17</v>
      </c>
      <c r="D355">
        <v>18.96</v>
      </c>
      <c r="E355">
        <v>20.76</v>
      </c>
      <c r="F355">
        <v>21.68</v>
      </c>
      <c r="G355">
        <v>35.659999999999997</v>
      </c>
      <c r="H355">
        <v>18.68</v>
      </c>
      <c r="I355">
        <v>32.31</v>
      </c>
      <c r="J355">
        <v>52.3</v>
      </c>
      <c r="K355">
        <v>13.17</v>
      </c>
      <c r="L355">
        <v>13.4</v>
      </c>
      <c r="M355">
        <v>12.6</v>
      </c>
      <c r="N355">
        <v>6.68</v>
      </c>
      <c r="O355">
        <v>16.41</v>
      </c>
      <c r="P355">
        <v>19.440000000000001</v>
      </c>
      <c r="Q355">
        <v>42.94</v>
      </c>
      <c r="R355">
        <v>25.78</v>
      </c>
      <c r="S355">
        <v>27.95</v>
      </c>
      <c r="T355">
        <v>34.119999999999997</v>
      </c>
      <c r="U355">
        <v>60.38</v>
      </c>
      <c r="V355" s="6">
        <v>28.84</v>
      </c>
    </row>
    <row r="356" spans="1:22" x14ac:dyDescent="0.2">
      <c r="A356" s="4">
        <v>45079</v>
      </c>
      <c r="B356" s="3">
        <v>93.38</v>
      </c>
      <c r="C356">
        <v>55.44</v>
      </c>
      <c r="D356">
        <v>19.11</v>
      </c>
      <c r="E356">
        <v>21.07</v>
      </c>
      <c r="F356">
        <v>21.94</v>
      </c>
      <c r="G356">
        <v>36.119999999999997</v>
      </c>
      <c r="H356">
        <v>19.02</v>
      </c>
      <c r="I356">
        <v>32.99</v>
      </c>
      <c r="J356">
        <v>53.11</v>
      </c>
      <c r="K356">
        <v>13.4</v>
      </c>
      <c r="L356">
        <v>13.51</v>
      </c>
      <c r="M356">
        <v>12.79</v>
      </c>
      <c r="N356">
        <v>6.84</v>
      </c>
      <c r="O356">
        <v>16.77</v>
      </c>
      <c r="P356">
        <v>19.47</v>
      </c>
      <c r="Q356">
        <v>44.3</v>
      </c>
      <c r="R356">
        <v>26.64</v>
      </c>
      <c r="S356">
        <v>28.16</v>
      </c>
      <c r="T356">
        <v>35.26</v>
      </c>
      <c r="U356">
        <v>60.95</v>
      </c>
      <c r="V356" s="6">
        <v>29.38</v>
      </c>
    </row>
    <row r="357" spans="1:22" x14ac:dyDescent="0.2">
      <c r="A357" s="4">
        <v>45082</v>
      </c>
      <c r="B357" s="3">
        <v>95</v>
      </c>
      <c r="C357">
        <v>54.98</v>
      </c>
      <c r="D357">
        <v>19.309999999999999</v>
      </c>
      <c r="E357">
        <v>21.11</v>
      </c>
      <c r="F357">
        <v>22.08</v>
      </c>
      <c r="G357">
        <v>36.08</v>
      </c>
      <c r="H357">
        <v>19.079999999999998</v>
      </c>
      <c r="I357">
        <v>33.08</v>
      </c>
      <c r="J357">
        <v>52.24</v>
      </c>
      <c r="K357">
        <v>13.64</v>
      </c>
      <c r="L357">
        <v>13.55</v>
      </c>
      <c r="M357">
        <v>12.75</v>
      </c>
      <c r="N357">
        <v>6.83</v>
      </c>
      <c r="O357">
        <v>16.88</v>
      </c>
      <c r="P357">
        <v>19.43</v>
      </c>
      <c r="Q357">
        <v>44.67</v>
      </c>
      <c r="R357">
        <v>26.81</v>
      </c>
      <c r="S357">
        <v>28.13</v>
      </c>
      <c r="T357">
        <v>35.29</v>
      </c>
      <c r="U357">
        <v>61.27</v>
      </c>
      <c r="V357" s="6">
        <v>29.67</v>
      </c>
    </row>
    <row r="358" spans="1:22" x14ac:dyDescent="0.2">
      <c r="A358" s="4">
        <v>45083</v>
      </c>
      <c r="B358" s="3">
        <v>95.48</v>
      </c>
      <c r="C358">
        <v>55.16</v>
      </c>
      <c r="D358">
        <v>19.72</v>
      </c>
      <c r="E358">
        <v>21.26</v>
      </c>
      <c r="F358">
        <v>22.53</v>
      </c>
      <c r="G358">
        <v>36.630000000000003</v>
      </c>
      <c r="H358">
        <v>19.309999999999999</v>
      </c>
      <c r="I358">
        <v>34.659999999999997</v>
      </c>
      <c r="J358">
        <v>53.75</v>
      </c>
      <c r="K358">
        <v>13.86</v>
      </c>
      <c r="L358">
        <v>13.5</v>
      </c>
      <c r="M358">
        <v>13.11</v>
      </c>
      <c r="N358">
        <v>6.83</v>
      </c>
      <c r="O358">
        <v>17.62</v>
      </c>
      <c r="P358">
        <v>19.53</v>
      </c>
      <c r="Q358">
        <v>44.79</v>
      </c>
      <c r="R358">
        <v>26.93</v>
      </c>
      <c r="S358">
        <v>29.04</v>
      </c>
      <c r="T358">
        <v>34.229999999999997</v>
      </c>
      <c r="U358">
        <v>62.47</v>
      </c>
      <c r="V358" s="6">
        <v>30.16</v>
      </c>
    </row>
    <row r="359" spans="1:22" x14ac:dyDescent="0.2">
      <c r="A359" s="4">
        <v>45084</v>
      </c>
      <c r="B359" s="3">
        <v>97.11</v>
      </c>
      <c r="C359">
        <v>56.04</v>
      </c>
      <c r="D359">
        <v>20.3</v>
      </c>
      <c r="E359">
        <v>21.32</v>
      </c>
      <c r="F359">
        <v>23.23</v>
      </c>
      <c r="G359">
        <v>36.58</v>
      </c>
      <c r="H359">
        <v>19.3</v>
      </c>
      <c r="I359">
        <v>34.51</v>
      </c>
      <c r="J359">
        <v>53.31</v>
      </c>
      <c r="K359">
        <v>13.85</v>
      </c>
      <c r="L359">
        <v>13.81</v>
      </c>
      <c r="M359">
        <v>13.14</v>
      </c>
      <c r="N359">
        <v>6.84</v>
      </c>
      <c r="O359">
        <v>17.66</v>
      </c>
      <c r="P359">
        <v>19.22</v>
      </c>
      <c r="Q359">
        <v>43.73</v>
      </c>
      <c r="R359">
        <v>27.6</v>
      </c>
      <c r="S359">
        <v>29.61</v>
      </c>
      <c r="T359">
        <v>34.729999999999997</v>
      </c>
      <c r="U359">
        <v>62.24</v>
      </c>
      <c r="V359" s="6">
        <v>30.88</v>
      </c>
    </row>
    <row r="360" spans="1:22" x14ac:dyDescent="0.2">
      <c r="A360" s="4">
        <v>45086</v>
      </c>
      <c r="B360" s="3">
        <v>97.43</v>
      </c>
      <c r="C360">
        <v>55.78</v>
      </c>
      <c r="D360">
        <v>21.29</v>
      </c>
      <c r="E360">
        <v>21.62</v>
      </c>
      <c r="F360">
        <v>24.35</v>
      </c>
      <c r="G360">
        <v>36.24</v>
      </c>
      <c r="H360">
        <v>20.239999999999998</v>
      </c>
      <c r="I360">
        <v>34.99</v>
      </c>
      <c r="J360">
        <v>54.48</v>
      </c>
      <c r="K360">
        <v>14.08</v>
      </c>
      <c r="L360">
        <v>13.77</v>
      </c>
      <c r="M360">
        <v>13.4</v>
      </c>
      <c r="N360">
        <v>6.93</v>
      </c>
      <c r="O360">
        <v>17.739999999999998</v>
      </c>
      <c r="P360">
        <v>19.489999999999998</v>
      </c>
      <c r="Q360">
        <v>43.17</v>
      </c>
      <c r="R360">
        <v>27.49</v>
      </c>
      <c r="S360">
        <v>30.41</v>
      </c>
      <c r="T360">
        <v>34.42</v>
      </c>
      <c r="U360">
        <v>62.82</v>
      </c>
      <c r="V360" s="6">
        <v>30.75</v>
      </c>
    </row>
    <row r="361" spans="1:22" x14ac:dyDescent="0.2">
      <c r="A361" s="4">
        <v>45089</v>
      </c>
      <c r="B361" s="3">
        <v>97.07</v>
      </c>
      <c r="C361">
        <v>54.77</v>
      </c>
      <c r="D361">
        <v>21.66</v>
      </c>
      <c r="E361">
        <v>21.39</v>
      </c>
      <c r="F361">
        <v>24.66</v>
      </c>
      <c r="G361">
        <v>36.19</v>
      </c>
      <c r="H361">
        <v>20.97</v>
      </c>
      <c r="I361">
        <v>35.5</v>
      </c>
      <c r="J361">
        <v>54.7</v>
      </c>
      <c r="K361">
        <v>13.97</v>
      </c>
      <c r="L361">
        <v>13.96</v>
      </c>
      <c r="M361">
        <v>13.41</v>
      </c>
      <c r="N361">
        <v>6.96</v>
      </c>
      <c r="O361">
        <v>18</v>
      </c>
      <c r="P361">
        <v>19.649999999999999</v>
      </c>
      <c r="Q361">
        <v>44.56</v>
      </c>
      <c r="R361">
        <v>27.78</v>
      </c>
      <c r="S361">
        <v>30.9</v>
      </c>
      <c r="T361">
        <v>33.090000000000003</v>
      </c>
      <c r="U361">
        <v>61.95</v>
      </c>
      <c r="V361" s="6">
        <v>31.19</v>
      </c>
    </row>
    <row r="362" spans="1:22" x14ac:dyDescent="0.2">
      <c r="A362" s="4">
        <v>45090</v>
      </c>
      <c r="B362" s="3">
        <v>98.33</v>
      </c>
      <c r="C362">
        <v>55.35</v>
      </c>
      <c r="D362">
        <v>21.55</v>
      </c>
      <c r="E362">
        <v>21.63</v>
      </c>
      <c r="F362">
        <v>24.59</v>
      </c>
      <c r="G362">
        <v>35.81</v>
      </c>
      <c r="H362">
        <v>20.73</v>
      </c>
      <c r="I362">
        <v>34.89</v>
      </c>
      <c r="J362">
        <v>53.72</v>
      </c>
      <c r="K362">
        <v>13.98</v>
      </c>
      <c r="L362">
        <v>13.69</v>
      </c>
      <c r="M362">
        <v>13.51</v>
      </c>
      <c r="N362">
        <v>7.02</v>
      </c>
      <c r="O362">
        <v>18.09</v>
      </c>
      <c r="P362">
        <v>20.059999999999999</v>
      </c>
      <c r="Q362">
        <v>44.9</v>
      </c>
      <c r="R362">
        <v>27.16</v>
      </c>
      <c r="S362">
        <v>31.1</v>
      </c>
      <c r="T362">
        <v>34.28</v>
      </c>
      <c r="U362">
        <v>60.65</v>
      </c>
      <c r="V362" s="6">
        <v>30.77</v>
      </c>
    </row>
    <row r="363" spans="1:22" x14ac:dyDescent="0.2">
      <c r="A363" s="4">
        <v>45091</v>
      </c>
      <c r="B363" s="3">
        <v>99.04</v>
      </c>
      <c r="C363">
        <v>56.32</v>
      </c>
      <c r="D363">
        <v>22.47</v>
      </c>
      <c r="E363">
        <v>21.92</v>
      </c>
      <c r="F363">
        <v>25.65</v>
      </c>
      <c r="G363">
        <v>36.31</v>
      </c>
      <c r="H363">
        <v>20.83</v>
      </c>
      <c r="I363">
        <v>35.83</v>
      </c>
      <c r="J363">
        <v>53.78</v>
      </c>
      <c r="K363">
        <v>14.08</v>
      </c>
      <c r="L363">
        <v>14.26</v>
      </c>
      <c r="M363">
        <v>13.56</v>
      </c>
      <c r="N363">
        <v>7.11</v>
      </c>
      <c r="O363">
        <v>18.079999999999998</v>
      </c>
      <c r="P363">
        <v>20.38</v>
      </c>
      <c r="Q363">
        <v>44.52</v>
      </c>
      <c r="R363">
        <v>27.26</v>
      </c>
      <c r="S363">
        <v>31.15</v>
      </c>
      <c r="T363">
        <v>35.340000000000003</v>
      </c>
      <c r="U363">
        <v>61.81</v>
      </c>
      <c r="V363" s="6">
        <v>31.8</v>
      </c>
    </row>
    <row r="364" spans="1:22" x14ac:dyDescent="0.2">
      <c r="A364" s="4">
        <v>45092</v>
      </c>
      <c r="B364" s="3">
        <v>98.68</v>
      </c>
      <c r="C364">
        <v>56.76</v>
      </c>
      <c r="D364">
        <v>21.94</v>
      </c>
      <c r="E364">
        <v>22.21</v>
      </c>
      <c r="F364">
        <v>25.27</v>
      </c>
      <c r="G364">
        <v>36.28</v>
      </c>
      <c r="H364">
        <v>21.26</v>
      </c>
      <c r="I364">
        <v>36.090000000000003</v>
      </c>
      <c r="J364">
        <v>53.39</v>
      </c>
      <c r="K364">
        <v>14.12</v>
      </c>
      <c r="L364">
        <v>13.78</v>
      </c>
      <c r="M364">
        <v>13.44</v>
      </c>
      <c r="N364">
        <v>7.24</v>
      </c>
      <c r="O364">
        <v>18.22</v>
      </c>
      <c r="P364">
        <v>20.53</v>
      </c>
      <c r="Q364">
        <v>46.13</v>
      </c>
      <c r="R364">
        <v>27.4</v>
      </c>
      <c r="S364">
        <v>31.15</v>
      </c>
      <c r="T364">
        <v>35.54</v>
      </c>
      <c r="U364">
        <v>61.4</v>
      </c>
      <c r="V364" s="6">
        <v>31.8</v>
      </c>
    </row>
    <row r="365" spans="1:22" x14ac:dyDescent="0.2">
      <c r="A365" s="4">
        <v>45093</v>
      </c>
      <c r="B365" s="3">
        <v>99.42</v>
      </c>
      <c r="C365">
        <v>56.85</v>
      </c>
      <c r="D365">
        <v>22.13</v>
      </c>
      <c r="E365">
        <v>22.28</v>
      </c>
      <c r="F365">
        <v>25.42</v>
      </c>
      <c r="G365">
        <v>36.29</v>
      </c>
      <c r="H365">
        <v>21.1</v>
      </c>
      <c r="I365">
        <v>35.380000000000003</v>
      </c>
      <c r="J365">
        <v>53.77</v>
      </c>
      <c r="K365">
        <v>14.16</v>
      </c>
      <c r="L365">
        <v>13.7</v>
      </c>
      <c r="M365">
        <v>13.33</v>
      </c>
      <c r="N365">
        <v>7.25</v>
      </c>
      <c r="O365">
        <v>17.88</v>
      </c>
      <c r="P365">
        <v>20.11</v>
      </c>
      <c r="Q365">
        <v>46.09</v>
      </c>
      <c r="R365">
        <v>28.14</v>
      </c>
      <c r="S365">
        <v>30.72</v>
      </c>
      <c r="T365">
        <v>36.21</v>
      </c>
      <c r="U365">
        <v>59.97</v>
      </c>
      <c r="V365" s="6">
        <v>31.7</v>
      </c>
    </row>
    <row r="366" spans="1:22" x14ac:dyDescent="0.2">
      <c r="A366" s="4">
        <v>45096</v>
      </c>
      <c r="B366" s="3">
        <v>99.24</v>
      </c>
      <c r="C366">
        <v>56.63</v>
      </c>
      <c r="D366">
        <v>22.71</v>
      </c>
      <c r="E366">
        <v>22.58</v>
      </c>
      <c r="F366">
        <v>26.05</v>
      </c>
      <c r="G366">
        <v>36.119999999999997</v>
      </c>
      <c r="H366">
        <v>21.49</v>
      </c>
      <c r="I366">
        <v>35.76</v>
      </c>
      <c r="J366">
        <v>54.59</v>
      </c>
      <c r="K366">
        <v>14.41</v>
      </c>
      <c r="L366">
        <v>13.87</v>
      </c>
      <c r="M366">
        <v>13.37</v>
      </c>
      <c r="N366">
        <v>7.34</v>
      </c>
      <c r="O366">
        <v>18.57</v>
      </c>
      <c r="P366">
        <v>20.18</v>
      </c>
      <c r="Q366">
        <v>45.52</v>
      </c>
      <c r="R366">
        <v>28.27</v>
      </c>
      <c r="S366">
        <v>30.58</v>
      </c>
      <c r="T366">
        <v>36</v>
      </c>
      <c r="U366">
        <v>62.31</v>
      </c>
      <c r="V366" s="6">
        <v>31.91</v>
      </c>
    </row>
    <row r="367" spans="1:22" x14ac:dyDescent="0.2">
      <c r="A367" s="4">
        <v>45097</v>
      </c>
      <c r="B367" s="3">
        <v>99.92</v>
      </c>
      <c r="C367">
        <v>55.17</v>
      </c>
      <c r="D367">
        <v>22.82</v>
      </c>
      <c r="E367">
        <v>22.54</v>
      </c>
      <c r="F367">
        <v>26.12</v>
      </c>
      <c r="G367">
        <v>35.43</v>
      </c>
      <c r="H367">
        <v>21.49</v>
      </c>
      <c r="I367">
        <v>35.75</v>
      </c>
      <c r="J367">
        <v>55.44</v>
      </c>
      <c r="K367">
        <v>14.44</v>
      </c>
      <c r="L367">
        <v>13.8</v>
      </c>
      <c r="M367">
        <v>13.4</v>
      </c>
      <c r="N367">
        <v>7.37</v>
      </c>
      <c r="O367">
        <v>19.34</v>
      </c>
      <c r="P367">
        <v>19.239999999999998</v>
      </c>
      <c r="Q367">
        <v>45.27</v>
      </c>
      <c r="R367">
        <v>28.97</v>
      </c>
      <c r="S367">
        <v>30.88</v>
      </c>
      <c r="T367">
        <v>36.1</v>
      </c>
      <c r="U367">
        <v>61.8</v>
      </c>
      <c r="V367" s="6">
        <v>31.43</v>
      </c>
    </row>
    <row r="368" spans="1:22" x14ac:dyDescent="0.2">
      <c r="A368" s="4">
        <v>45098</v>
      </c>
      <c r="B368" s="3">
        <v>98.45</v>
      </c>
      <c r="C368">
        <v>54.62</v>
      </c>
      <c r="D368">
        <v>23.78</v>
      </c>
      <c r="E368">
        <v>22.76</v>
      </c>
      <c r="F368">
        <v>27.16</v>
      </c>
      <c r="G368">
        <v>34.950000000000003</v>
      </c>
      <c r="H368">
        <v>22.17</v>
      </c>
      <c r="I368">
        <v>35.94</v>
      </c>
      <c r="J368">
        <v>55.6</v>
      </c>
      <c r="K368">
        <v>14.41</v>
      </c>
      <c r="L368">
        <v>13.72</v>
      </c>
      <c r="M368">
        <v>13.52</v>
      </c>
      <c r="N368">
        <v>7.43</v>
      </c>
      <c r="O368">
        <v>18.89</v>
      </c>
      <c r="P368">
        <v>17.809999999999999</v>
      </c>
      <c r="Q368">
        <v>44.35</v>
      </c>
      <c r="R368">
        <v>29.32</v>
      </c>
      <c r="S368">
        <v>30.83</v>
      </c>
      <c r="T368">
        <v>38.61</v>
      </c>
      <c r="U368">
        <v>62.09</v>
      </c>
      <c r="V368" s="6">
        <v>31.66</v>
      </c>
    </row>
    <row r="369" spans="1:22" x14ac:dyDescent="0.2">
      <c r="A369" s="4">
        <v>45099</v>
      </c>
      <c r="B369" s="3">
        <v>98.47</v>
      </c>
      <c r="C369">
        <v>54.32</v>
      </c>
      <c r="D369">
        <v>23.48</v>
      </c>
      <c r="E369">
        <v>22.54</v>
      </c>
      <c r="F369">
        <v>26.71</v>
      </c>
      <c r="G369">
        <v>34.9</v>
      </c>
      <c r="H369">
        <v>21.75</v>
      </c>
      <c r="I369">
        <v>35.520000000000003</v>
      </c>
      <c r="J369">
        <v>54.6</v>
      </c>
      <c r="K369">
        <v>14.03</v>
      </c>
      <c r="L369">
        <v>13.31</v>
      </c>
      <c r="M369">
        <v>13.76</v>
      </c>
      <c r="N369">
        <v>7.34</v>
      </c>
      <c r="O369">
        <v>18.78</v>
      </c>
      <c r="P369">
        <v>17.25</v>
      </c>
      <c r="Q369">
        <v>43.76</v>
      </c>
      <c r="R369">
        <v>28.49</v>
      </c>
      <c r="S369">
        <v>30</v>
      </c>
      <c r="T369">
        <v>38.24</v>
      </c>
      <c r="U369">
        <v>62.52</v>
      </c>
      <c r="V369" s="6">
        <v>31.41</v>
      </c>
    </row>
    <row r="370" spans="1:22" x14ac:dyDescent="0.2">
      <c r="A370" s="4">
        <v>45100</v>
      </c>
      <c r="B370" s="3">
        <v>98.17</v>
      </c>
      <c r="C370">
        <v>53.78</v>
      </c>
      <c r="D370">
        <v>22.52</v>
      </c>
      <c r="E370">
        <v>22.47</v>
      </c>
      <c r="F370">
        <v>25.81</v>
      </c>
      <c r="G370">
        <v>35.090000000000003</v>
      </c>
      <c r="H370">
        <v>21.75</v>
      </c>
      <c r="I370">
        <v>36.380000000000003</v>
      </c>
      <c r="J370">
        <v>55.76</v>
      </c>
      <c r="K370">
        <v>13.86</v>
      </c>
      <c r="L370">
        <v>13.52</v>
      </c>
      <c r="M370">
        <v>13.71</v>
      </c>
      <c r="N370">
        <v>7.33</v>
      </c>
      <c r="O370">
        <v>17.18</v>
      </c>
      <c r="P370">
        <v>17.29</v>
      </c>
      <c r="Q370">
        <v>43.84</v>
      </c>
      <c r="R370">
        <v>28.66</v>
      </c>
      <c r="S370">
        <v>31.5</v>
      </c>
      <c r="T370">
        <v>38.15</v>
      </c>
      <c r="U370">
        <v>62.2</v>
      </c>
      <c r="V370" s="6">
        <v>31.83</v>
      </c>
    </row>
    <row r="371" spans="1:22" x14ac:dyDescent="0.2">
      <c r="A371" s="4">
        <v>45103</v>
      </c>
      <c r="B371" s="3">
        <v>97.65</v>
      </c>
      <c r="C371">
        <v>53.89</v>
      </c>
      <c r="D371">
        <v>23.02</v>
      </c>
      <c r="E371">
        <v>22.44</v>
      </c>
      <c r="F371">
        <v>26.31</v>
      </c>
      <c r="G371">
        <v>34.950000000000003</v>
      </c>
      <c r="H371">
        <v>21.81</v>
      </c>
      <c r="I371">
        <v>35.44</v>
      </c>
      <c r="J371">
        <v>54.9</v>
      </c>
      <c r="K371">
        <v>13.79</v>
      </c>
      <c r="L371">
        <v>13.17</v>
      </c>
      <c r="M371">
        <v>13.57</v>
      </c>
      <c r="N371">
        <v>7.33</v>
      </c>
      <c r="O371">
        <v>16.649999999999999</v>
      </c>
      <c r="P371">
        <v>17.04</v>
      </c>
      <c r="Q371">
        <v>43.52</v>
      </c>
      <c r="R371">
        <v>28.43</v>
      </c>
      <c r="S371">
        <v>31.45</v>
      </c>
      <c r="T371">
        <v>36.979999999999997</v>
      </c>
      <c r="U371">
        <v>62.2</v>
      </c>
      <c r="V371" s="6">
        <v>31.51</v>
      </c>
    </row>
    <row r="372" spans="1:22" x14ac:dyDescent="0.2">
      <c r="A372" s="4">
        <v>45104</v>
      </c>
      <c r="B372" s="3">
        <v>97.26</v>
      </c>
      <c r="C372">
        <v>54.53</v>
      </c>
      <c r="D372">
        <v>22.85</v>
      </c>
      <c r="E372">
        <v>22.19</v>
      </c>
      <c r="F372">
        <v>26.08</v>
      </c>
      <c r="G372">
        <v>35.04</v>
      </c>
      <c r="H372">
        <v>21.41</v>
      </c>
      <c r="I372">
        <v>34.950000000000003</v>
      </c>
      <c r="J372">
        <v>55.23</v>
      </c>
      <c r="K372">
        <v>13.81</v>
      </c>
      <c r="L372">
        <v>13.17</v>
      </c>
      <c r="M372">
        <v>13.61</v>
      </c>
      <c r="N372">
        <v>7.25</v>
      </c>
      <c r="O372">
        <v>17.059999999999999</v>
      </c>
      <c r="P372">
        <v>17.41</v>
      </c>
      <c r="Q372">
        <v>42.79</v>
      </c>
      <c r="R372">
        <v>28.25</v>
      </c>
      <c r="S372">
        <v>31.32</v>
      </c>
      <c r="T372">
        <v>35.74</v>
      </c>
      <c r="U372">
        <v>61.34</v>
      </c>
      <c r="V372" s="6">
        <v>30.85</v>
      </c>
    </row>
    <row r="373" spans="1:22" x14ac:dyDescent="0.2">
      <c r="A373" s="4">
        <v>45105</v>
      </c>
      <c r="B373" s="3">
        <v>97.96</v>
      </c>
      <c r="C373">
        <v>52.81</v>
      </c>
      <c r="D373">
        <v>23.06</v>
      </c>
      <c r="E373">
        <v>22.06</v>
      </c>
      <c r="F373">
        <v>26.27</v>
      </c>
      <c r="G373">
        <v>35.119999999999997</v>
      </c>
      <c r="H373">
        <v>21.15</v>
      </c>
      <c r="I373">
        <v>34.880000000000003</v>
      </c>
      <c r="J373">
        <v>54.71</v>
      </c>
      <c r="K373">
        <v>13.59</v>
      </c>
      <c r="L373">
        <v>13.17</v>
      </c>
      <c r="M373">
        <v>13.47</v>
      </c>
      <c r="N373">
        <v>7.18</v>
      </c>
      <c r="O373">
        <v>16.34</v>
      </c>
      <c r="P373">
        <v>18.16</v>
      </c>
      <c r="Q373">
        <v>42.15</v>
      </c>
      <c r="R373">
        <v>28.35</v>
      </c>
      <c r="S373">
        <v>31.24</v>
      </c>
      <c r="T373">
        <v>36.08</v>
      </c>
      <c r="U373">
        <v>61.14</v>
      </c>
      <c r="V373" s="6">
        <v>30.53</v>
      </c>
    </row>
    <row r="374" spans="1:22" x14ac:dyDescent="0.2">
      <c r="A374" s="4">
        <v>45106</v>
      </c>
      <c r="B374" s="3">
        <v>98.11</v>
      </c>
      <c r="C374">
        <v>53.46</v>
      </c>
      <c r="D374">
        <v>23.17</v>
      </c>
      <c r="E374">
        <v>22.33</v>
      </c>
      <c r="F374">
        <v>26.56</v>
      </c>
      <c r="G374">
        <v>35.369999999999997</v>
      </c>
      <c r="H374">
        <v>21.34</v>
      </c>
      <c r="I374">
        <v>35.14</v>
      </c>
      <c r="J374">
        <v>55.54</v>
      </c>
      <c r="K374">
        <v>13.65</v>
      </c>
      <c r="L374">
        <v>13.82</v>
      </c>
      <c r="M374">
        <v>13.47</v>
      </c>
      <c r="N374">
        <v>7.29</v>
      </c>
      <c r="O374">
        <v>17.43</v>
      </c>
      <c r="P374">
        <v>18.41</v>
      </c>
      <c r="Q374">
        <v>42.03</v>
      </c>
      <c r="R374">
        <v>29.24</v>
      </c>
      <c r="S374">
        <v>31.41</v>
      </c>
      <c r="T374">
        <v>36.229999999999997</v>
      </c>
      <c r="U374">
        <v>62.93</v>
      </c>
      <c r="V374" s="6">
        <v>30.95</v>
      </c>
    </row>
    <row r="375" spans="1:22" x14ac:dyDescent="0.2">
      <c r="A375" s="4">
        <v>45107</v>
      </c>
      <c r="B375" s="3">
        <v>99.21</v>
      </c>
      <c r="C375">
        <v>52.4</v>
      </c>
      <c r="D375">
        <v>22.05</v>
      </c>
      <c r="E375">
        <v>22.27</v>
      </c>
      <c r="F375">
        <v>25.2</v>
      </c>
      <c r="G375">
        <v>36.24</v>
      </c>
      <c r="H375">
        <v>21.06</v>
      </c>
      <c r="I375">
        <v>36.08</v>
      </c>
      <c r="J375">
        <v>56.57</v>
      </c>
      <c r="K375">
        <v>13.88</v>
      </c>
      <c r="L375">
        <v>13.79</v>
      </c>
      <c r="M375">
        <v>13.64</v>
      </c>
      <c r="N375">
        <v>7.32</v>
      </c>
      <c r="O375">
        <v>17.46</v>
      </c>
      <c r="P375">
        <v>18.52</v>
      </c>
      <c r="Q375">
        <v>42.2</v>
      </c>
      <c r="R375">
        <v>29.72</v>
      </c>
      <c r="S375">
        <v>32.15</v>
      </c>
      <c r="T375">
        <v>37.020000000000003</v>
      </c>
      <c r="U375">
        <v>63.12</v>
      </c>
      <c r="V375" s="6">
        <v>31.4</v>
      </c>
    </row>
    <row r="376" spans="1:22" x14ac:dyDescent="0.2">
      <c r="A376" s="4">
        <v>45110</v>
      </c>
      <c r="B376" s="3">
        <v>99.03</v>
      </c>
      <c r="C376">
        <v>54.04</v>
      </c>
      <c r="D376">
        <v>22.46</v>
      </c>
      <c r="E376">
        <v>22.71</v>
      </c>
      <c r="F376">
        <v>25.63</v>
      </c>
      <c r="G376">
        <v>36.19</v>
      </c>
      <c r="H376">
        <v>21.49</v>
      </c>
      <c r="I376">
        <v>36.31</v>
      </c>
      <c r="J376">
        <v>56.39</v>
      </c>
      <c r="K376">
        <v>14.06</v>
      </c>
      <c r="L376">
        <v>14.1</v>
      </c>
      <c r="M376">
        <v>13.64</v>
      </c>
      <c r="N376">
        <v>7.43</v>
      </c>
      <c r="O376">
        <v>17.61</v>
      </c>
      <c r="P376">
        <v>18.38</v>
      </c>
      <c r="Q376">
        <v>42.2</v>
      </c>
      <c r="R376">
        <v>30.58</v>
      </c>
      <c r="S376">
        <v>32.46</v>
      </c>
      <c r="T376">
        <v>37.36</v>
      </c>
      <c r="U376">
        <v>63.98</v>
      </c>
      <c r="V376" s="6">
        <v>31.94</v>
      </c>
    </row>
    <row r="377" spans="1:22" x14ac:dyDescent="0.2">
      <c r="A377" s="4">
        <v>45111</v>
      </c>
      <c r="B377" s="3">
        <v>99.44</v>
      </c>
      <c r="C377">
        <v>53.78</v>
      </c>
      <c r="D377">
        <v>22.51</v>
      </c>
      <c r="E377">
        <v>22.57</v>
      </c>
      <c r="F377">
        <v>25.69</v>
      </c>
      <c r="G377">
        <v>35.71</v>
      </c>
      <c r="H377">
        <v>21.35</v>
      </c>
      <c r="I377">
        <v>35.75</v>
      </c>
      <c r="J377">
        <v>55.54</v>
      </c>
      <c r="K377">
        <v>13.97</v>
      </c>
      <c r="L377">
        <v>13.92</v>
      </c>
      <c r="M377">
        <v>13.4</v>
      </c>
      <c r="N377">
        <v>7.33</v>
      </c>
      <c r="O377">
        <v>17.54</v>
      </c>
      <c r="P377">
        <v>18.28</v>
      </c>
      <c r="Q377">
        <v>42.68</v>
      </c>
      <c r="R377">
        <v>30.53</v>
      </c>
      <c r="S377">
        <v>32.6</v>
      </c>
      <c r="T377">
        <v>37.979999999999997</v>
      </c>
      <c r="U377">
        <v>63.81</v>
      </c>
      <c r="V377" s="6">
        <v>30.76</v>
      </c>
    </row>
    <row r="378" spans="1:22" x14ac:dyDescent="0.2">
      <c r="A378" s="4">
        <v>45112</v>
      </c>
      <c r="B378" s="3">
        <v>97.67</v>
      </c>
      <c r="C378">
        <v>53.3</v>
      </c>
      <c r="D378">
        <v>22.48</v>
      </c>
      <c r="E378">
        <v>22.76</v>
      </c>
      <c r="F378">
        <v>25.69</v>
      </c>
      <c r="G378">
        <v>36</v>
      </c>
      <c r="H378">
        <v>21.21</v>
      </c>
      <c r="I378">
        <v>36.299999999999997</v>
      </c>
      <c r="J378">
        <v>56</v>
      </c>
      <c r="K378">
        <v>14</v>
      </c>
      <c r="L378">
        <v>13.91</v>
      </c>
      <c r="M378">
        <v>13.46</v>
      </c>
      <c r="N378">
        <v>7.45</v>
      </c>
      <c r="O378">
        <v>18.18</v>
      </c>
      <c r="P378">
        <v>18.73</v>
      </c>
      <c r="Q378">
        <v>42.42</v>
      </c>
      <c r="R378">
        <v>30.35</v>
      </c>
      <c r="S378">
        <v>32.85</v>
      </c>
      <c r="T378">
        <v>38.56</v>
      </c>
      <c r="U378">
        <v>64.67</v>
      </c>
      <c r="V378" s="6">
        <v>30.65</v>
      </c>
    </row>
    <row r="379" spans="1:22" x14ac:dyDescent="0.2">
      <c r="A379" s="4">
        <v>45113</v>
      </c>
      <c r="B379" s="3">
        <v>99.06</v>
      </c>
      <c r="C379">
        <v>52.92</v>
      </c>
      <c r="D379">
        <v>22.14</v>
      </c>
      <c r="E379">
        <v>22.43</v>
      </c>
      <c r="F379">
        <v>25.36</v>
      </c>
      <c r="G379">
        <v>35.42</v>
      </c>
      <c r="H379">
        <v>20.9</v>
      </c>
      <c r="I379">
        <v>35.39</v>
      </c>
      <c r="J379">
        <v>55.04</v>
      </c>
      <c r="K379">
        <v>13.66</v>
      </c>
      <c r="L379">
        <v>13.39</v>
      </c>
      <c r="M379">
        <v>13.12</v>
      </c>
      <c r="N379">
        <v>7.29</v>
      </c>
      <c r="O379">
        <v>17.64</v>
      </c>
      <c r="P379">
        <v>18.579999999999998</v>
      </c>
      <c r="Q379">
        <v>42.09</v>
      </c>
      <c r="R379">
        <v>29.15</v>
      </c>
      <c r="S379">
        <v>32.68</v>
      </c>
      <c r="T379">
        <v>38.090000000000003</v>
      </c>
      <c r="U379">
        <v>64.09</v>
      </c>
      <c r="V379" s="6">
        <v>29.76</v>
      </c>
    </row>
    <row r="380" spans="1:22" x14ac:dyDescent="0.2">
      <c r="A380" s="4">
        <v>45114</v>
      </c>
      <c r="B380" s="3">
        <v>97.93</v>
      </c>
      <c r="C380">
        <v>53.42</v>
      </c>
      <c r="D380">
        <v>22.02</v>
      </c>
      <c r="E380">
        <v>22.85</v>
      </c>
      <c r="F380">
        <v>25.22</v>
      </c>
      <c r="G380">
        <v>35.520000000000003</v>
      </c>
      <c r="H380">
        <v>21.3</v>
      </c>
      <c r="I380">
        <v>35.869999999999997</v>
      </c>
      <c r="J380">
        <v>56</v>
      </c>
      <c r="K380">
        <v>13.75</v>
      </c>
      <c r="L380">
        <v>13.56</v>
      </c>
      <c r="M380">
        <v>13.14</v>
      </c>
      <c r="N380">
        <v>7.39</v>
      </c>
      <c r="O380">
        <v>17.75</v>
      </c>
      <c r="P380">
        <v>18.21</v>
      </c>
      <c r="Q380">
        <v>42.47</v>
      </c>
      <c r="R380">
        <v>30.43</v>
      </c>
      <c r="S380">
        <v>32.97</v>
      </c>
      <c r="T380">
        <v>39.29</v>
      </c>
      <c r="U380">
        <v>64.91</v>
      </c>
      <c r="V380" s="6">
        <v>30.18</v>
      </c>
    </row>
    <row r="381" spans="1:22" x14ac:dyDescent="0.2">
      <c r="A381" s="4">
        <v>45117</v>
      </c>
      <c r="B381" s="3">
        <v>97.64</v>
      </c>
      <c r="C381">
        <v>52.6</v>
      </c>
      <c r="D381">
        <v>22.06</v>
      </c>
      <c r="E381">
        <v>22.7</v>
      </c>
      <c r="F381">
        <v>25.22</v>
      </c>
      <c r="G381">
        <v>34.840000000000003</v>
      </c>
      <c r="H381">
        <v>20.91</v>
      </c>
      <c r="I381">
        <v>35.65</v>
      </c>
      <c r="J381">
        <v>56</v>
      </c>
      <c r="K381">
        <v>13.76</v>
      </c>
      <c r="L381">
        <v>13.29</v>
      </c>
      <c r="M381">
        <v>13.28</v>
      </c>
      <c r="N381">
        <v>7.38</v>
      </c>
      <c r="O381">
        <v>17.57</v>
      </c>
      <c r="P381">
        <v>18.11</v>
      </c>
      <c r="Q381">
        <v>42.02</v>
      </c>
      <c r="R381">
        <v>29.86</v>
      </c>
      <c r="S381">
        <v>32.69</v>
      </c>
      <c r="T381">
        <v>39.43</v>
      </c>
      <c r="U381">
        <v>64.53</v>
      </c>
      <c r="V381" s="6">
        <v>30.27</v>
      </c>
    </row>
    <row r="382" spans="1:22" x14ac:dyDescent="0.2">
      <c r="A382" s="4">
        <v>45118</v>
      </c>
      <c r="B382" s="3">
        <v>98.12</v>
      </c>
      <c r="C382">
        <v>54.33</v>
      </c>
      <c r="D382">
        <v>21.76</v>
      </c>
      <c r="E382">
        <v>22.3</v>
      </c>
      <c r="F382">
        <v>25.02</v>
      </c>
      <c r="G382">
        <v>34.51</v>
      </c>
      <c r="H382">
        <v>20.61</v>
      </c>
      <c r="I382">
        <v>35.15</v>
      </c>
      <c r="J382">
        <v>55</v>
      </c>
      <c r="K382">
        <v>13.77</v>
      </c>
      <c r="L382">
        <v>13.15</v>
      </c>
      <c r="M382">
        <v>12.94</v>
      </c>
      <c r="N382">
        <v>7.29</v>
      </c>
      <c r="O382">
        <v>17.239999999999998</v>
      </c>
      <c r="P382">
        <v>17.96</v>
      </c>
      <c r="Q382">
        <v>42.03</v>
      </c>
      <c r="R382">
        <v>29.7</v>
      </c>
      <c r="S382">
        <v>32.840000000000003</v>
      </c>
      <c r="T382">
        <v>40.630000000000003</v>
      </c>
      <c r="U382">
        <v>64.290000000000006</v>
      </c>
      <c r="V382" s="6">
        <v>29.89</v>
      </c>
    </row>
    <row r="383" spans="1:22" x14ac:dyDescent="0.2">
      <c r="A383" s="4">
        <v>45119</v>
      </c>
      <c r="B383" s="3">
        <v>99.1</v>
      </c>
      <c r="C383">
        <v>54.71</v>
      </c>
      <c r="D383">
        <v>21.78</v>
      </c>
      <c r="E383">
        <v>22.17</v>
      </c>
      <c r="F383">
        <v>24.95</v>
      </c>
      <c r="G383">
        <v>34.619999999999997</v>
      </c>
      <c r="H383">
        <v>20.28</v>
      </c>
      <c r="I383">
        <v>34.700000000000003</v>
      </c>
      <c r="J383">
        <v>55.04</v>
      </c>
      <c r="K383">
        <v>13.64</v>
      </c>
      <c r="L383">
        <v>13.45</v>
      </c>
      <c r="M383">
        <v>13</v>
      </c>
      <c r="N383">
        <v>7.29</v>
      </c>
      <c r="O383">
        <v>18.8</v>
      </c>
      <c r="P383">
        <v>17.7</v>
      </c>
      <c r="Q383">
        <v>42.16</v>
      </c>
      <c r="R383">
        <v>29.86</v>
      </c>
      <c r="S383">
        <v>32.950000000000003</v>
      </c>
      <c r="T383">
        <v>41.48</v>
      </c>
      <c r="U383">
        <v>64.97</v>
      </c>
      <c r="V383" s="6">
        <v>30.08</v>
      </c>
    </row>
    <row r="384" spans="1:22" x14ac:dyDescent="0.2">
      <c r="A384" s="4">
        <v>45120</v>
      </c>
      <c r="B384" s="3">
        <v>97.7</v>
      </c>
      <c r="C384">
        <v>55.99</v>
      </c>
      <c r="D384">
        <v>22.12</v>
      </c>
      <c r="E384">
        <v>22.41</v>
      </c>
      <c r="F384">
        <v>25.31</v>
      </c>
      <c r="G384">
        <v>34.619999999999997</v>
      </c>
      <c r="H384">
        <v>20.47</v>
      </c>
      <c r="I384">
        <v>35.4</v>
      </c>
      <c r="J384">
        <v>55.5</v>
      </c>
      <c r="K384">
        <v>13.98</v>
      </c>
      <c r="L384">
        <v>13.75</v>
      </c>
      <c r="M384">
        <v>13.06</v>
      </c>
      <c r="N384">
        <v>7.38</v>
      </c>
      <c r="O384">
        <v>19.32</v>
      </c>
      <c r="P384">
        <v>17.940000000000001</v>
      </c>
      <c r="Q384">
        <v>42.34</v>
      </c>
      <c r="R384">
        <v>30.71</v>
      </c>
      <c r="S384">
        <v>33.35</v>
      </c>
      <c r="T384">
        <v>42.82</v>
      </c>
      <c r="U384">
        <v>64.89</v>
      </c>
      <c r="V384" s="6">
        <v>30.81</v>
      </c>
    </row>
    <row r="385" spans="1:22" x14ac:dyDescent="0.2">
      <c r="A385" s="4">
        <v>45121</v>
      </c>
      <c r="B385" s="3">
        <v>97.81</v>
      </c>
      <c r="C385">
        <v>55.99</v>
      </c>
      <c r="D385">
        <v>21.69</v>
      </c>
      <c r="E385">
        <v>22.18</v>
      </c>
      <c r="F385">
        <v>24.78</v>
      </c>
      <c r="G385">
        <v>34.56</v>
      </c>
      <c r="H385">
        <v>20.329999999999998</v>
      </c>
      <c r="I385">
        <v>34.58</v>
      </c>
      <c r="J385">
        <v>54.53</v>
      </c>
      <c r="K385">
        <v>13.8</v>
      </c>
      <c r="L385">
        <v>13.64</v>
      </c>
      <c r="M385">
        <v>13.04</v>
      </c>
      <c r="N385">
        <v>7.31</v>
      </c>
      <c r="O385">
        <v>19.010000000000002</v>
      </c>
      <c r="P385">
        <v>17.43</v>
      </c>
      <c r="Q385">
        <v>42.51</v>
      </c>
      <c r="R385">
        <v>30.16</v>
      </c>
      <c r="S385">
        <v>32.86</v>
      </c>
      <c r="T385">
        <v>41.45</v>
      </c>
      <c r="U385">
        <v>63.37</v>
      </c>
      <c r="V385" s="6">
        <v>30.49</v>
      </c>
    </row>
    <row r="386" spans="1:22" x14ac:dyDescent="0.2">
      <c r="A386" s="4">
        <v>45124</v>
      </c>
      <c r="B386" s="3">
        <v>97.94</v>
      </c>
      <c r="C386">
        <v>55.37</v>
      </c>
      <c r="D386">
        <v>21.64</v>
      </c>
      <c r="E386">
        <v>22.61</v>
      </c>
      <c r="F386">
        <v>24.79</v>
      </c>
      <c r="G386">
        <v>33.89</v>
      </c>
      <c r="H386">
        <v>20.51</v>
      </c>
      <c r="I386">
        <v>34.74</v>
      </c>
      <c r="J386">
        <v>54.2</v>
      </c>
      <c r="K386">
        <v>14.02</v>
      </c>
      <c r="L386">
        <v>13.78</v>
      </c>
      <c r="M386">
        <v>13.11</v>
      </c>
      <c r="N386">
        <v>7.41</v>
      </c>
      <c r="O386">
        <v>18.739999999999998</v>
      </c>
      <c r="P386">
        <v>17.48</v>
      </c>
      <c r="Q386">
        <v>42.37</v>
      </c>
      <c r="R386">
        <v>31.1</v>
      </c>
      <c r="S386">
        <v>33.090000000000003</v>
      </c>
      <c r="T386">
        <v>41.92</v>
      </c>
      <c r="U386">
        <v>64.209999999999994</v>
      </c>
      <c r="V386" s="6">
        <v>31.29</v>
      </c>
    </row>
    <row r="387" spans="1:22" x14ac:dyDescent="0.2">
      <c r="A387" s="4">
        <v>45125</v>
      </c>
      <c r="B387" s="3">
        <v>97.55</v>
      </c>
      <c r="C387">
        <v>55.02</v>
      </c>
      <c r="D387">
        <v>21.52</v>
      </c>
      <c r="E387">
        <v>22.17</v>
      </c>
      <c r="F387">
        <v>24.57</v>
      </c>
      <c r="G387">
        <v>34.51</v>
      </c>
      <c r="H387">
        <v>20.58</v>
      </c>
      <c r="I387">
        <v>34.479999999999997</v>
      </c>
      <c r="J387">
        <v>54.44</v>
      </c>
      <c r="K387">
        <v>14</v>
      </c>
      <c r="L387">
        <v>13.89</v>
      </c>
      <c r="M387">
        <v>12.98</v>
      </c>
      <c r="N387">
        <v>7.4</v>
      </c>
      <c r="O387">
        <v>18.22</v>
      </c>
      <c r="P387">
        <v>17.3</v>
      </c>
      <c r="Q387">
        <v>42.53</v>
      </c>
      <c r="R387">
        <v>31.43</v>
      </c>
      <c r="S387">
        <v>33.130000000000003</v>
      </c>
      <c r="T387">
        <v>43.11</v>
      </c>
      <c r="U387">
        <v>64.08</v>
      </c>
      <c r="V387" s="6">
        <v>31.45</v>
      </c>
    </row>
    <row r="388" spans="1:22" x14ac:dyDescent="0.2">
      <c r="A388" s="4">
        <v>45126</v>
      </c>
      <c r="B388" s="3">
        <v>98</v>
      </c>
      <c r="C388">
        <v>54.87</v>
      </c>
      <c r="D388">
        <v>21.73</v>
      </c>
      <c r="E388">
        <v>21.93</v>
      </c>
      <c r="F388">
        <v>24.71</v>
      </c>
      <c r="G388">
        <v>36.4</v>
      </c>
      <c r="H388">
        <v>20.22</v>
      </c>
      <c r="I388">
        <v>34.32</v>
      </c>
      <c r="J388">
        <v>54.17</v>
      </c>
      <c r="K388">
        <v>13.95</v>
      </c>
      <c r="L388">
        <v>13.78</v>
      </c>
      <c r="M388">
        <v>12.94</v>
      </c>
      <c r="N388">
        <v>7.33</v>
      </c>
      <c r="O388">
        <v>18.21</v>
      </c>
      <c r="P388">
        <v>17.37</v>
      </c>
      <c r="Q388">
        <v>41.48</v>
      </c>
      <c r="R388">
        <v>31.08</v>
      </c>
      <c r="S388">
        <v>33.36</v>
      </c>
      <c r="T388">
        <v>44.07</v>
      </c>
      <c r="U388">
        <v>64.28</v>
      </c>
      <c r="V388" s="6">
        <v>31.43</v>
      </c>
    </row>
    <row r="389" spans="1:22" x14ac:dyDescent="0.2">
      <c r="A389" s="4">
        <v>45127</v>
      </c>
      <c r="B389" s="3">
        <v>99.7</v>
      </c>
      <c r="C389">
        <v>54.99</v>
      </c>
      <c r="D389">
        <v>21.75</v>
      </c>
      <c r="E389">
        <v>22.34</v>
      </c>
      <c r="F389">
        <v>24.9</v>
      </c>
      <c r="G389">
        <v>36.64</v>
      </c>
      <c r="H389">
        <v>20.45</v>
      </c>
      <c r="I389">
        <v>34.340000000000003</v>
      </c>
      <c r="J389">
        <v>53.91</v>
      </c>
      <c r="K389">
        <v>13.95</v>
      </c>
      <c r="L389">
        <v>13.79</v>
      </c>
      <c r="M389">
        <v>13.2</v>
      </c>
      <c r="N389">
        <v>7.38</v>
      </c>
      <c r="O389">
        <v>18.05</v>
      </c>
      <c r="P389">
        <v>17.16</v>
      </c>
      <c r="Q389">
        <v>41.65</v>
      </c>
      <c r="R389">
        <v>31.48</v>
      </c>
      <c r="S389">
        <v>33.840000000000003</v>
      </c>
      <c r="T389">
        <v>44.13</v>
      </c>
      <c r="U389">
        <v>64.760000000000005</v>
      </c>
      <c r="V389" s="6">
        <v>31.82</v>
      </c>
    </row>
    <row r="390" spans="1:22" x14ac:dyDescent="0.2">
      <c r="A390" s="4">
        <v>45128</v>
      </c>
      <c r="B390" s="3">
        <v>100.58</v>
      </c>
      <c r="C390">
        <v>55.33</v>
      </c>
      <c r="D390">
        <v>22.16</v>
      </c>
      <c r="E390">
        <v>22.74</v>
      </c>
      <c r="F390">
        <v>25.36</v>
      </c>
      <c r="G390">
        <v>37.340000000000003</v>
      </c>
      <c r="H390">
        <v>20.69</v>
      </c>
      <c r="I390">
        <v>35.33</v>
      </c>
      <c r="J390">
        <v>55.23</v>
      </c>
      <c r="K390">
        <v>14.41</v>
      </c>
      <c r="L390">
        <v>14.32</v>
      </c>
      <c r="M390">
        <v>13.54</v>
      </c>
      <c r="N390">
        <v>7.51</v>
      </c>
      <c r="O390">
        <v>18.100000000000001</v>
      </c>
      <c r="P390">
        <v>17.59</v>
      </c>
      <c r="Q390">
        <v>42.04</v>
      </c>
      <c r="R390">
        <v>32.200000000000003</v>
      </c>
      <c r="S390">
        <v>34.11</v>
      </c>
      <c r="T390">
        <v>45.1</v>
      </c>
      <c r="U390">
        <v>65.09</v>
      </c>
      <c r="V390" s="6">
        <v>32.93</v>
      </c>
    </row>
    <row r="391" spans="1:22" x14ac:dyDescent="0.2">
      <c r="A391" s="4">
        <v>45131</v>
      </c>
      <c r="B391" s="3">
        <v>101.43</v>
      </c>
      <c r="C391">
        <v>57</v>
      </c>
      <c r="D391">
        <v>22.62</v>
      </c>
      <c r="E391">
        <v>22.38</v>
      </c>
      <c r="F391">
        <v>25.88</v>
      </c>
      <c r="G391">
        <v>40.03</v>
      </c>
      <c r="H391">
        <v>20.28</v>
      </c>
      <c r="I391">
        <v>35.28</v>
      </c>
      <c r="J391">
        <v>55.51</v>
      </c>
      <c r="K391">
        <v>14.02</v>
      </c>
      <c r="L391">
        <v>14.26</v>
      </c>
      <c r="M391">
        <v>13.38</v>
      </c>
      <c r="N391">
        <v>7.45</v>
      </c>
      <c r="O391">
        <v>17.89</v>
      </c>
      <c r="P391">
        <v>18.36</v>
      </c>
      <c r="Q391">
        <v>42.96</v>
      </c>
      <c r="R391">
        <v>31.84</v>
      </c>
      <c r="S391">
        <v>34.46</v>
      </c>
      <c r="T391">
        <v>46.1</v>
      </c>
      <c r="U391">
        <v>64.36</v>
      </c>
      <c r="V391" s="6">
        <v>34.26</v>
      </c>
    </row>
    <row r="392" spans="1:22" x14ac:dyDescent="0.2">
      <c r="A392" s="4">
        <v>45132</v>
      </c>
      <c r="B392" s="3">
        <v>101.5</v>
      </c>
      <c r="C392">
        <v>58.76</v>
      </c>
      <c r="D392">
        <v>23.14</v>
      </c>
      <c r="E392">
        <v>22.43</v>
      </c>
      <c r="F392">
        <v>26.35</v>
      </c>
      <c r="G392">
        <v>39.03</v>
      </c>
      <c r="H392">
        <v>20.18</v>
      </c>
      <c r="I392">
        <v>35.19</v>
      </c>
      <c r="J392">
        <v>55.78</v>
      </c>
      <c r="K392">
        <v>13.97</v>
      </c>
      <c r="L392">
        <v>14.15</v>
      </c>
      <c r="M392">
        <v>13.3</v>
      </c>
      <c r="N392">
        <v>7.51</v>
      </c>
      <c r="O392">
        <v>17.93</v>
      </c>
      <c r="P392">
        <v>18.2</v>
      </c>
      <c r="Q392">
        <v>43.16</v>
      </c>
      <c r="R392">
        <v>31.71</v>
      </c>
      <c r="S392">
        <v>34.24</v>
      </c>
      <c r="T392">
        <v>44.89</v>
      </c>
      <c r="U392">
        <v>63.08</v>
      </c>
      <c r="V392" s="6">
        <v>34.74</v>
      </c>
    </row>
    <row r="393" spans="1:22" x14ac:dyDescent="0.2">
      <c r="A393" s="4">
        <v>45133</v>
      </c>
      <c r="B393" s="3">
        <v>99.7</v>
      </c>
      <c r="C393">
        <v>58.56</v>
      </c>
      <c r="D393">
        <v>23.14</v>
      </c>
      <c r="E393">
        <v>22.55</v>
      </c>
      <c r="F393">
        <v>26.23</v>
      </c>
      <c r="G393">
        <v>39.01</v>
      </c>
      <c r="H393">
        <v>20.350000000000001</v>
      </c>
      <c r="I393">
        <v>35.92</v>
      </c>
      <c r="J393">
        <v>56.27</v>
      </c>
      <c r="K393">
        <v>14.12</v>
      </c>
      <c r="L393">
        <v>14.12</v>
      </c>
      <c r="M393">
        <v>13.25</v>
      </c>
      <c r="N393">
        <v>7.48</v>
      </c>
      <c r="O393">
        <v>18.25</v>
      </c>
      <c r="P393">
        <v>18.18</v>
      </c>
      <c r="Q393">
        <v>44.34</v>
      </c>
      <c r="R393">
        <v>31.96</v>
      </c>
      <c r="S393">
        <v>34.18</v>
      </c>
      <c r="T393">
        <v>45.52</v>
      </c>
      <c r="U393">
        <v>62.98</v>
      </c>
      <c r="V393" s="6">
        <v>35.28</v>
      </c>
    </row>
    <row r="394" spans="1:22" x14ac:dyDescent="0.2">
      <c r="A394" s="4">
        <v>45134</v>
      </c>
      <c r="B394" s="3">
        <v>99.67</v>
      </c>
      <c r="C394">
        <v>57.46</v>
      </c>
      <c r="D394">
        <v>21.94</v>
      </c>
      <c r="E394">
        <v>22.05</v>
      </c>
      <c r="F394">
        <v>24.76</v>
      </c>
      <c r="G394">
        <v>38.880000000000003</v>
      </c>
      <c r="H394">
        <v>19.93</v>
      </c>
      <c r="I394">
        <v>34.69</v>
      </c>
      <c r="J394">
        <v>56.48</v>
      </c>
      <c r="K394">
        <v>13.79</v>
      </c>
      <c r="L394">
        <v>13.78</v>
      </c>
      <c r="M394">
        <v>13.01</v>
      </c>
      <c r="N394">
        <v>7.38</v>
      </c>
      <c r="O394">
        <v>18.09</v>
      </c>
      <c r="P394">
        <v>18.11</v>
      </c>
      <c r="Q394">
        <v>45.04</v>
      </c>
      <c r="R394">
        <v>31.7</v>
      </c>
      <c r="S394">
        <v>33.53</v>
      </c>
      <c r="T394">
        <v>45.02</v>
      </c>
      <c r="U394">
        <v>61.22</v>
      </c>
      <c r="V394" s="6">
        <v>34.94</v>
      </c>
    </row>
    <row r="395" spans="1:22" x14ac:dyDescent="0.2">
      <c r="A395" s="4">
        <v>45135</v>
      </c>
      <c r="B395" s="3">
        <v>101.14</v>
      </c>
      <c r="C395">
        <v>55.19</v>
      </c>
      <c r="D395">
        <v>22.22</v>
      </c>
      <c r="E395">
        <v>22.38</v>
      </c>
      <c r="F395">
        <v>25.18</v>
      </c>
      <c r="G395">
        <v>38.86</v>
      </c>
      <c r="H395">
        <v>20.16</v>
      </c>
      <c r="I395">
        <v>34.51</v>
      </c>
      <c r="J395">
        <v>56.69</v>
      </c>
      <c r="K395">
        <v>13.95</v>
      </c>
      <c r="L395">
        <v>13.9</v>
      </c>
      <c r="M395">
        <v>13.24</v>
      </c>
      <c r="N395">
        <v>7.48</v>
      </c>
      <c r="O395">
        <v>18.489999999999998</v>
      </c>
      <c r="P395">
        <v>18.350000000000001</v>
      </c>
      <c r="Q395">
        <v>45.05</v>
      </c>
      <c r="R395">
        <v>31.97</v>
      </c>
      <c r="S395">
        <v>33.89</v>
      </c>
      <c r="T395">
        <v>45.09</v>
      </c>
      <c r="U395">
        <v>61.76</v>
      </c>
      <c r="V395" s="6">
        <v>34.72</v>
      </c>
    </row>
    <row r="396" spans="1:22" x14ac:dyDescent="0.2">
      <c r="A396" s="4">
        <v>45138</v>
      </c>
      <c r="B396" s="3">
        <v>100.42</v>
      </c>
      <c r="C396">
        <v>56.44</v>
      </c>
      <c r="D396">
        <v>23.23</v>
      </c>
      <c r="E396">
        <v>22.46</v>
      </c>
      <c r="F396">
        <v>26.5</v>
      </c>
      <c r="G396">
        <v>38.47</v>
      </c>
      <c r="H396">
        <v>20.55</v>
      </c>
      <c r="I396">
        <v>35.08</v>
      </c>
      <c r="J396">
        <v>58.1</v>
      </c>
      <c r="K396">
        <v>14.07</v>
      </c>
      <c r="L396">
        <v>14.07</v>
      </c>
      <c r="M396">
        <v>13.15</v>
      </c>
      <c r="N396">
        <v>7.49</v>
      </c>
      <c r="O396">
        <v>18.78</v>
      </c>
      <c r="P396">
        <v>18.489999999999998</v>
      </c>
      <c r="Q396">
        <v>45.87</v>
      </c>
      <c r="R396">
        <v>32.130000000000003</v>
      </c>
      <c r="S396">
        <v>33.54</v>
      </c>
      <c r="T396">
        <v>45.55</v>
      </c>
      <c r="U396">
        <v>62.21</v>
      </c>
      <c r="V396" s="6">
        <v>34.340000000000003</v>
      </c>
    </row>
    <row r="397" spans="1:22" x14ac:dyDescent="0.2">
      <c r="A397" s="4">
        <v>45139</v>
      </c>
      <c r="B397" s="3">
        <v>100.35</v>
      </c>
      <c r="C397">
        <v>55.65</v>
      </c>
      <c r="D397">
        <v>22.85</v>
      </c>
      <c r="E397">
        <v>22.53</v>
      </c>
      <c r="F397">
        <v>25.95</v>
      </c>
      <c r="G397">
        <v>38.409999999999997</v>
      </c>
      <c r="H397">
        <v>20.190000000000001</v>
      </c>
      <c r="I397">
        <v>34.68</v>
      </c>
      <c r="J397">
        <v>55.7</v>
      </c>
      <c r="K397">
        <v>14.04</v>
      </c>
      <c r="L397">
        <v>13.92</v>
      </c>
      <c r="M397">
        <v>13.25</v>
      </c>
      <c r="N397">
        <v>7.47</v>
      </c>
      <c r="O397">
        <v>19.02</v>
      </c>
      <c r="P397">
        <v>18.73</v>
      </c>
      <c r="Q397">
        <v>46.17</v>
      </c>
      <c r="R397">
        <v>31.94</v>
      </c>
      <c r="S397">
        <v>33.049999999999997</v>
      </c>
      <c r="T397">
        <v>45.73</v>
      </c>
      <c r="U397">
        <v>62.47</v>
      </c>
      <c r="V397" s="6">
        <v>33.869999999999997</v>
      </c>
    </row>
    <row r="398" spans="1:22" x14ac:dyDescent="0.2">
      <c r="A398" s="4">
        <v>45140</v>
      </c>
      <c r="B398" s="3">
        <v>100.42</v>
      </c>
      <c r="C398">
        <v>54.75</v>
      </c>
      <c r="D398">
        <v>22.79</v>
      </c>
      <c r="E398">
        <v>22.46</v>
      </c>
      <c r="F398">
        <v>25.76</v>
      </c>
      <c r="G398">
        <v>38.58</v>
      </c>
      <c r="H398">
        <v>20.28</v>
      </c>
      <c r="I398">
        <v>34.869999999999997</v>
      </c>
      <c r="J398">
        <v>55.28</v>
      </c>
      <c r="K398">
        <v>14.1</v>
      </c>
      <c r="L398">
        <v>13.95</v>
      </c>
      <c r="M398">
        <v>13.32</v>
      </c>
      <c r="N398">
        <v>7.51</v>
      </c>
      <c r="O398">
        <v>19.5</v>
      </c>
      <c r="P398">
        <v>18.649999999999999</v>
      </c>
      <c r="Q398">
        <v>45.7</v>
      </c>
      <c r="R398">
        <v>31.38</v>
      </c>
      <c r="S398">
        <v>33.21</v>
      </c>
      <c r="T398">
        <v>45.18</v>
      </c>
      <c r="U398">
        <v>62.61</v>
      </c>
      <c r="V398" s="6">
        <v>33.479999999999997</v>
      </c>
    </row>
    <row r="399" spans="1:22" x14ac:dyDescent="0.2">
      <c r="A399" s="4">
        <v>45141</v>
      </c>
      <c r="B399" s="3">
        <v>99.22</v>
      </c>
      <c r="C399">
        <v>55.09</v>
      </c>
      <c r="D399">
        <v>23.08</v>
      </c>
      <c r="E399">
        <v>22.28</v>
      </c>
      <c r="F399">
        <v>26.13</v>
      </c>
      <c r="G399">
        <v>38.96</v>
      </c>
      <c r="H399">
        <v>20.32</v>
      </c>
      <c r="I399">
        <v>33.08</v>
      </c>
      <c r="J399">
        <v>53.6</v>
      </c>
      <c r="K399">
        <v>13.99</v>
      </c>
      <c r="L399">
        <v>14.04</v>
      </c>
      <c r="M399">
        <v>12.94</v>
      </c>
      <c r="N399">
        <v>7.5</v>
      </c>
      <c r="O399">
        <v>19.66</v>
      </c>
      <c r="P399">
        <v>18.399999999999999</v>
      </c>
      <c r="Q399">
        <v>47.37</v>
      </c>
      <c r="R399">
        <v>31.55</v>
      </c>
      <c r="S399">
        <v>32.74</v>
      </c>
      <c r="T399">
        <v>47.08</v>
      </c>
      <c r="U399">
        <v>61.75</v>
      </c>
      <c r="V399" s="6">
        <v>32.950000000000003</v>
      </c>
    </row>
    <row r="400" spans="1:22" x14ac:dyDescent="0.2">
      <c r="A400" s="4">
        <v>45142</v>
      </c>
      <c r="B400" s="3">
        <v>99.17</v>
      </c>
      <c r="C400">
        <v>55.13</v>
      </c>
      <c r="D400">
        <v>22.4</v>
      </c>
      <c r="E400">
        <v>21.87</v>
      </c>
      <c r="F400">
        <v>25.03</v>
      </c>
      <c r="G400">
        <v>39.369999999999997</v>
      </c>
      <c r="H400">
        <v>20.21</v>
      </c>
      <c r="I400">
        <v>33.049999999999997</v>
      </c>
      <c r="J400">
        <v>53.26</v>
      </c>
      <c r="K400">
        <v>13.06</v>
      </c>
      <c r="L400">
        <v>13.89</v>
      </c>
      <c r="M400">
        <v>13.02</v>
      </c>
      <c r="N400">
        <v>7.44</v>
      </c>
      <c r="O400">
        <v>19.88</v>
      </c>
      <c r="P400">
        <v>17.48</v>
      </c>
      <c r="Q400">
        <v>47.97</v>
      </c>
      <c r="R400">
        <v>31.13</v>
      </c>
      <c r="S400">
        <v>32.619999999999997</v>
      </c>
      <c r="T400">
        <v>47.49</v>
      </c>
      <c r="U400">
        <v>62.02</v>
      </c>
      <c r="V400" s="6">
        <v>33.28</v>
      </c>
    </row>
    <row r="401" spans="1:22" x14ac:dyDescent="0.2">
      <c r="A401" s="4">
        <v>45145</v>
      </c>
      <c r="B401" s="3">
        <v>98.99</v>
      </c>
      <c r="C401">
        <v>55.41</v>
      </c>
      <c r="D401">
        <v>22.54</v>
      </c>
      <c r="E401">
        <v>21.7</v>
      </c>
      <c r="F401">
        <v>25.2</v>
      </c>
      <c r="G401">
        <v>39.44</v>
      </c>
      <c r="H401">
        <v>20.18</v>
      </c>
      <c r="I401">
        <v>32.909999999999997</v>
      </c>
      <c r="J401">
        <v>53.18</v>
      </c>
      <c r="K401">
        <v>12.97</v>
      </c>
      <c r="L401">
        <v>13.81</v>
      </c>
      <c r="M401">
        <v>12.99</v>
      </c>
      <c r="N401">
        <v>7.44</v>
      </c>
      <c r="O401">
        <v>19.45</v>
      </c>
      <c r="P401">
        <v>17.86</v>
      </c>
      <c r="Q401">
        <v>48.21</v>
      </c>
      <c r="R401">
        <v>31.52</v>
      </c>
      <c r="S401">
        <v>32.56</v>
      </c>
      <c r="T401">
        <v>47.73</v>
      </c>
      <c r="U401">
        <v>61.44</v>
      </c>
      <c r="V401" s="6">
        <v>33.03</v>
      </c>
    </row>
    <row r="402" spans="1:22" x14ac:dyDescent="0.2">
      <c r="A402" s="4">
        <v>45146</v>
      </c>
      <c r="B402" s="3">
        <v>98.37</v>
      </c>
      <c r="C402">
        <v>55.05</v>
      </c>
      <c r="D402">
        <v>22.56</v>
      </c>
      <c r="E402">
        <v>21.65</v>
      </c>
      <c r="F402">
        <v>25.18</v>
      </c>
      <c r="G402">
        <v>39.18</v>
      </c>
      <c r="H402">
        <v>20.04</v>
      </c>
      <c r="I402">
        <v>33.56</v>
      </c>
      <c r="J402">
        <v>53.77</v>
      </c>
      <c r="K402">
        <v>13.03</v>
      </c>
      <c r="L402">
        <v>13.68</v>
      </c>
      <c r="M402">
        <v>12.83</v>
      </c>
      <c r="N402">
        <v>7.37</v>
      </c>
      <c r="O402">
        <v>19.47</v>
      </c>
      <c r="P402">
        <v>18.010000000000002</v>
      </c>
      <c r="Q402">
        <v>47.47</v>
      </c>
      <c r="R402">
        <v>31.51</v>
      </c>
      <c r="S402">
        <v>32.380000000000003</v>
      </c>
      <c r="T402">
        <v>47.78</v>
      </c>
      <c r="U402">
        <v>61.42</v>
      </c>
      <c r="V402" s="6">
        <v>32.619999999999997</v>
      </c>
    </row>
    <row r="403" spans="1:22" x14ac:dyDescent="0.2">
      <c r="A403" s="4">
        <v>45147</v>
      </c>
      <c r="B403" s="3">
        <v>98.37</v>
      </c>
      <c r="C403">
        <v>54.55</v>
      </c>
      <c r="D403">
        <v>22.74</v>
      </c>
      <c r="E403">
        <v>21.58</v>
      </c>
      <c r="F403">
        <v>25.47</v>
      </c>
      <c r="G403">
        <v>39.299999999999997</v>
      </c>
      <c r="H403">
        <v>19.93</v>
      </c>
      <c r="I403">
        <v>33.700000000000003</v>
      </c>
      <c r="J403">
        <v>53.31</v>
      </c>
      <c r="K403">
        <v>12.96</v>
      </c>
      <c r="L403">
        <v>13.5</v>
      </c>
      <c r="M403">
        <v>12.72</v>
      </c>
      <c r="N403">
        <v>7.25</v>
      </c>
      <c r="O403">
        <v>19.260000000000002</v>
      </c>
      <c r="P403">
        <v>18.010000000000002</v>
      </c>
      <c r="Q403">
        <v>47.04</v>
      </c>
      <c r="R403">
        <v>31.43</v>
      </c>
      <c r="S403">
        <v>32.42</v>
      </c>
      <c r="T403">
        <v>48.04</v>
      </c>
      <c r="U403">
        <v>61.28</v>
      </c>
      <c r="V403" s="6">
        <v>32.380000000000003</v>
      </c>
    </row>
    <row r="404" spans="1:22" x14ac:dyDescent="0.2">
      <c r="A404" s="4">
        <v>45148</v>
      </c>
      <c r="B404" s="3">
        <v>97.7</v>
      </c>
      <c r="C404">
        <v>53.91</v>
      </c>
      <c r="D404">
        <v>22.87</v>
      </c>
      <c r="E404">
        <v>21.65</v>
      </c>
      <c r="F404">
        <v>25.47</v>
      </c>
      <c r="G404">
        <v>38.78</v>
      </c>
      <c r="H404">
        <v>20.03</v>
      </c>
      <c r="I404">
        <v>33.82</v>
      </c>
      <c r="J404">
        <v>53.16</v>
      </c>
      <c r="K404">
        <v>13.07</v>
      </c>
      <c r="L404">
        <v>13.47</v>
      </c>
      <c r="M404">
        <v>12.71</v>
      </c>
      <c r="N404">
        <v>7.26</v>
      </c>
      <c r="O404">
        <v>19.38</v>
      </c>
      <c r="P404">
        <v>18.010000000000002</v>
      </c>
      <c r="Q404">
        <v>47.09</v>
      </c>
      <c r="R404">
        <v>31.36</v>
      </c>
      <c r="S404">
        <v>32.33</v>
      </c>
      <c r="T404">
        <v>47.3</v>
      </c>
      <c r="U404">
        <v>61.59</v>
      </c>
      <c r="V404" s="6">
        <v>30.78</v>
      </c>
    </row>
    <row r="405" spans="1:22" x14ac:dyDescent="0.2">
      <c r="A405" s="4">
        <v>45149</v>
      </c>
      <c r="B405" s="3">
        <v>97</v>
      </c>
      <c r="C405">
        <v>53.46</v>
      </c>
      <c r="D405">
        <v>22.82</v>
      </c>
      <c r="E405">
        <v>21.69</v>
      </c>
      <c r="F405">
        <v>25.48</v>
      </c>
      <c r="G405">
        <v>38.35</v>
      </c>
      <c r="H405">
        <v>20.25</v>
      </c>
      <c r="I405">
        <v>33.450000000000003</v>
      </c>
      <c r="J405">
        <v>56.16</v>
      </c>
      <c r="K405">
        <v>13</v>
      </c>
      <c r="L405">
        <v>13.41</v>
      </c>
      <c r="M405">
        <v>12.71</v>
      </c>
      <c r="N405">
        <v>7.32</v>
      </c>
      <c r="O405">
        <v>19.350000000000001</v>
      </c>
      <c r="P405">
        <v>18.440000000000001</v>
      </c>
      <c r="Q405">
        <v>47.87</v>
      </c>
      <c r="R405">
        <v>30.82</v>
      </c>
      <c r="S405">
        <v>32.4</v>
      </c>
      <c r="T405">
        <v>48.28</v>
      </c>
      <c r="U405">
        <v>61.64</v>
      </c>
      <c r="V405" s="6">
        <v>30</v>
      </c>
    </row>
    <row r="406" spans="1:22" x14ac:dyDescent="0.2">
      <c r="A406" s="4">
        <v>45152</v>
      </c>
      <c r="B406" s="3">
        <v>96.93</v>
      </c>
      <c r="C406">
        <v>51.8</v>
      </c>
      <c r="D406">
        <v>22.88</v>
      </c>
      <c r="E406">
        <v>21.37</v>
      </c>
      <c r="F406">
        <v>25.6</v>
      </c>
      <c r="G406">
        <v>37.880000000000003</v>
      </c>
      <c r="H406">
        <v>20.04</v>
      </c>
      <c r="I406">
        <v>33.04</v>
      </c>
      <c r="J406">
        <v>56.17</v>
      </c>
      <c r="K406">
        <v>12.93</v>
      </c>
      <c r="L406">
        <v>13.32</v>
      </c>
      <c r="M406">
        <v>12.68</v>
      </c>
      <c r="N406">
        <v>7.29</v>
      </c>
      <c r="O406">
        <v>19.38</v>
      </c>
      <c r="P406">
        <v>18.2</v>
      </c>
      <c r="Q406">
        <v>48.59</v>
      </c>
      <c r="R406">
        <v>31.16</v>
      </c>
      <c r="S406">
        <v>32.31</v>
      </c>
      <c r="T406">
        <v>48.51</v>
      </c>
      <c r="U406">
        <v>59.48</v>
      </c>
      <c r="V406" s="6">
        <v>29.47</v>
      </c>
    </row>
    <row r="407" spans="1:22" x14ac:dyDescent="0.2">
      <c r="A407" s="4">
        <v>45153</v>
      </c>
      <c r="B407" s="3">
        <v>96.41</v>
      </c>
      <c r="C407">
        <v>51.29</v>
      </c>
      <c r="D407">
        <v>23.04</v>
      </c>
      <c r="E407">
        <v>21.25</v>
      </c>
      <c r="F407">
        <v>25.55</v>
      </c>
      <c r="G407">
        <v>37.92</v>
      </c>
      <c r="H407">
        <v>19.940000000000001</v>
      </c>
      <c r="I407">
        <v>31.9</v>
      </c>
      <c r="J407">
        <v>54.77</v>
      </c>
      <c r="K407">
        <v>12.96</v>
      </c>
      <c r="L407">
        <v>13.24</v>
      </c>
      <c r="M407">
        <v>12.56</v>
      </c>
      <c r="N407">
        <v>7.26</v>
      </c>
      <c r="O407">
        <v>19.64</v>
      </c>
      <c r="P407">
        <v>18.2</v>
      </c>
      <c r="Q407">
        <v>47.75</v>
      </c>
      <c r="R407">
        <v>30.35</v>
      </c>
      <c r="S407">
        <v>31.67</v>
      </c>
      <c r="T407">
        <v>46.74</v>
      </c>
      <c r="U407">
        <v>60.14</v>
      </c>
      <c r="V407" s="6">
        <v>29.33</v>
      </c>
    </row>
    <row r="408" spans="1:22" x14ac:dyDescent="0.2">
      <c r="A408" s="4">
        <v>45154</v>
      </c>
      <c r="B408" s="3">
        <v>95.78</v>
      </c>
      <c r="C408">
        <v>51.09</v>
      </c>
      <c r="D408">
        <v>23.55</v>
      </c>
      <c r="E408">
        <v>21.24</v>
      </c>
      <c r="F408">
        <v>26.3</v>
      </c>
      <c r="G408">
        <v>36.24</v>
      </c>
      <c r="H408">
        <v>20.11</v>
      </c>
      <c r="I408">
        <v>30.77</v>
      </c>
      <c r="J408">
        <v>57.8</v>
      </c>
      <c r="K408">
        <v>12.89</v>
      </c>
      <c r="L408">
        <v>13.04</v>
      </c>
      <c r="M408">
        <v>12.55</v>
      </c>
      <c r="N408">
        <v>7.21</v>
      </c>
      <c r="O408">
        <v>19.39</v>
      </c>
      <c r="P408">
        <v>18.190000000000001</v>
      </c>
      <c r="Q408">
        <v>47.63</v>
      </c>
      <c r="R408">
        <v>29.68</v>
      </c>
      <c r="S408">
        <v>31.37</v>
      </c>
      <c r="T408">
        <v>45.91</v>
      </c>
      <c r="U408">
        <v>59.31</v>
      </c>
      <c r="V408" s="6">
        <v>28.67</v>
      </c>
    </row>
    <row r="409" spans="1:22" x14ac:dyDescent="0.2">
      <c r="A409" s="4">
        <v>45155</v>
      </c>
      <c r="B409" s="3">
        <v>96.09</v>
      </c>
      <c r="C409">
        <v>51.81</v>
      </c>
      <c r="D409">
        <v>23.47</v>
      </c>
      <c r="E409">
        <v>20.99</v>
      </c>
      <c r="F409">
        <v>26.1</v>
      </c>
      <c r="G409">
        <v>35.57</v>
      </c>
      <c r="H409">
        <v>20.3</v>
      </c>
      <c r="I409">
        <v>31.43</v>
      </c>
      <c r="J409">
        <v>58.55</v>
      </c>
      <c r="K409">
        <v>12.76</v>
      </c>
      <c r="L409">
        <v>12.68</v>
      </c>
      <c r="M409">
        <v>12.58</v>
      </c>
      <c r="N409">
        <v>7.15</v>
      </c>
      <c r="O409">
        <v>19.45</v>
      </c>
      <c r="P409">
        <v>18.38</v>
      </c>
      <c r="Q409">
        <v>48.09</v>
      </c>
      <c r="R409">
        <v>28.88</v>
      </c>
      <c r="S409">
        <v>31.35</v>
      </c>
      <c r="T409">
        <v>45.31</v>
      </c>
      <c r="U409">
        <v>58.07</v>
      </c>
      <c r="V409" s="6">
        <v>28.9</v>
      </c>
    </row>
    <row r="410" spans="1:22" x14ac:dyDescent="0.2">
      <c r="A410" s="4">
        <v>45156</v>
      </c>
      <c r="B410" s="3">
        <v>95.3</v>
      </c>
      <c r="C410">
        <v>51.23</v>
      </c>
      <c r="D410">
        <v>23.53</v>
      </c>
      <c r="E410">
        <v>21.15</v>
      </c>
      <c r="F410">
        <v>26.26</v>
      </c>
      <c r="G410">
        <v>34.94</v>
      </c>
      <c r="H410">
        <v>20.38</v>
      </c>
      <c r="I410">
        <v>31.45</v>
      </c>
      <c r="J410">
        <v>59.84</v>
      </c>
      <c r="K410">
        <v>12.84</v>
      </c>
      <c r="L410">
        <v>12.9</v>
      </c>
      <c r="M410">
        <v>12.71</v>
      </c>
      <c r="N410">
        <v>7.16</v>
      </c>
      <c r="O410">
        <v>19.21</v>
      </c>
      <c r="P410">
        <v>18.670000000000002</v>
      </c>
      <c r="Q410">
        <v>48.36</v>
      </c>
      <c r="R410">
        <v>29.31</v>
      </c>
      <c r="S410">
        <v>31.9</v>
      </c>
      <c r="T410">
        <v>45.1</v>
      </c>
      <c r="U410">
        <v>58.28</v>
      </c>
      <c r="V410" s="6">
        <v>28.37</v>
      </c>
    </row>
    <row r="411" spans="1:22" x14ac:dyDescent="0.2">
      <c r="A411" s="4">
        <v>45159</v>
      </c>
      <c r="B411" s="3">
        <v>96.54</v>
      </c>
      <c r="C411">
        <v>51.21</v>
      </c>
      <c r="D411">
        <v>23.37</v>
      </c>
      <c r="E411">
        <v>21.07</v>
      </c>
      <c r="F411">
        <v>26</v>
      </c>
      <c r="G411">
        <v>34.729999999999997</v>
      </c>
      <c r="H411">
        <v>20.309999999999999</v>
      </c>
      <c r="I411">
        <v>30.74</v>
      </c>
      <c r="J411">
        <v>58.47</v>
      </c>
      <c r="K411">
        <v>12.75</v>
      </c>
      <c r="L411">
        <v>12.73</v>
      </c>
      <c r="M411">
        <v>12.66</v>
      </c>
      <c r="N411">
        <v>7.05</v>
      </c>
      <c r="O411">
        <v>18.690000000000001</v>
      </c>
      <c r="P411">
        <v>18.71</v>
      </c>
      <c r="Q411">
        <v>47.79</v>
      </c>
      <c r="R411">
        <v>29.07</v>
      </c>
      <c r="S411">
        <v>31.65</v>
      </c>
      <c r="T411">
        <v>44.68</v>
      </c>
      <c r="U411">
        <v>57.84</v>
      </c>
      <c r="V411" s="6">
        <v>28.6</v>
      </c>
    </row>
    <row r="412" spans="1:22" x14ac:dyDescent="0.2">
      <c r="A412" s="4">
        <v>45160</v>
      </c>
      <c r="B412" s="3">
        <v>98.1</v>
      </c>
      <c r="C412">
        <v>52.37</v>
      </c>
      <c r="D412">
        <v>23.68</v>
      </c>
      <c r="E412">
        <v>21.4</v>
      </c>
      <c r="F412">
        <v>26.35</v>
      </c>
      <c r="G412">
        <v>35.15</v>
      </c>
      <c r="H412">
        <v>20.77</v>
      </c>
      <c r="I412">
        <v>31.04</v>
      </c>
      <c r="J412">
        <v>59.75</v>
      </c>
      <c r="K412">
        <v>12.84</v>
      </c>
      <c r="L412">
        <v>13.09</v>
      </c>
      <c r="M412">
        <v>12.76</v>
      </c>
      <c r="N412">
        <v>7.16</v>
      </c>
      <c r="O412">
        <v>18.53</v>
      </c>
      <c r="P412">
        <v>19.11</v>
      </c>
      <c r="Q412">
        <v>47.57</v>
      </c>
      <c r="R412">
        <v>30.05</v>
      </c>
      <c r="S412">
        <v>31.84</v>
      </c>
      <c r="T412">
        <v>45.03</v>
      </c>
      <c r="U412">
        <v>59.88</v>
      </c>
      <c r="V412" s="6">
        <v>28.51</v>
      </c>
    </row>
    <row r="413" spans="1:22" x14ac:dyDescent="0.2">
      <c r="A413" s="4">
        <v>45161</v>
      </c>
      <c r="B413" s="3">
        <v>97.3</v>
      </c>
      <c r="C413">
        <v>52.75</v>
      </c>
      <c r="D413">
        <v>24.94</v>
      </c>
      <c r="E413">
        <v>21.66</v>
      </c>
      <c r="F413">
        <v>27.85</v>
      </c>
      <c r="G413">
        <v>35.130000000000003</v>
      </c>
      <c r="H413">
        <v>20.86</v>
      </c>
      <c r="I413">
        <v>33.31</v>
      </c>
      <c r="J413">
        <v>59.05</v>
      </c>
      <c r="K413">
        <v>13.01</v>
      </c>
      <c r="L413">
        <v>13.41</v>
      </c>
      <c r="M413">
        <v>12.79</v>
      </c>
      <c r="N413">
        <v>7.3</v>
      </c>
      <c r="O413">
        <v>18.649999999999999</v>
      </c>
      <c r="P413">
        <v>19.34</v>
      </c>
      <c r="Q413">
        <v>47.22</v>
      </c>
      <c r="R413">
        <v>31.19</v>
      </c>
      <c r="S413">
        <v>32.07</v>
      </c>
      <c r="T413">
        <v>45.78</v>
      </c>
      <c r="U413">
        <v>61.45</v>
      </c>
      <c r="V413" s="6">
        <v>28.61</v>
      </c>
    </row>
    <row r="414" spans="1:22" x14ac:dyDescent="0.2">
      <c r="A414" s="4">
        <v>45162</v>
      </c>
      <c r="B414" s="3">
        <v>96.19</v>
      </c>
      <c r="C414">
        <v>52.05</v>
      </c>
      <c r="D414">
        <v>24.9</v>
      </c>
      <c r="E414">
        <v>21.41</v>
      </c>
      <c r="F414">
        <v>27.78</v>
      </c>
      <c r="G414">
        <v>34.67</v>
      </c>
      <c r="H414">
        <v>20.59</v>
      </c>
      <c r="I414">
        <v>33.770000000000003</v>
      </c>
      <c r="J414">
        <v>59.19</v>
      </c>
      <c r="K414">
        <v>12.7</v>
      </c>
      <c r="L414">
        <v>12.93</v>
      </c>
      <c r="M414">
        <v>12.56</v>
      </c>
      <c r="N414">
        <v>7.21</v>
      </c>
      <c r="O414">
        <v>18.579999999999998</v>
      </c>
      <c r="P414">
        <v>18.68</v>
      </c>
      <c r="Q414">
        <v>47.09</v>
      </c>
      <c r="R414">
        <v>31.13</v>
      </c>
      <c r="S414">
        <v>32.1</v>
      </c>
      <c r="T414">
        <v>45.99</v>
      </c>
      <c r="U414">
        <v>60.64</v>
      </c>
      <c r="V414" s="6">
        <v>28.29</v>
      </c>
    </row>
    <row r="415" spans="1:22" x14ac:dyDescent="0.2">
      <c r="A415" s="4">
        <v>45163</v>
      </c>
      <c r="B415" s="3">
        <v>96.78</v>
      </c>
      <c r="C415">
        <v>51.94</v>
      </c>
      <c r="D415">
        <v>24.73</v>
      </c>
      <c r="E415">
        <v>21.07</v>
      </c>
      <c r="F415">
        <v>27.56</v>
      </c>
      <c r="G415">
        <v>35.04</v>
      </c>
      <c r="H415">
        <v>20.32</v>
      </c>
      <c r="I415">
        <v>33.08</v>
      </c>
      <c r="J415">
        <v>58.94</v>
      </c>
      <c r="K415">
        <v>12.54</v>
      </c>
      <c r="L415">
        <v>12.74</v>
      </c>
      <c r="M415">
        <v>12.38</v>
      </c>
      <c r="N415">
        <v>7.13</v>
      </c>
      <c r="O415">
        <v>18.53</v>
      </c>
      <c r="P415">
        <v>18.47</v>
      </c>
      <c r="Q415">
        <v>47.62</v>
      </c>
      <c r="R415">
        <v>30.74</v>
      </c>
      <c r="S415">
        <v>31.61</v>
      </c>
      <c r="T415">
        <v>46.32</v>
      </c>
      <c r="U415">
        <v>58.31</v>
      </c>
      <c r="V415" s="6">
        <v>27.86</v>
      </c>
    </row>
    <row r="416" spans="1:22" x14ac:dyDescent="0.2">
      <c r="A416" s="4">
        <v>45166</v>
      </c>
      <c r="B416" s="3">
        <v>98.26</v>
      </c>
      <c r="C416">
        <v>52.69</v>
      </c>
      <c r="D416">
        <v>25.01</v>
      </c>
      <c r="E416">
        <v>21.79</v>
      </c>
      <c r="F416">
        <v>27.84</v>
      </c>
      <c r="G416">
        <v>35.29</v>
      </c>
      <c r="H416">
        <v>20.9</v>
      </c>
      <c r="I416">
        <v>33.26</v>
      </c>
      <c r="J416">
        <v>59.03</v>
      </c>
      <c r="K416">
        <v>12.95</v>
      </c>
      <c r="L416">
        <v>12.77</v>
      </c>
      <c r="M416">
        <v>12.57</v>
      </c>
      <c r="N416">
        <v>7.25</v>
      </c>
      <c r="O416">
        <v>18.73</v>
      </c>
      <c r="P416">
        <v>19</v>
      </c>
      <c r="Q416">
        <v>48</v>
      </c>
      <c r="R416">
        <v>30.98</v>
      </c>
      <c r="S416">
        <v>31.65</v>
      </c>
      <c r="T416">
        <v>46.62</v>
      </c>
      <c r="U416">
        <v>58.17</v>
      </c>
      <c r="V416" s="6">
        <v>27.8</v>
      </c>
    </row>
    <row r="417" spans="1:22" x14ac:dyDescent="0.2">
      <c r="A417" s="4">
        <v>45167</v>
      </c>
      <c r="B417" s="3">
        <v>97.76</v>
      </c>
      <c r="C417">
        <v>54.37</v>
      </c>
      <c r="D417">
        <v>25.07</v>
      </c>
      <c r="E417">
        <v>22.13</v>
      </c>
      <c r="F417">
        <v>27.94</v>
      </c>
      <c r="G417">
        <v>35.159999999999997</v>
      </c>
      <c r="H417">
        <v>21.02</v>
      </c>
      <c r="I417">
        <v>33.32</v>
      </c>
      <c r="J417">
        <v>59.05</v>
      </c>
      <c r="K417">
        <v>13.1</v>
      </c>
      <c r="L417">
        <v>12.81</v>
      </c>
      <c r="M417">
        <v>12.62</v>
      </c>
      <c r="N417">
        <v>7.32</v>
      </c>
      <c r="O417">
        <v>18.920000000000002</v>
      </c>
      <c r="P417">
        <v>19.03</v>
      </c>
      <c r="Q417">
        <v>48.81</v>
      </c>
      <c r="R417">
        <v>31.64</v>
      </c>
      <c r="S417">
        <v>32.159999999999997</v>
      </c>
      <c r="T417">
        <v>45.78</v>
      </c>
      <c r="U417">
        <v>58.9</v>
      </c>
      <c r="V417" s="6">
        <v>28.2</v>
      </c>
    </row>
    <row r="418" spans="1:22" x14ac:dyDescent="0.2">
      <c r="A418" s="4">
        <v>45168</v>
      </c>
      <c r="B418" s="3">
        <v>96.47</v>
      </c>
      <c r="C418">
        <v>54.38</v>
      </c>
      <c r="D418">
        <v>25.24</v>
      </c>
      <c r="E418">
        <v>21.71</v>
      </c>
      <c r="F418">
        <v>27.92</v>
      </c>
      <c r="G418">
        <v>34.979999999999997</v>
      </c>
      <c r="H418">
        <v>20.72</v>
      </c>
      <c r="I418">
        <v>32.99</v>
      </c>
      <c r="J418">
        <v>58.75</v>
      </c>
      <c r="K418">
        <v>12.82</v>
      </c>
      <c r="L418">
        <v>12.48</v>
      </c>
      <c r="M418">
        <v>12.55</v>
      </c>
      <c r="N418">
        <v>7.21</v>
      </c>
      <c r="O418">
        <v>18.8</v>
      </c>
      <c r="P418">
        <v>19.3</v>
      </c>
      <c r="Q418">
        <v>48.5</v>
      </c>
      <c r="R418">
        <v>31.37</v>
      </c>
      <c r="S418">
        <v>32.299999999999997</v>
      </c>
      <c r="T418">
        <v>45.74</v>
      </c>
      <c r="U418">
        <v>58.74</v>
      </c>
      <c r="V418" s="6">
        <v>27.32</v>
      </c>
    </row>
    <row r="419" spans="1:22" x14ac:dyDescent="0.2">
      <c r="A419" s="4">
        <v>45169</v>
      </c>
      <c r="B419" s="3">
        <v>98.03</v>
      </c>
      <c r="C419">
        <v>54.46</v>
      </c>
      <c r="D419">
        <v>24.71</v>
      </c>
      <c r="E419">
        <v>21.52</v>
      </c>
      <c r="F419">
        <v>27.17</v>
      </c>
      <c r="G419">
        <v>34.58</v>
      </c>
      <c r="H419">
        <v>20.39</v>
      </c>
      <c r="I419">
        <v>32</v>
      </c>
      <c r="J419">
        <v>57.92</v>
      </c>
      <c r="K419">
        <v>12.64</v>
      </c>
      <c r="L419">
        <v>12.21</v>
      </c>
      <c r="M419">
        <v>12.25</v>
      </c>
      <c r="N419">
        <v>7.06</v>
      </c>
      <c r="O419">
        <v>18.399999999999999</v>
      </c>
      <c r="P419">
        <v>19.47</v>
      </c>
      <c r="Q419">
        <v>47.86</v>
      </c>
      <c r="R419">
        <v>31</v>
      </c>
      <c r="S419">
        <v>31.66</v>
      </c>
      <c r="T419">
        <v>46.35</v>
      </c>
      <c r="U419">
        <v>58.53</v>
      </c>
      <c r="V419" s="6">
        <v>27.34</v>
      </c>
    </row>
    <row r="420" spans="1:22" x14ac:dyDescent="0.2">
      <c r="A420" s="4">
        <v>45170</v>
      </c>
      <c r="B420" s="3">
        <v>97.93</v>
      </c>
      <c r="C420">
        <v>57.65</v>
      </c>
      <c r="D420">
        <v>25.24</v>
      </c>
      <c r="E420">
        <v>21.71</v>
      </c>
      <c r="F420">
        <v>28.07</v>
      </c>
      <c r="G420">
        <v>34.64</v>
      </c>
      <c r="H420">
        <v>20.53</v>
      </c>
      <c r="I420">
        <v>32.119999999999997</v>
      </c>
      <c r="J420">
        <v>58.72</v>
      </c>
      <c r="K420">
        <v>12.67</v>
      </c>
      <c r="L420">
        <v>12.26</v>
      </c>
      <c r="M420">
        <v>12.27</v>
      </c>
      <c r="N420">
        <v>7.13</v>
      </c>
      <c r="O420">
        <v>18.510000000000002</v>
      </c>
      <c r="P420">
        <v>19.78</v>
      </c>
      <c r="Q420">
        <v>48.76</v>
      </c>
      <c r="R420">
        <v>30.84</v>
      </c>
      <c r="S420">
        <v>31.9</v>
      </c>
      <c r="T420">
        <v>46.87</v>
      </c>
      <c r="U420">
        <v>58.98</v>
      </c>
      <c r="V420" s="6">
        <v>27.53</v>
      </c>
    </row>
    <row r="421" spans="1:22" x14ac:dyDescent="0.2">
      <c r="A421" s="4">
        <v>45173</v>
      </c>
      <c r="B421" s="3">
        <v>97.92</v>
      </c>
      <c r="C421">
        <v>58.08</v>
      </c>
      <c r="D421">
        <v>24.98</v>
      </c>
      <c r="E421">
        <v>21.51</v>
      </c>
      <c r="F421">
        <v>27.69</v>
      </c>
      <c r="G421">
        <v>34.82</v>
      </c>
      <c r="H421">
        <v>20.46</v>
      </c>
      <c r="I421">
        <v>31.98</v>
      </c>
      <c r="J421">
        <v>58.85</v>
      </c>
      <c r="K421">
        <v>12.61</v>
      </c>
      <c r="L421">
        <v>12.33</v>
      </c>
      <c r="M421">
        <v>12.26</v>
      </c>
      <c r="N421">
        <v>7.06</v>
      </c>
      <c r="O421">
        <v>18.600000000000001</v>
      </c>
      <c r="P421">
        <v>19.96</v>
      </c>
      <c r="Q421">
        <v>48.64</v>
      </c>
      <c r="R421">
        <v>30.33</v>
      </c>
      <c r="S421">
        <v>32.03</v>
      </c>
      <c r="T421">
        <v>46.54</v>
      </c>
      <c r="U421">
        <v>58.63</v>
      </c>
      <c r="V421" s="6">
        <v>27.76</v>
      </c>
    </row>
    <row r="422" spans="1:22" x14ac:dyDescent="0.2">
      <c r="A422" s="4">
        <v>45174</v>
      </c>
      <c r="B422" s="3">
        <v>96.78</v>
      </c>
      <c r="C422">
        <v>57.83</v>
      </c>
      <c r="D422">
        <v>25.82</v>
      </c>
      <c r="E422">
        <v>21.19</v>
      </c>
      <c r="F422">
        <v>28.96</v>
      </c>
      <c r="G422">
        <v>34.61</v>
      </c>
      <c r="H422">
        <v>20.39</v>
      </c>
      <c r="I422">
        <v>31.7</v>
      </c>
      <c r="J422">
        <v>58.57</v>
      </c>
      <c r="K422">
        <v>12.34</v>
      </c>
      <c r="L422">
        <v>12.06</v>
      </c>
      <c r="M422">
        <v>12.4</v>
      </c>
      <c r="N422">
        <v>6.97</v>
      </c>
      <c r="O422">
        <v>18.690000000000001</v>
      </c>
      <c r="P422">
        <v>19.420000000000002</v>
      </c>
      <c r="Q422">
        <v>48.35</v>
      </c>
      <c r="R422">
        <v>30.04</v>
      </c>
      <c r="S422">
        <v>31.33</v>
      </c>
      <c r="T422">
        <v>47.41</v>
      </c>
      <c r="U422">
        <v>57.57</v>
      </c>
      <c r="V422" s="6">
        <v>27.41</v>
      </c>
    </row>
    <row r="423" spans="1:22" x14ac:dyDescent="0.2">
      <c r="A423" s="4">
        <v>45175</v>
      </c>
      <c r="B423" s="3">
        <v>95.94</v>
      </c>
      <c r="C423">
        <v>56.91</v>
      </c>
      <c r="D423">
        <v>25.93</v>
      </c>
      <c r="E423">
        <v>20.98</v>
      </c>
      <c r="F423">
        <v>29.1</v>
      </c>
      <c r="G423">
        <v>34.26</v>
      </c>
      <c r="H423">
        <v>20.25</v>
      </c>
      <c r="I423">
        <v>31.02</v>
      </c>
      <c r="J423">
        <v>57.86</v>
      </c>
      <c r="K423">
        <v>12.17</v>
      </c>
      <c r="L423">
        <v>11.84</v>
      </c>
      <c r="M423">
        <v>12.37</v>
      </c>
      <c r="N423">
        <v>6.88</v>
      </c>
      <c r="O423">
        <v>18.55</v>
      </c>
      <c r="P423">
        <v>19.39</v>
      </c>
      <c r="Q423">
        <v>47.58</v>
      </c>
      <c r="R423">
        <v>29.56</v>
      </c>
      <c r="S423">
        <v>30.7</v>
      </c>
      <c r="T423">
        <v>46.71</v>
      </c>
      <c r="U423">
        <v>56.07</v>
      </c>
      <c r="V423" s="6">
        <v>27.02</v>
      </c>
    </row>
    <row r="424" spans="1:22" x14ac:dyDescent="0.2">
      <c r="A424" s="4">
        <v>45177</v>
      </c>
      <c r="B424" s="3">
        <v>97.5</v>
      </c>
      <c r="C424">
        <v>55.83</v>
      </c>
      <c r="D424">
        <v>25.84</v>
      </c>
      <c r="E424">
        <v>21.02</v>
      </c>
      <c r="F424">
        <v>28.87</v>
      </c>
      <c r="G424">
        <v>34.11</v>
      </c>
      <c r="H424">
        <v>20.190000000000001</v>
      </c>
      <c r="I424">
        <v>31.2</v>
      </c>
      <c r="J424">
        <v>57.68</v>
      </c>
      <c r="K424">
        <v>12.17</v>
      </c>
      <c r="L424">
        <v>11.84</v>
      </c>
      <c r="M424">
        <v>12.12</v>
      </c>
      <c r="N424">
        <v>6.88</v>
      </c>
      <c r="O424">
        <v>18.43</v>
      </c>
      <c r="P424">
        <v>18.420000000000002</v>
      </c>
      <c r="Q424">
        <v>46.57</v>
      </c>
      <c r="R424">
        <v>29.27</v>
      </c>
      <c r="S424">
        <v>31.15</v>
      </c>
      <c r="T424">
        <v>47.41</v>
      </c>
      <c r="U424">
        <v>55.85</v>
      </c>
      <c r="V424" s="6">
        <v>26.95</v>
      </c>
    </row>
    <row r="425" spans="1:22" x14ac:dyDescent="0.2">
      <c r="A425" s="4">
        <v>45180</v>
      </c>
      <c r="B425" s="3">
        <v>98.04</v>
      </c>
      <c r="C425">
        <v>56.63</v>
      </c>
      <c r="D425">
        <v>25.82</v>
      </c>
      <c r="E425">
        <v>21.55</v>
      </c>
      <c r="F425">
        <v>28.68</v>
      </c>
      <c r="G425">
        <v>34</v>
      </c>
      <c r="H425">
        <v>20.51</v>
      </c>
      <c r="I425">
        <v>31.9</v>
      </c>
      <c r="J425">
        <v>59</v>
      </c>
      <c r="K425">
        <v>12.4</v>
      </c>
      <c r="L425">
        <v>12.19</v>
      </c>
      <c r="M425">
        <v>12.27</v>
      </c>
      <c r="N425">
        <v>7.05</v>
      </c>
      <c r="O425">
        <v>18.72</v>
      </c>
      <c r="P425">
        <v>18.3</v>
      </c>
      <c r="Q425">
        <v>47.68</v>
      </c>
      <c r="R425">
        <v>29.58</v>
      </c>
      <c r="S425">
        <v>31.8</v>
      </c>
      <c r="T425">
        <v>47.63</v>
      </c>
      <c r="U425">
        <v>56.67</v>
      </c>
      <c r="V425" s="6">
        <v>28.03</v>
      </c>
    </row>
    <row r="426" spans="1:22" x14ac:dyDescent="0.2">
      <c r="A426" s="4">
        <v>45181</v>
      </c>
      <c r="B426" s="3">
        <v>98.53</v>
      </c>
      <c r="C426">
        <v>56.59</v>
      </c>
      <c r="D426">
        <v>25.94</v>
      </c>
      <c r="E426">
        <v>21.67</v>
      </c>
      <c r="F426">
        <v>28.99</v>
      </c>
      <c r="G426">
        <v>34.35</v>
      </c>
      <c r="H426">
        <v>20.6</v>
      </c>
      <c r="I426">
        <v>32.57</v>
      </c>
      <c r="J426">
        <v>59.48</v>
      </c>
      <c r="K426">
        <v>12.55</v>
      </c>
      <c r="L426">
        <v>12.43</v>
      </c>
      <c r="M426">
        <v>12.13</v>
      </c>
      <c r="N426">
        <v>7.08</v>
      </c>
      <c r="O426">
        <v>18.96</v>
      </c>
      <c r="P426">
        <v>18.09</v>
      </c>
      <c r="Q426">
        <v>47.97</v>
      </c>
      <c r="R426">
        <v>30.22</v>
      </c>
      <c r="S426">
        <v>32.32</v>
      </c>
      <c r="T426">
        <v>48.03</v>
      </c>
      <c r="U426">
        <v>57.54</v>
      </c>
      <c r="V426" s="6">
        <v>27.74</v>
      </c>
    </row>
    <row r="427" spans="1:22" x14ac:dyDescent="0.2">
      <c r="A427" s="4">
        <v>45182</v>
      </c>
      <c r="B427" s="3">
        <v>99.45</v>
      </c>
      <c r="C427">
        <v>56.37</v>
      </c>
      <c r="D427">
        <v>25.55</v>
      </c>
      <c r="E427">
        <v>21.78</v>
      </c>
      <c r="F427">
        <v>28.61</v>
      </c>
      <c r="G427">
        <v>35.590000000000003</v>
      </c>
      <c r="H427">
        <v>20.58</v>
      </c>
      <c r="I427">
        <v>33.08</v>
      </c>
      <c r="J427">
        <v>60.08</v>
      </c>
      <c r="K427">
        <v>12.6</v>
      </c>
      <c r="L427">
        <v>12.47</v>
      </c>
      <c r="M427">
        <v>12.07</v>
      </c>
      <c r="N427">
        <v>7.08</v>
      </c>
      <c r="O427">
        <v>19.03</v>
      </c>
      <c r="P427">
        <v>18.25</v>
      </c>
      <c r="Q427">
        <v>47.95</v>
      </c>
      <c r="R427">
        <v>31.35</v>
      </c>
      <c r="S427">
        <v>33.159999999999997</v>
      </c>
      <c r="T427">
        <v>48.12</v>
      </c>
      <c r="U427">
        <v>58.24</v>
      </c>
      <c r="V427" s="6">
        <v>28.02</v>
      </c>
    </row>
    <row r="428" spans="1:22" x14ac:dyDescent="0.2">
      <c r="A428" s="4">
        <v>45183</v>
      </c>
      <c r="B428" s="3">
        <v>98.97</v>
      </c>
      <c r="C428">
        <v>58.68</v>
      </c>
      <c r="D428">
        <v>26.2</v>
      </c>
      <c r="E428">
        <v>21.7</v>
      </c>
      <c r="F428">
        <v>29.45</v>
      </c>
      <c r="G428">
        <v>34.770000000000003</v>
      </c>
      <c r="H428">
        <v>20.64</v>
      </c>
      <c r="I428">
        <v>33.18</v>
      </c>
      <c r="J428">
        <v>61.31</v>
      </c>
      <c r="K428">
        <v>12.65</v>
      </c>
      <c r="L428">
        <v>12.56</v>
      </c>
      <c r="M428">
        <v>11.97</v>
      </c>
      <c r="N428">
        <v>7.13</v>
      </c>
      <c r="O428">
        <v>18.98</v>
      </c>
      <c r="P428">
        <v>17.77</v>
      </c>
      <c r="Q428">
        <v>48.89</v>
      </c>
      <c r="R428">
        <v>32.08</v>
      </c>
      <c r="S428">
        <v>33.39</v>
      </c>
      <c r="T428">
        <v>49.17</v>
      </c>
      <c r="U428">
        <v>57.21</v>
      </c>
      <c r="V428" s="6">
        <v>27.32</v>
      </c>
    </row>
    <row r="429" spans="1:22" x14ac:dyDescent="0.2">
      <c r="A429" s="4">
        <v>45184</v>
      </c>
      <c r="B429" s="3">
        <v>98.4</v>
      </c>
      <c r="C429">
        <v>58.19</v>
      </c>
      <c r="D429">
        <v>26.22</v>
      </c>
      <c r="E429">
        <v>21.65</v>
      </c>
      <c r="F429">
        <v>29.02</v>
      </c>
      <c r="G429">
        <v>34.79</v>
      </c>
      <c r="H429">
        <v>20.71</v>
      </c>
      <c r="I429">
        <v>32.44</v>
      </c>
      <c r="J429">
        <v>60.02</v>
      </c>
      <c r="K429">
        <v>12.63</v>
      </c>
      <c r="L429">
        <v>12.46</v>
      </c>
      <c r="M429">
        <v>11.87</v>
      </c>
      <c r="N429">
        <v>7.13</v>
      </c>
      <c r="O429">
        <v>18.920000000000002</v>
      </c>
      <c r="P429">
        <v>17.7</v>
      </c>
      <c r="Q429">
        <v>50.13</v>
      </c>
      <c r="R429">
        <v>31.32</v>
      </c>
      <c r="S429">
        <v>33.96</v>
      </c>
      <c r="T429">
        <v>49.32</v>
      </c>
      <c r="U429">
        <v>55.8</v>
      </c>
      <c r="V429" s="6">
        <v>27.45</v>
      </c>
    </row>
    <row r="430" spans="1:22" x14ac:dyDescent="0.2">
      <c r="A430" s="4">
        <v>45187</v>
      </c>
      <c r="B430" s="3">
        <v>98.23</v>
      </c>
      <c r="C430">
        <v>57.51</v>
      </c>
      <c r="D430">
        <v>26.4</v>
      </c>
      <c r="E430">
        <v>21.6</v>
      </c>
      <c r="F430">
        <v>29.38</v>
      </c>
      <c r="G430">
        <v>34.49</v>
      </c>
      <c r="H430">
        <v>20.62</v>
      </c>
      <c r="I430">
        <v>32.31</v>
      </c>
      <c r="J430">
        <v>60.57</v>
      </c>
      <c r="K430">
        <v>12.63</v>
      </c>
      <c r="L430">
        <v>12.35</v>
      </c>
      <c r="M430">
        <v>11.85</v>
      </c>
      <c r="N430">
        <v>7.14</v>
      </c>
      <c r="O430">
        <v>18.670000000000002</v>
      </c>
      <c r="P430">
        <v>17.93</v>
      </c>
      <c r="Q430">
        <v>49.67</v>
      </c>
      <c r="R430">
        <v>30.79</v>
      </c>
      <c r="S430">
        <v>33.18</v>
      </c>
      <c r="T430">
        <v>48.08</v>
      </c>
      <c r="U430">
        <v>55.49</v>
      </c>
      <c r="V430" s="6">
        <v>27.06</v>
      </c>
    </row>
    <row r="431" spans="1:22" x14ac:dyDescent="0.2">
      <c r="A431" s="4">
        <v>45188</v>
      </c>
      <c r="B431" s="3">
        <v>99.28</v>
      </c>
      <c r="C431">
        <v>57.62</v>
      </c>
      <c r="D431">
        <v>26.47</v>
      </c>
      <c r="E431">
        <v>21.5</v>
      </c>
      <c r="F431">
        <v>29.38</v>
      </c>
      <c r="G431">
        <v>34.67</v>
      </c>
      <c r="H431">
        <v>20.59</v>
      </c>
      <c r="I431">
        <v>32.159999999999997</v>
      </c>
      <c r="J431">
        <v>60.8</v>
      </c>
      <c r="K431">
        <v>12.49</v>
      </c>
      <c r="L431">
        <v>12.2</v>
      </c>
      <c r="M431">
        <v>11.88</v>
      </c>
      <c r="N431">
        <v>7.11</v>
      </c>
      <c r="O431">
        <v>18.64</v>
      </c>
      <c r="P431">
        <v>17.53</v>
      </c>
      <c r="Q431">
        <v>50.37</v>
      </c>
      <c r="R431">
        <v>29.98</v>
      </c>
      <c r="S431">
        <v>33.28</v>
      </c>
      <c r="T431">
        <v>48.63</v>
      </c>
      <c r="U431">
        <v>55.43</v>
      </c>
      <c r="V431" s="6">
        <v>26.52</v>
      </c>
    </row>
    <row r="432" spans="1:22" x14ac:dyDescent="0.2">
      <c r="A432" s="4">
        <v>45189</v>
      </c>
      <c r="B432" s="3">
        <v>96.81</v>
      </c>
      <c r="C432">
        <v>58</v>
      </c>
      <c r="D432">
        <v>26.53</v>
      </c>
      <c r="E432">
        <v>21.86</v>
      </c>
      <c r="F432">
        <v>29.42</v>
      </c>
      <c r="G432">
        <v>34.49</v>
      </c>
      <c r="H432">
        <v>20.77</v>
      </c>
      <c r="I432">
        <v>32.79</v>
      </c>
      <c r="J432">
        <v>60.46</v>
      </c>
      <c r="K432">
        <v>12.54</v>
      </c>
      <c r="L432">
        <v>12.4</v>
      </c>
      <c r="M432">
        <v>11.92</v>
      </c>
      <c r="N432">
        <v>7.17</v>
      </c>
      <c r="O432">
        <v>18.62</v>
      </c>
      <c r="P432">
        <v>17.899999999999999</v>
      </c>
      <c r="Q432">
        <v>52.38</v>
      </c>
      <c r="R432">
        <v>29.65</v>
      </c>
      <c r="S432">
        <v>33.54</v>
      </c>
      <c r="T432">
        <v>48.63</v>
      </c>
      <c r="U432">
        <v>55.3</v>
      </c>
      <c r="V432" s="6">
        <v>26.22</v>
      </c>
    </row>
    <row r="433" spans="1:22" x14ac:dyDescent="0.2">
      <c r="A433" s="4">
        <v>45190</v>
      </c>
      <c r="B433" s="3">
        <v>96.9</v>
      </c>
      <c r="C433">
        <v>56.49</v>
      </c>
      <c r="D433">
        <v>26.12</v>
      </c>
      <c r="E433">
        <v>21.37</v>
      </c>
      <c r="F433">
        <v>29</v>
      </c>
      <c r="G433">
        <v>33.71</v>
      </c>
      <c r="H433">
        <v>20.3</v>
      </c>
      <c r="I433">
        <v>31.72</v>
      </c>
      <c r="J433">
        <v>61.69</v>
      </c>
      <c r="K433">
        <v>12.07</v>
      </c>
      <c r="L433">
        <v>11.89</v>
      </c>
      <c r="M433">
        <v>11.72</v>
      </c>
      <c r="N433">
        <v>7.03</v>
      </c>
      <c r="O433">
        <v>18.32</v>
      </c>
      <c r="P433">
        <v>17.54</v>
      </c>
      <c r="Q433">
        <v>53.45</v>
      </c>
      <c r="R433">
        <v>29.43</v>
      </c>
      <c r="S433">
        <v>33.15</v>
      </c>
      <c r="T433">
        <v>46.37</v>
      </c>
      <c r="U433">
        <v>54.15</v>
      </c>
      <c r="V433" s="6">
        <v>25.28</v>
      </c>
    </row>
    <row r="434" spans="1:22" x14ac:dyDescent="0.2">
      <c r="A434" s="4">
        <v>45191</v>
      </c>
      <c r="B434" s="3">
        <v>96.41</v>
      </c>
      <c r="C434">
        <v>56.91</v>
      </c>
      <c r="D434">
        <v>26.33</v>
      </c>
      <c r="E434">
        <v>21.31</v>
      </c>
      <c r="F434">
        <v>29.21</v>
      </c>
      <c r="G434">
        <v>33.33</v>
      </c>
      <c r="H434">
        <v>20.329999999999998</v>
      </c>
      <c r="I434">
        <v>32</v>
      </c>
      <c r="J434">
        <v>61.34</v>
      </c>
      <c r="K434">
        <v>11.98</v>
      </c>
      <c r="L434">
        <v>11.73</v>
      </c>
      <c r="M434">
        <v>11.61</v>
      </c>
      <c r="N434">
        <v>6.96</v>
      </c>
      <c r="O434">
        <v>18.22</v>
      </c>
      <c r="P434">
        <v>17.53</v>
      </c>
      <c r="Q434">
        <v>52.85</v>
      </c>
      <c r="R434">
        <v>29.62</v>
      </c>
      <c r="S434">
        <v>32.880000000000003</v>
      </c>
      <c r="T434">
        <v>46.69</v>
      </c>
      <c r="U434">
        <v>53.81</v>
      </c>
      <c r="V434" s="6">
        <v>25.2</v>
      </c>
    </row>
    <row r="435" spans="1:22" x14ac:dyDescent="0.2">
      <c r="A435" s="4">
        <v>45194</v>
      </c>
      <c r="B435" s="3">
        <v>95.19</v>
      </c>
      <c r="C435">
        <v>55.73</v>
      </c>
      <c r="D435">
        <v>26.5</v>
      </c>
      <c r="E435">
        <v>21.37</v>
      </c>
      <c r="F435">
        <v>29.4</v>
      </c>
      <c r="G435">
        <v>34.869999999999997</v>
      </c>
      <c r="H435">
        <v>20.22</v>
      </c>
      <c r="I435">
        <v>32.56</v>
      </c>
      <c r="J435">
        <v>61.35</v>
      </c>
      <c r="K435">
        <v>11.94</v>
      </c>
      <c r="L435">
        <v>11.74</v>
      </c>
      <c r="M435">
        <v>11.7</v>
      </c>
      <c r="N435">
        <v>7</v>
      </c>
      <c r="O435">
        <v>18.11</v>
      </c>
      <c r="P435">
        <v>17.079999999999998</v>
      </c>
      <c r="Q435">
        <v>52.68</v>
      </c>
      <c r="R435">
        <v>29.5</v>
      </c>
      <c r="S435">
        <v>32.75</v>
      </c>
      <c r="T435">
        <v>46.9</v>
      </c>
      <c r="U435">
        <v>53.56</v>
      </c>
      <c r="V435" s="6">
        <v>25.14</v>
      </c>
    </row>
    <row r="436" spans="1:22" x14ac:dyDescent="0.2">
      <c r="A436" s="4">
        <v>45195</v>
      </c>
      <c r="B436" s="3">
        <v>94.99</v>
      </c>
      <c r="C436">
        <v>54.86</v>
      </c>
      <c r="D436">
        <v>25.89</v>
      </c>
      <c r="E436">
        <v>21.06</v>
      </c>
      <c r="F436">
        <v>28.59</v>
      </c>
      <c r="G436">
        <v>34.82</v>
      </c>
      <c r="H436">
        <v>19.93</v>
      </c>
      <c r="I436">
        <v>32.86</v>
      </c>
      <c r="J436">
        <v>60.01</v>
      </c>
      <c r="K436">
        <v>11.82</v>
      </c>
      <c r="L436">
        <v>11.48</v>
      </c>
      <c r="M436">
        <v>11.54</v>
      </c>
      <c r="N436">
        <v>6.88</v>
      </c>
      <c r="O436">
        <v>17.84</v>
      </c>
      <c r="P436">
        <v>17.100000000000001</v>
      </c>
      <c r="Q436">
        <v>51.87</v>
      </c>
      <c r="R436">
        <v>28.84</v>
      </c>
      <c r="S436">
        <v>32.39</v>
      </c>
      <c r="T436">
        <v>46.85</v>
      </c>
      <c r="U436">
        <v>53.07</v>
      </c>
      <c r="V436" s="6">
        <v>24.37</v>
      </c>
    </row>
    <row r="437" spans="1:22" x14ac:dyDescent="0.2">
      <c r="A437" s="4">
        <v>45196</v>
      </c>
      <c r="B437" s="3">
        <v>96.3</v>
      </c>
      <c r="C437">
        <v>54.98</v>
      </c>
      <c r="D437">
        <v>26.71</v>
      </c>
      <c r="E437">
        <v>21.02</v>
      </c>
      <c r="F437">
        <v>29.65</v>
      </c>
      <c r="G437">
        <v>34.76</v>
      </c>
      <c r="H437">
        <v>20.100000000000001</v>
      </c>
      <c r="I437">
        <v>32.130000000000003</v>
      </c>
      <c r="J437">
        <v>58.94</v>
      </c>
      <c r="K437">
        <v>11.78</v>
      </c>
      <c r="L437">
        <v>11.45</v>
      </c>
      <c r="M437">
        <v>11.48</v>
      </c>
      <c r="N437">
        <v>6.85</v>
      </c>
      <c r="O437">
        <v>17.670000000000002</v>
      </c>
      <c r="P437">
        <v>16.93</v>
      </c>
      <c r="Q437">
        <v>51.6</v>
      </c>
      <c r="R437">
        <v>28.54</v>
      </c>
      <c r="S437">
        <v>31.9</v>
      </c>
      <c r="T437">
        <v>48.22</v>
      </c>
      <c r="U437">
        <v>52.37</v>
      </c>
      <c r="V437" s="6">
        <v>23.77</v>
      </c>
    </row>
    <row r="438" spans="1:22" x14ac:dyDescent="0.2">
      <c r="A438" s="4">
        <v>45197</v>
      </c>
      <c r="B438" s="3">
        <v>96.73</v>
      </c>
      <c r="C438">
        <v>55.82</v>
      </c>
      <c r="D438">
        <v>26.65</v>
      </c>
      <c r="E438">
        <v>21.57</v>
      </c>
      <c r="F438">
        <v>29.5</v>
      </c>
      <c r="G438">
        <v>35.119999999999997</v>
      </c>
      <c r="H438">
        <v>20.75</v>
      </c>
      <c r="I438">
        <v>32.94</v>
      </c>
      <c r="J438">
        <v>59.26</v>
      </c>
      <c r="K438">
        <v>12.06</v>
      </c>
      <c r="L438">
        <v>11.62</v>
      </c>
      <c r="M438">
        <v>11.48</v>
      </c>
      <c r="N438">
        <v>6.96</v>
      </c>
      <c r="O438">
        <v>17.78</v>
      </c>
      <c r="P438">
        <v>17.13</v>
      </c>
      <c r="Q438">
        <v>51.37</v>
      </c>
      <c r="R438">
        <v>29.33</v>
      </c>
      <c r="S438">
        <v>32.14</v>
      </c>
      <c r="T438">
        <v>47.16</v>
      </c>
      <c r="U438">
        <v>53.19</v>
      </c>
      <c r="V438" s="6">
        <v>23.79</v>
      </c>
    </row>
    <row r="439" spans="1:22" x14ac:dyDescent="0.2">
      <c r="A439" s="4">
        <v>45198</v>
      </c>
      <c r="B439" s="3">
        <v>95.72</v>
      </c>
      <c r="C439">
        <v>56.55</v>
      </c>
      <c r="D439">
        <v>26.8</v>
      </c>
      <c r="E439">
        <v>21.54</v>
      </c>
      <c r="F439">
        <v>29.8</v>
      </c>
      <c r="G439">
        <v>35</v>
      </c>
      <c r="H439">
        <v>20.55</v>
      </c>
      <c r="I439">
        <v>33.479999999999997</v>
      </c>
      <c r="J439">
        <v>61.03</v>
      </c>
      <c r="K439">
        <v>12.1</v>
      </c>
      <c r="L439">
        <v>11.69</v>
      </c>
      <c r="M439">
        <v>11.6</v>
      </c>
      <c r="N439">
        <v>6.99</v>
      </c>
      <c r="O439">
        <v>18.05</v>
      </c>
      <c r="P439">
        <v>17.2</v>
      </c>
      <c r="Q439">
        <v>51.8</v>
      </c>
      <c r="R439">
        <v>29.66</v>
      </c>
      <c r="S439">
        <v>32.06</v>
      </c>
      <c r="T439">
        <v>46.96</v>
      </c>
      <c r="U439">
        <v>54.53</v>
      </c>
      <c r="V439" s="6">
        <v>24.24</v>
      </c>
    </row>
    <row r="440" spans="1:22" x14ac:dyDescent="0.2">
      <c r="A440" s="4">
        <v>45201</v>
      </c>
      <c r="B440" s="3">
        <v>94.39</v>
      </c>
      <c r="C440">
        <v>56.06</v>
      </c>
      <c r="D440">
        <v>26.4</v>
      </c>
      <c r="E440">
        <v>21.34</v>
      </c>
      <c r="F440">
        <v>29.23</v>
      </c>
      <c r="G440">
        <v>34.89</v>
      </c>
      <c r="H440">
        <v>20.49</v>
      </c>
      <c r="I440">
        <v>32.880000000000003</v>
      </c>
      <c r="J440">
        <v>60.5</v>
      </c>
      <c r="K440">
        <v>11.94</v>
      </c>
      <c r="L440">
        <v>11.42</v>
      </c>
      <c r="M440">
        <v>11.58</v>
      </c>
      <c r="N440">
        <v>6.87</v>
      </c>
      <c r="O440">
        <v>18.03</v>
      </c>
      <c r="P440">
        <v>17.13</v>
      </c>
      <c r="Q440">
        <v>51.74</v>
      </c>
      <c r="R440">
        <v>29.24</v>
      </c>
      <c r="S440">
        <v>31.83</v>
      </c>
      <c r="T440">
        <v>45.33</v>
      </c>
      <c r="U440">
        <v>52.61</v>
      </c>
      <c r="V440" s="6">
        <v>23.74</v>
      </c>
    </row>
    <row r="441" spans="1:22" x14ac:dyDescent="0.2">
      <c r="A441" s="4">
        <v>45202</v>
      </c>
      <c r="B441" s="3">
        <v>94.53</v>
      </c>
      <c r="C441">
        <v>55.72</v>
      </c>
      <c r="D441">
        <v>26.28</v>
      </c>
      <c r="E441">
        <v>21.07</v>
      </c>
      <c r="F441">
        <v>28.89</v>
      </c>
      <c r="G441">
        <v>33.94</v>
      </c>
      <c r="H441">
        <v>20.23</v>
      </c>
      <c r="I441">
        <v>32.04</v>
      </c>
      <c r="J441">
        <v>60.1</v>
      </c>
      <c r="K441">
        <v>11.79</v>
      </c>
      <c r="L441">
        <v>10.93</v>
      </c>
      <c r="M441">
        <v>11.55</v>
      </c>
      <c r="N441">
        <v>6.8</v>
      </c>
      <c r="O441">
        <v>18.149999999999999</v>
      </c>
      <c r="P441">
        <v>16.899999999999999</v>
      </c>
      <c r="Q441">
        <v>52.75</v>
      </c>
      <c r="R441">
        <v>28.72</v>
      </c>
      <c r="S441">
        <v>31.55</v>
      </c>
      <c r="T441">
        <v>45.1</v>
      </c>
      <c r="U441">
        <v>51.31</v>
      </c>
      <c r="V441" s="6">
        <v>23.09</v>
      </c>
    </row>
    <row r="442" spans="1:22" x14ac:dyDescent="0.2">
      <c r="A442" s="4">
        <v>45203</v>
      </c>
      <c r="B442" s="3">
        <v>94.05</v>
      </c>
      <c r="C442">
        <v>55.12</v>
      </c>
      <c r="D442">
        <v>25.24</v>
      </c>
      <c r="E442">
        <v>21.55</v>
      </c>
      <c r="F442">
        <v>28.02</v>
      </c>
      <c r="G442">
        <v>33.93</v>
      </c>
      <c r="H442">
        <v>20.38</v>
      </c>
      <c r="I442">
        <v>32.130000000000003</v>
      </c>
      <c r="J442">
        <v>60.84</v>
      </c>
      <c r="K442">
        <v>12.19</v>
      </c>
      <c r="L442">
        <v>11.28</v>
      </c>
      <c r="M442">
        <v>11.69</v>
      </c>
      <c r="N442">
        <v>6.86</v>
      </c>
      <c r="O442">
        <v>18.21</v>
      </c>
      <c r="P442">
        <v>16.690000000000001</v>
      </c>
      <c r="Q442">
        <v>52.48</v>
      </c>
      <c r="R442">
        <v>29.43</v>
      </c>
      <c r="S442">
        <v>31.43</v>
      </c>
      <c r="T442">
        <v>43.83</v>
      </c>
      <c r="U442">
        <v>51.72</v>
      </c>
      <c r="V442" s="6">
        <v>23.41</v>
      </c>
    </row>
    <row r="443" spans="1:22" x14ac:dyDescent="0.2">
      <c r="A443" s="4">
        <v>45204</v>
      </c>
      <c r="B443" s="3">
        <v>95.21</v>
      </c>
      <c r="C443">
        <v>55.15</v>
      </c>
      <c r="D443">
        <v>25.32</v>
      </c>
      <c r="E443">
        <v>21.89</v>
      </c>
      <c r="F443">
        <v>27.91</v>
      </c>
      <c r="G443">
        <v>33.76</v>
      </c>
      <c r="H443">
        <v>20.440000000000001</v>
      </c>
      <c r="I443">
        <v>31.7</v>
      </c>
      <c r="J443">
        <v>60.5</v>
      </c>
      <c r="K443">
        <v>12.24</v>
      </c>
      <c r="L443">
        <v>11.16</v>
      </c>
      <c r="M443">
        <v>11.41</v>
      </c>
      <c r="N443">
        <v>6.89</v>
      </c>
      <c r="O443">
        <v>18.21</v>
      </c>
      <c r="P443">
        <v>16.649999999999999</v>
      </c>
      <c r="Q443">
        <v>52.73</v>
      </c>
      <c r="R443">
        <v>29.42</v>
      </c>
      <c r="S443">
        <v>31.33</v>
      </c>
      <c r="T443">
        <v>43.64</v>
      </c>
      <c r="U443">
        <v>51.68</v>
      </c>
      <c r="V443" s="6">
        <v>23.15</v>
      </c>
    </row>
    <row r="444" spans="1:22" x14ac:dyDescent="0.2">
      <c r="A444" s="4">
        <v>45205</v>
      </c>
      <c r="B444" s="3">
        <v>95.73</v>
      </c>
      <c r="C444">
        <v>55.95</v>
      </c>
      <c r="D444">
        <v>25.92</v>
      </c>
      <c r="E444">
        <v>22.1</v>
      </c>
      <c r="F444">
        <v>28.61</v>
      </c>
      <c r="G444">
        <v>33.590000000000003</v>
      </c>
      <c r="H444">
        <v>21.28</v>
      </c>
      <c r="I444">
        <v>31.59</v>
      </c>
      <c r="J444">
        <v>60.19</v>
      </c>
      <c r="K444">
        <v>12.26</v>
      </c>
      <c r="L444">
        <v>11.27</v>
      </c>
      <c r="M444">
        <v>11.67</v>
      </c>
      <c r="N444">
        <v>6.94</v>
      </c>
      <c r="O444">
        <v>18.170000000000002</v>
      </c>
      <c r="P444">
        <v>16.7</v>
      </c>
      <c r="Q444">
        <v>53.63</v>
      </c>
      <c r="R444">
        <v>29.53</v>
      </c>
      <c r="S444">
        <v>31.13</v>
      </c>
      <c r="T444">
        <v>44.47</v>
      </c>
      <c r="U444">
        <v>50.8</v>
      </c>
      <c r="V444" s="6">
        <v>23.12</v>
      </c>
    </row>
    <row r="445" spans="1:22" x14ac:dyDescent="0.2">
      <c r="A445" s="4">
        <v>45208</v>
      </c>
      <c r="B445" s="3">
        <v>97.26</v>
      </c>
      <c r="C445">
        <v>55.55</v>
      </c>
      <c r="D445">
        <v>27.04</v>
      </c>
      <c r="E445">
        <v>21.91</v>
      </c>
      <c r="F445">
        <v>29.78</v>
      </c>
      <c r="G445">
        <v>33.630000000000003</v>
      </c>
      <c r="H445">
        <v>21.16</v>
      </c>
      <c r="I445">
        <v>32.18</v>
      </c>
      <c r="J445">
        <v>61.25</v>
      </c>
      <c r="K445">
        <v>12.15</v>
      </c>
      <c r="L445">
        <v>11.21</v>
      </c>
      <c r="M445">
        <v>11.65</v>
      </c>
      <c r="N445">
        <v>6.86</v>
      </c>
      <c r="O445">
        <v>18.38</v>
      </c>
      <c r="P445">
        <v>16.78</v>
      </c>
      <c r="Q445">
        <v>54.11</v>
      </c>
      <c r="R445">
        <v>29.3</v>
      </c>
      <c r="S445">
        <v>31.43</v>
      </c>
      <c r="T445">
        <v>48.37</v>
      </c>
      <c r="U445">
        <v>50.93</v>
      </c>
      <c r="V445" s="6">
        <v>23.37</v>
      </c>
    </row>
    <row r="446" spans="1:22" x14ac:dyDescent="0.2">
      <c r="A446" s="4">
        <v>45209</v>
      </c>
      <c r="B446" s="3">
        <v>97.04</v>
      </c>
      <c r="C446">
        <v>55.88</v>
      </c>
      <c r="D446">
        <v>27.24</v>
      </c>
      <c r="E446">
        <v>21.88</v>
      </c>
      <c r="F446">
        <v>30.08</v>
      </c>
      <c r="G446">
        <v>34.07</v>
      </c>
      <c r="H446">
        <v>21.13</v>
      </c>
      <c r="I446">
        <v>32.92</v>
      </c>
      <c r="J446">
        <v>62.48</v>
      </c>
      <c r="K446">
        <v>12.29</v>
      </c>
      <c r="L446">
        <v>11.47</v>
      </c>
      <c r="M446">
        <v>11.72</v>
      </c>
      <c r="N446">
        <v>6.96</v>
      </c>
      <c r="O446">
        <v>18.79</v>
      </c>
      <c r="P446">
        <v>17.37</v>
      </c>
      <c r="Q446">
        <v>53.87</v>
      </c>
      <c r="R446">
        <v>29.68</v>
      </c>
      <c r="S446">
        <v>32.28</v>
      </c>
      <c r="T446">
        <v>48.17</v>
      </c>
      <c r="U446">
        <v>52.21</v>
      </c>
      <c r="V446" s="6">
        <v>23.99</v>
      </c>
    </row>
    <row r="447" spans="1:22" x14ac:dyDescent="0.2">
      <c r="A447" s="4">
        <v>45210</v>
      </c>
      <c r="B447" s="3">
        <v>96.42</v>
      </c>
      <c r="C447">
        <v>56.37</v>
      </c>
      <c r="D447">
        <v>27.17</v>
      </c>
      <c r="E447">
        <v>22.16</v>
      </c>
      <c r="F447">
        <v>29.98</v>
      </c>
      <c r="G447">
        <v>33.94</v>
      </c>
      <c r="H447">
        <v>21.33</v>
      </c>
      <c r="I447">
        <v>33.159999999999997</v>
      </c>
      <c r="J447">
        <v>62.17</v>
      </c>
      <c r="K447">
        <v>12.47</v>
      </c>
      <c r="L447">
        <v>11.45</v>
      </c>
      <c r="M447">
        <v>11.76</v>
      </c>
      <c r="N447">
        <v>7.07</v>
      </c>
      <c r="O447">
        <v>19.170000000000002</v>
      </c>
      <c r="P447">
        <v>17.45</v>
      </c>
      <c r="Q447">
        <v>54.06</v>
      </c>
      <c r="R447">
        <v>30.45</v>
      </c>
      <c r="S447">
        <v>31.94</v>
      </c>
      <c r="T447">
        <v>47.52</v>
      </c>
      <c r="U447">
        <v>51.76</v>
      </c>
      <c r="V447" s="6">
        <v>23.19</v>
      </c>
    </row>
    <row r="448" spans="1:22" x14ac:dyDescent="0.2">
      <c r="A448" s="4">
        <v>45212</v>
      </c>
      <c r="B448" s="3">
        <v>97.24</v>
      </c>
      <c r="C448">
        <v>55.73</v>
      </c>
      <c r="D448">
        <v>28.07</v>
      </c>
      <c r="E448">
        <v>21.93</v>
      </c>
      <c r="F448">
        <v>30.93</v>
      </c>
      <c r="G448">
        <v>33.33</v>
      </c>
      <c r="H448">
        <v>21.26</v>
      </c>
      <c r="I448">
        <v>32.1</v>
      </c>
      <c r="J448">
        <v>61.28</v>
      </c>
      <c r="K448">
        <v>12.28</v>
      </c>
      <c r="L448">
        <v>11.04</v>
      </c>
      <c r="M448">
        <v>11.48</v>
      </c>
      <c r="N448">
        <v>6.9</v>
      </c>
      <c r="O448">
        <v>18.97</v>
      </c>
      <c r="P448">
        <v>16.989999999999998</v>
      </c>
      <c r="Q448">
        <v>55.88</v>
      </c>
      <c r="R448">
        <v>29.56</v>
      </c>
      <c r="S448">
        <v>30.77</v>
      </c>
      <c r="T448">
        <v>49.92</v>
      </c>
      <c r="U448">
        <v>50.09</v>
      </c>
      <c r="V448" s="6">
        <v>21.81</v>
      </c>
    </row>
    <row r="449" spans="1:22" x14ac:dyDescent="0.2">
      <c r="A449" s="4">
        <v>45215</v>
      </c>
      <c r="B449" s="3">
        <v>96.46</v>
      </c>
      <c r="C449">
        <v>56.32</v>
      </c>
      <c r="D449">
        <v>28.38</v>
      </c>
      <c r="E449">
        <v>21.96</v>
      </c>
      <c r="F449">
        <v>31.23</v>
      </c>
      <c r="G449">
        <v>33.44</v>
      </c>
      <c r="H449">
        <v>21.69</v>
      </c>
      <c r="I449">
        <v>32.32</v>
      </c>
      <c r="J449">
        <v>62.81</v>
      </c>
      <c r="K449">
        <v>12.41</v>
      </c>
      <c r="L449">
        <v>11.17</v>
      </c>
      <c r="M449">
        <v>11.51</v>
      </c>
      <c r="N449">
        <v>6.97</v>
      </c>
      <c r="O449">
        <v>19.21</v>
      </c>
      <c r="P449">
        <v>17.57</v>
      </c>
      <c r="Q449">
        <v>54.75</v>
      </c>
      <c r="R449">
        <v>29.43</v>
      </c>
      <c r="S449">
        <v>30.88</v>
      </c>
      <c r="T449">
        <v>49.72</v>
      </c>
      <c r="U449">
        <v>49.68</v>
      </c>
      <c r="V449" s="6">
        <v>22.23</v>
      </c>
    </row>
    <row r="450" spans="1:22" x14ac:dyDescent="0.2">
      <c r="A450" s="4">
        <v>45216</v>
      </c>
      <c r="B450" s="3">
        <v>95.44</v>
      </c>
      <c r="C450">
        <v>56.78</v>
      </c>
      <c r="D450">
        <v>29.14</v>
      </c>
      <c r="E450">
        <v>21.64</v>
      </c>
      <c r="F450">
        <v>31.94</v>
      </c>
      <c r="G450">
        <v>33.08</v>
      </c>
      <c r="H450">
        <v>21.5</v>
      </c>
      <c r="I450">
        <v>31.69</v>
      </c>
      <c r="J450">
        <v>61.27</v>
      </c>
      <c r="K450">
        <v>12.28</v>
      </c>
      <c r="L450">
        <v>10.72</v>
      </c>
      <c r="M450">
        <v>11.33</v>
      </c>
      <c r="N450">
        <v>6.83</v>
      </c>
      <c r="O450">
        <v>19.03</v>
      </c>
      <c r="P450">
        <v>17.670000000000002</v>
      </c>
      <c r="Q450">
        <v>54.84</v>
      </c>
      <c r="R450">
        <v>28.87</v>
      </c>
      <c r="S450">
        <v>30.62</v>
      </c>
      <c r="T450">
        <v>50.12</v>
      </c>
      <c r="U450">
        <v>49.34</v>
      </c>
      <c r="V450" s="6">
        <v>22.12</v>
      </c>
    </row>
    <row r="451" spans="1:22" x14ac:dyDescent="0.2">
      <c r="A451" s="4">
        <v>45217</v>
      </c>
      <c r="B451" s="3">
        <v>95.49</v>
      </c>
      <c r="C451">
        <v>54.7</v>
      </c>
      <c r="D451">
        <v>29.8</v>
      </c>
      <c r="E451">
        <v>21.19</v>
      </c>
      <c r="F451">
        <v>32.69</v>
      </c>
      <c r="G451">
        <v>33.090000000000003</v>
      </c>
      <c r="H451">
        <v>21.39</v>
      </c>
      <c r="I451">
        <v>30.65</v>
      </c>
      <c r="J451">
        <v>59.51</v>
      </c>
      <c r="K451">
        <v>12.17</v>
      </c>
      <c r="L451">
        <v>10.59</v>
      </c>
      <c r="M451">
        <v>11.09</v>
      </c>
      <c r="N451">
        <v>6.76</v>
      </c>
      <c r="O451">
        <v>19.23</v>
      </c>
      <c r="P451">
        <v>17.809999999999999</v>
      </c>
      <c r="Q451">
        <v>53.51</v>
      </c>
      <c r="R451">
        <v>28.04</v>
      </c>
      <c r="S451">
        <v>30.07</v>
      </c>
      <c r="T451">
        <v>50.12</v>
      </c>
      <c r="U451">
        <v>47.55</v>
      </c>
      <c r="V451" s="6">
        <v>21.74</v>
      </c>
    </row>
    <row r="452" spans="1:22" x14ac:dyDescent="0.2">
      <c r="A452" s="4">
        <v>45218</v>
      </c>
      <c r="B452" s="3">
        <v>94.32</v>
      </c>
      <c r="C452">
        <v>53.91</v>
      </c>
      <c r="D452">
        <v>29.66</v>
      </c>
      <c r="E452">
        <v>21.43</v>
      </c>
      <c r="F452">
        <v>32.450000000000003</v>
      </c>
      <c r="G452">
        <v>32.76</v>
      </c>
      <c r="H452">
        <v>21.56</v>
      </c>
      <c r="I452">
        <v>30.69</v>
      </c>
      <c r="J452">
        <v>60.39</v>
      </c>
      <c r="K452">
        <v>12.23</v>
      </c>
      <c r="L452">
        <v>10.47</v>
      </c>
      <c r="M452">
        <v>11.08</v>
      </c>
      <c r="N452">
        <v>6.8</v>
      </c>
      <c r="O452">
        <v>18.97</v>
      </c>
      <c r="P452">
        <v>17.809999999999999</v>
      </c>
      <c r="Q452">
        <v>53.42</v>
      </c>
      <c r="R452">
        <v>27.94</v>
      </c>
      <c r="S452">
        <v>30.65</v>
      </c>
      <c r="T452">
        <v>49.95</v>
      </c>
      <c r="U452">
        <v>47.55</v>
      </c>
      <c r="V452" s="6">
        <v>22.18</v>
      </c>
    </row>
    <row r="453" spans="1:22" x14ac:dyDescent="0.2">
      <c r="A453" s="4">
        <v>45219</v>
      </c>
      <c r="B453" s="3">
        <v>94.09</v>
      </c>
      <c r="C453">
        <v>52.45</v>
      </c>
      <c r="D453">
        <v>29.28</v>
      </c>
      <c r="E453">
        <v>21.35</v>
      </c>
      <c r="F453">
        <v>32.1</v>
      </c>
      <c r="G453">
        <v>32.630000000000003</v>
      </c>
      <c r="H453">
        <v>21.49</v>
      </c>
      <c r="I453">
        <v>30.96</v>
      </c>
      <c r="J453">
        <v>59.44</v>
      </c>
      <c r="K453">
        <v>12</v>
      </c>
      <c r="L453">
        <v>10.61</v>
      </c>
      <c r="M453">
        <v>11.05</v>
      </c>
      <c r="N453">
        <v>6.78</v>
      </c>
      <c r="O453">
        <v>19.2</v>
      </c>
      <c r="P453">
        <v>17.73</v>
      </c>
      <c r="Q453">
        <v>52.39</v>
      </c>
      <c r="R453">
        <v>27.91</v>
      </c>
      <c r="S453">
        <v>31</v>
      </c>
      <c r="T453">
        <v>49.62</v>
      </c>
      <c r="U453">
        <v>47.49</v>
      </c>
      <c r="V453" s="6">
        <v>22.44</v>
      </c>
    </row>
    <row r="454" spans="1:22" x14ac:dyDescent="0.2">
      <c r="A454" s="4">
        <v>45222</v>
      </c>
      <c r="B454" s="3">
        <v>94.59</v>
      </c>
      <c r="C454">
        <v>52.35</v>
      </c>
      <c r="D454">
        <v>27.35</v>
      </c>
      <c r="E454">
        <v>21.38</v>
      </c>
      <c r="F454">
        <v>30.16</v>
      </c>
      <c r="G454">
        <v>32.72</v>
      </c>
      <c r="H454">
        <v>21.46</v>
      </c>
      <c r="I454">
        <v>31.02</v>
      </c>
      <c r="J454">
        <v>61.14</v>
      </c>
      <c r="K454">
        <v>12.02</v>
      </c>
      <c r="L454">
        <v>10.76</v>
      </c>
      <c r="M454">
        <v>11.04</v>
      </c>
      <c r="N454">
        <v>6.77</v>
      </c>
      <c r="O454">
        <v>19.399999999999999</v>
      </c>
      <c r="P454">
        <v>17.88</v>
      </c>
      <c r="Q454">
        <v>51.91</v>
      </c>
      <c r="R454">
        <v>28.99</v>
      </c>
      <c r="S454">
        <v>31.45</v>
      </c>
      <c r="T454">
        <v>48.76</v>
      </c>
      <c r="U454">
        <v>48.16</v>
      </c>
      <c r="V454" s="6">
        <v>22.96</v>
      </c>
    </row>
    <row r="455" spans="1:22" x14ac:dyDescent="0.2">
      <c r="A455" s="4">
        <v>45223</v>
      </c>
      <c r="B455" s="3">
        <v>94.15</v>
      </c>
      <c r="C455">
        <v>53.55</v>
      </c>
      <c r="D455">
        <v>27.76</v>
      </c>
      <c r="E455">
        <v>21.38</v>
      </c>
      <c r="F455">
        <v>30.63</v>
      </c>
      <c r="G455">
        <v>33.79</v>
      </c>
      <c r="H455">
        <v>21.36</v>
      </c>
      <c r="I455">
        <v>31.41</v>
      </c>
      <c r="J455">
        <v>60.71</v>
      </c>
      <c r="K455">
        <v>12.02</v>
      </c>
      <c r="L455">
        <v>11.04</v>
      </c>
      <c r="M455">
        <v>11.08</v>
      </c>
      <c r="N455">
        <v>6.81</v>
      </c>
      <c r="O455">
        <v>19.34</v>
      </c>
      <c r="P455">
        <v>17.77</v>
      </c>
      <c r="Q455">
        <v>50.11</v>
      </c>
      <c r="R455">
        <v>29.46</v>
      </c>
      <c r="S455">
        <v>31.69</v>
      </c>
      <c r="T455">
        <v>48.77</v>
      </c>
      <c r="U455">
        <v>48.99</v>
      </c>
      <c r="V455" s="6">
        <v>22.62</v>
      </c>
    </row>
    <row r="456" spans="1:22" x14ac:dyDescent="0.2">
      <c r="A456" s="4">
        <v>45224</v>
      </c>
      <c r="B456" s="3">
        <v>94.73</v>
      </c>
      <c r="C456">
        <v>53.5</v>
      </c>
      <c r="D456">
        <v>27.91</v>
      </c>
      <c r="E456">
        <v>21.42</v>
      </c>
      <c r="F456">
        <v>30.71</v>
      </c>
      <c r="G456">
        <v>30.37</v>
      </c>
      <c r="H456">
        <v>21.36</v>
      </c>
      <c r="I456">
        <v>31.07</v>
      </c>
      <c r="J456">
        <v>60.07</v>
      </c>
      <c r="K456">
        <v>11.98</v>
      </c>
      <c r="L456">
        <v>10.98</v>
      </c>
      <c r="M456">
        <v>11.01</v>
      </c>
      <c r="N456">
        <v>6.76</v>
      </c>
      <c r="O456">
        <v>19.3</v>
      </c>
      <c r="P456">
        <v>17.63</v>
      </c>
      <c r="Q456">
        <v>50.19</v>
      </c>
      <c r="R456">
        <v>29.45</v>
      </c>
      <c r="S456">
        <v>31.62</v>
      </c>
      <c r="T456">
        <v>48.28</v>
      </c>
      <c r="U456">
        <v>47.82</v>
      </c>
      <c r="V456" s="6">
        <v>21.41</v>
      </c>
    </row>
    <row r="457" spans="1:22" x14ac:dyDescent="0.2">
      <c r="A457" s="4">
        <v>45225</v>
      </c>
      <c r="B457" s="3">
        <v>94.28</v>
      </c>
      <c r="C457">
        <v>54.65</v>
      </c>
      <c r="D457">
        <v>27.62</v>
      </c>
      <c r="E457">
        <v>21.95</v>
      </c>
      <c r="F457">
        <v>30.49</v>
      </c>
      <c r="G457">
        <v>31.52</v>
      </c>
      <c r="H457">
        <v>21.81</v>
      </c>
      <c r="I457">
        <v>31.88</v>
      </c>
      <c r="J457">
        <v>60.98</v>
      </c>
      <c r="K457">
        <v>12.29</v>
      </c>
      <c r="L457">
        <v>11.16</v>
      </c>
      <c r="M457">
        <v>11.18</v>
      </c>
      <c r="N457">
        <v>6.91</v>
      </c>
      <c r="O457">
        <v>19.97</v>
      </c>
      <c r="P457">
        <v>17.93</v>
      </c>
      <c r="Q457">
        <v>50.3</v>
      </c>
      <c r="R457">
        <v>29.71</v>
      </c>
      <c r="S457">
        <v>32.71</v>
      </c>
      <c r="T457">
        <v>47.92</v>
      </c>
      <c r="U457">
        <v>48.64</v>
      </c>
      <c r="V457" s="6">
        <v>21.98</v>
      </c>
    </row>
    <row r="458" spans="1:22" x14ac:dyDescent="0.2">
      <c r="A458" s="4">
        <v>45226</v>
      </c>
      <c r="B458" s="3">
        <v>93.59</v>
      </c>
      <c r="C458">
        <v>56.55</v>
      </c>
      <c r="D458">
        <v>27.42</v>
      </c>
      <c r="E458">
        <v>21.62</v>
      </c>
      <c r="F458">
        <v>30.26</v>
      </c>
      <c r="G458">
        <v>30.53</v>
      </c>
      <c r="H458">
        <v>21.25</v>
      </c>
      <c r="I458">
        <v>31.18</v>
      </c>
      <c r="J458">
        <v>59.56</v>
      </c>
      <c r="K458">
        <v>12.16</v>
      </c>
      <c r="L458">
        <v>10.66</v>
      </c>
      <c r="M458">
        <v>10.87</v>
      </c>
      <c r="N458">
        <v>6.77</v>
      </c>
      <c r="O458">
        <v>19.88</v>
      </c>
      <c r="P458">
        <v>17.350000000000001</v>
      </c>
      <c r="Q458">
        <v>49.54</v>
      </c>
      <c r="R458">
        <v>28.87</v>
      </c>
      <c r="S458">
        <v>31.92</v>
      </c>
      <c r="T458">
        <v>47.69</v>
      </c>
      <c r="U458">
        <v>46.97</v>
      </c>
      <c r="V458" s="6">
        <v>21.27</v>
      </c>
    </row>
    <row r="459" spans="1:22" x14ac:dyDescent="0.2">
      <c r="A459" s="4">
        <v>45229</v>
      </c>
      <c r="B459" s="3">
        <v>94.11</v>
      </c>
      <c r="C459">
        <v>57.06</v>
      </c>
      <c r="D459">
        <v>27.14</v>
      </c>
      <c r="E459">
        <v>21.45</v>
      </c>
      <c r="F459">
        <v>30.02</v>
      </c>
      <c r="G459">
        <v>31.17</v>
      </c>
      <c r="H459">
        <v>21.11</v>
      </c>
      <c r="I459">
        <v>31.18</v>
      </c>
      <c r="J459">
        <v>58.59</v>
      </c>
      <c r="K459">
        <v>12.03</v>
      </c>
      <c r="L459">
        <v>10.54</v>
      </c>
      <c r="M459">
        <v>10.94</v>
      </c>
      <c r="N459">
        <v>6.7</v>
      </c>
      <c r="O459">
        <v>19.91</v>
      </c>
      <c r="P459">
        <v>17.36</v>
      </c>
      <c r="Q459">
        <v>49.29</v>
      </c>
      <c r="R459">
        <v>28.22</v>
      </c>
      <c r="S459">
        <v>31.26</v>
      </c>
      <c r="T459">
        <v>46.29</v>
      </c>
      <c r="U459">
        <v>46.85</v>
      </c>
      <c r="V459" s="6">
        <v>20.91</v>
      </c>
    </row>
    <row r="460" spans="1:22" x14ac:dyDescent="0.2">
      <c r="A460" s="4">
        <v>45230</v>
      </c>
      <c r="B460" s="3">
        <v>96.01</v>
      </c>
      <c r="C460">
        <v>57.74</v>
      </c>
      <c r="D460">
        <v>26.88</v>
      </c>
      <c r="E460">
        <v>21.24</v>
      </c>
      <c r="F460">
        <v>29.76</v>
      </c>
      <c r="G460">
        <v>31.86</v>
      </c>
      <c r="H460">
        <v>21.06</v>
      </c>
      <c r="I460">
        <v>31.62</v>
      </c>
      <c r="J460">
        <v>58.37</v>
      </c>
      <c r="K460">
        <v>11.86</v>
      </c>
      <c r="L460">
        <v>10.56</v>
      </c>
      <c r="M460">
        <v>11.38</v>
      </c>
      <c r="N460">
        <v>6.7</v>
      </c>
      <c r="O460">
        <v>20.03</v>
      </c>
      <c r="P460">
        <v>17.57</v>
      </c>
      <c r="Q460">
        <v>49.21</v>
      </c>
      <c r="R460">
        <v>28.26</v>
      </c>
      <c r="S460">
        <v>31.6</v>
      </c>
      <c r="T460">
        <v>47.62</v>
      </c>
      <c r="U460">
        <v>47.37</v>
      </c>
      <c r="V460" s="6">
        <v>20.76</v>
      </c>
    </row>
    <row r="461" spans="1:22" x14ac:dyDescent="0.2">
      <c r="A461" s="4">
        <v>45231</v>
      </c>
      <c r="B461" s="3">
        <v>98.35</v>
      </c>
      <c r="C461">
        <v>58.85</v>
      </c>
      <c r="D461">
        <v>27.17</v>
      </c>
      <c r="E461">
        <v>21.54</v>
      </c>
      <c r="F461">
        <v>30.11</v>
      </c>
      <c r="G461">
        <v>31.93</v>
      </c>
      <c r="H461">
        <v>21.08</v>
      </c>
      <c r="I461">
        <v>32.71</v>
      </c>
      <c r="J461">
        <v>59.41</v>
      </c>
      <c r="K461">
        <v>11.97</v>
      </c>
      <c r="L461">
        <v>10.99</v>
      </c>
      <c r="M461">
        <v>11.49</v>
      </c>
      <c r="N461">
        <v>6.78</v>
      </c>
      <c r="O461">
        <v>20.46</v>
      </c>
      <c r="P461">
        <v>17.93</v>
      </c>
      <c r="Q461">
        <v>49.1</v>
      </c>
      <c r="R461">
        <v>28.2</v>
      </c>
      <c r="S461">
        <v>32.26</v>
      </c>
      <c r="T461">
        <v>47.99</v>
      </c>
      <c r="U461">
        <v>48.34</v>
      </c>
      <c r="V461" s="6">
        <v>22.06</v>
      </c>
    </row>
    <row r="462" spans="1:22" x14ac:dyDescent="0.2">
      <c r="A462" s="4">
        <v>45233</v>
      </c>
      <c r="B462" s="3">
        <v>98.54</v>
      </c>
      <c r="C462">
        <v>59.58</v>
      </c>
      <c r="D462">
        <v>27.5</v>
      </c>
      <c r="E462">
        <v>22.13</v>
      </c>
      <c r="F462">
        <v>30.36</v>
      </c>
      <c r="G462">
        <v>32.36</v>
      </c>
      <c r="H462">
        <v>21.82</v>
      </c>
      <c r="I462">
        <v>33.49</v>
      </c>
      <c r="J462">
        <v>60.89</v>
      </c>
      <c r="K462">
        <v>12.53</v>
      </c>
      <c r="L462">
        <v>11.62</v>
      </c>
      <c r="M462">
        <v>11.76</v>
      </c>
      <c r="N462">
        <v>7.03</v>
      </c>
      <c r="O462">
        <v>20.85</v>
      </c>
      <c r="P462">
        <v>18.64</v>
      </c>
      <c r="Q462">
        <v>48.82</v>
      </c>
      <c r="R462">
        <v>30.52</v>
      </c>
      <c r="S462">
        <v>32.909999999999997</v>
      </c>
      <c r="T462">
        <v>48.12</v>
      </c>
      <c r="U462">
        <v>51.04</v>
      </c>
      <c r="V462" s="6">
        <v>23.49</v>
      </c>
    </row>
    <row r="463" spans="1:22" x14ac:dyDescent="0.2">
      <c r="A463" s="4">
        <v>45236</v>
      </c>
      <c r="B463" s="3">
        <v>99.09</v>
      </c>
      <c r="C463">
        <v>59.83</v>
      </c>
      <c r="D463">
        <v>27.47</v>
      </c>
      <c r="E463">
        <v>22.34</v>
      </c>
      <c r="F463">
        <v>30.28</v>
      </c>
      <c r="G463">
        <v>32.049999999999997</v>
      </c>
      <c r="H463">
        <v>21.97</v>
      </c>
      <c r="I463">
        <v>33.67</v>
      </c>
      <c r="J463">
        <v>60.6</v>
      </c>
      <c r="K463">
        <v>12.52</v>
      </c>
      <c r="L463">
        <v>11.65</v>
      </c>
      <c r="M463">
        <v>11.95</v>
      </c>
      <c r="N463">
        <v>7.08</v>
      </c>
      <c r="O463">
        <v>21.32</v>
      </c>
      <c r="P463">
        <v>18.600000000000001</v>
      </c>
      <c r="Q463">
        <v>49.52</v>
      </c>
      <c r="R463">
        <v>30.79</v>
      </c>
      <c r="S463">
        <v>33.28</v>
      </c>
      <c r="T463">
        <v>47.93</v>
      </c>
      <c r="U463">
        <v>50.29</v>
      </c>
      <c r="V463" s="6">
        <v>22.57</v>
      </c>
    </row>
    <row r="464" spans="1:22" x14ac:dyDescent="0.2">
      <c r="A464" s="4">
        <v>45237</v>
      </c>
      <c r="B464" s="3">
        <v>98.61</v>
      </c>
      <c r="C464">
        <v>58.65</v>
      </c>
      <c r="D464">
        <v>27.02</v>
      </c>
      <c r="E464">
        <v>22.97</v>
      </c>
      <c r="F464">
        <v>29.61</v>
      </c>
      <c r="G464">
        <v>31.56</v>
      </c>
      <c r="H464">
        <v>22.22</v>
      </c>
      <c r="I464">
        <v>34.229999999999997</v>
      </c>
      <c r="J464">
        <v>61.1</v>
      </c>
      <c r="K464">
        <v>12.85</v>
      </c>
      <c r="L464">
        <v>11.86</v>
      </c>
      <c r="M464">
        <v>12.01</v>
      </c>
      <c r="N464">
        <v>7.22</v>
      </c>
      <c r="O464">
        <v>21.68</v>
      </c>
      <c r="P464">
        <v>18.329999999999998</v>
      </c>
      <c r="Q464">
        <v>49.68</v>
      </c>
      <c r="R464">
        <v>31.36</v>
      </c>
      <c r="S464">
        <v>33.19</v>
      </c>
      <c r="T464">
        <v>46.74</v>
      </c>
      <c r="U464">
        <v>51.53</v>
      </c>
      <c r="V464" s="6">
        <v>23.65</v>
      </c>
    </row>
    <row r="465" spans="1:22" x14ac:dyDescent="0.2">
      <c r="A465" s="4">
        <v>45238</v>
      </c>
      <c r="B465" s="3">
        <v>98.86</v>
      </c>
      <c r="C465">
        <v>58.69</v>
      </c>
      <c r="D465">
        <v>26.44</v>
      </c>
      <c r="E465">
        <v>23.07</v>
      </c>
      <c r="F465">
        <v>28.91</v>
      </c>
      <c r="G465">
        <v>31.32</v>
      </c>
      <c r="H465">
        <v>22.5</v>
      </c>
      <c r="I465">
        <v>34.07</v>
      </c>
      <c r="J465">
        <v>60.93</v>
      </c>
      <c r="K465">
        <v>12.92</v>
      </c>
      <c r="L465">
        <v>11.87</v>
      </c>
      <c r="M465">
        <v>11.98</v>
      </c>
      <c r="N465">
        <v>7.23</v>
      </c>
      <c r="O465">
        <v>21.5</v>
      </c>
      <c r="P465">
        <v>19.05</v>
      </c>
      <c r="Q465">
        <v>51.04</v>
      </c>
      <c r="R465">
        <v>32.11</v>
      </c>
      <c r="S465">
        <v>33.35</v>
      </c>
      <c r="T465">
        <v>45.41</v>
      </c>
      <c r="U465">
        <v>51.68</v>
      </c>
      <c r="V465" s="6">
        <v>23.82</v>
      </c>
    </row>
    <row r="466" spans="1:22" x14ac:dyDescent="0.2">
      <c r="A466" s="4">
        <v>45239</v>
      </c>
      <c r="B466" s="3">
        <v>100.01</v>
      </c>
      <c r="C466">
        <v>58.97</v>
      </c>
      <c r="D466">
        <v>26.98</v>
      </c>
      <c r="E466">
        <v>23.17</v>
      </c>
      <c r="F466">
        <v>29.53</v>
      </c>
      <c r="G466">
        <v>31.28</v>
      </c>
      <c r="H466">
        <v>21.56</v>
      </c>
      <c r="I466">
        <v>33.840000000000003</v>
      </c>
      <c r="J466">
        <v>61.12</v>
      </c>
      <c r="K466">
        <v>12.95</v>
      </c>
      <c r="L466">
        <v>11.76</v>
      </c>
      <c r="M466">
        <v>11.87</v>
      </c>
      <c r="N466">
        <v>7.24</v>
      </c>
      <c r="O466">
        <v>21.07</v>
      </c>
      <c r="P466">
        <v>18.829999999999998</v>
      </c>
      <c r="Q466">
        <v>50.99</v>
      </c>
      <c r="R466">
        <v>31.08</v>
      </c>
      <c r="S466">
        <v>33.299999999999997</v>
      </c>
      <c r="T466">
        <v>44.66</v>
      </c>
      <c r="U466">
        <v>51.45</v>
      </c>
      <c r="V466" s="6">
        <v>22.99</v>
      </c>
    </row>
    <row r="467" spans="1:22" x14ac:dyDescent="0.2">
      <c r="A467" s="4">
        <v>45240</v>
      </c>
      <c r="B467" s="3">
        <v>99.99</v>
      </c>
      <c r="C467">
        <v>59.88</v>
      </c>
      <c r="D467">
        <v>26.86</v>
      </c>
      <c r="E467">
        <v>23.45</v>
      </c>
      <c r="F467">
        <v>29.43</v>
      </c>
      <c r="G467">
        <v>32.01</v>
      </c>
      <c r="H467">
        <v>21.88</v>
      </c>
      <c r="I467">
        <v>33.9</v>
      </c>
      <c r="J467">
        <v>61.13</v>
      </c>
      <c r="K467">
        <v>12.76</v>
      </c>
      <c r="L467">
        <v>12.33</v>
      </c>
      <c r="M467">
        <v>11.81</v>
      </c>
      <c r="N467">
        <v>7.33</v>
      </c>
      <c r="O467">
        <v>21.31</v>
      </c>
      <c r="P467">
        <v>19.23</v>
      </c>
      <c r="Q467">
        <v>52.14</v>
      </c>
      <c r="R467">
        <v>32.35</v>
      </c>
      <c r="S467">
        <v>33.72</v>
      </c>
      <c r="T467">
        <v>46.4</v>
      </c>
      <c r="U467">
        <v>52.78</v>
      </c>
      <c r="V467" s="6">
        <v>23.65</v>
      </c>
    </row>
    <row r="468" spans="1:22" x14ac:dyDescent="0.2">
      <c r="A468" s="4">
        <v>45243</v>
      </c>
      <c r="B468" s="3">
        <v>102.3</v>
      </c>
      <c r="C468">
        <v>59.75</v>
      </c>
      <c r="D468">
        <v>27.61</v>
      </c>
      <c r="E468">
        <v>23.29</v>
      </c>
      <c r="F468">
        <v>30.09</v>
      </c>
      <c r="G468">
        <v>31.58</v>
      </c>
      <c r="H468">
        <v>21.8</v>
      </c>
      <c r="I468">
        <v>34.659999999999997</v>
      </c>
      <c r="J468">
        <v>61.96</v>
      </c>
      <c r="K468">
        <v>12.51</v>
      </c>
      <c r="L468">
        <v>11.83</v>
      </c>
      <c r="M468">
        <v>11.88</v>
      </c>
      <c r="N468">
        <v>7.33</v>
      </c>
      <c r="O468">
        <v>21</v>
      </c>
      <c r="P468">
        <v>19.010000000000002</v>
      </c>
      <c r="Q468">
        <v>51.62</v>
      </c>
      <c r="R468">
        <v>31.99</v>
      </c>
      <c r="S468">
        <v>33.409999999999997</v>
      </c>
      <c r="T468">
        <v>46.23</v>
      </c>
      <c r="U468">
        <v>51.49</v>
      </c>
      <c r="V468" s="6">
        <v>23.17</v>
      </c>
    </row>
    <row r="469" spans="1:22" x14ac:dyDescent="0.2">
      <c r="A469" s="4">
        <v>45244</v>
      </c>
      <c r="B469" s="3">
        <v>103.48</v>
      </c>
      <c r="C469">
        <v>61.6</v>
      </c>
      <c r="D469">
        <v>27.99</v>
      </c>
      <c r="E469">
        <v>23.64</v>
      </c>
      <c r="F469">
        <v>30.44</v>
      </c>
      <c r="G469">
        <v>32.29</v>
      </c>
      <c r="H469">
        <v>21.9</v>
      </c>
      <c r="I469">
        <v>35.83</v>
      </c>
      <c r="J469">
        <v>63.34</v>
      </c>
      <c r="K469">
        <v>12.77</v>
      </c>
      <c r="L469">
        <v>12.05</v>
      </c>
      <c r="M469">
        <v>12.12</v>
      </c>
      <c r="N469">
        <v>7.52</v>
      </c>
      <c r="O469">
        <v>20.88</v>
      </c>
      <c r="P469">
        <v>19.48</v>
      </c>
      <c r="Q469">
        <v>50.1</v>
      </c>
      <c r="R469">
        <v>32.58</v>
      </c>
      <c r="S469">
        <v>33.99</v>
      </c>
      <c r="T469">
        <v>46.91</v>
      </c>
      <c r="U469">
        <v>54.94</v>
      </c>
      <c r="V469" s="6">
        <v>24.33</v>
      </c>
    </row>
    <row r="470" spans="1:22" x14ac:dyDescent="0.2">
      <c r="A470" s="4">
        <v>45246</v>
      </c>
      <c r="B470" s="3">
        <v>103.74</v>
      </c>
      <c r="C470">
        <v>62.01</v>
      </c>
      <c r="D470">
        <v>27.5</v>
      </c>
      <c r="E470">
        <v>24.02</v>
      </c>
      <c r="F470">
        <v>29.82</v>
      </c>
      <c r="G470">
        <v>32.31</v>
      </c>
      <c r="H470">
        <v>21.9</v>
      </c>
      <c r="I470">
        <v>36.950000000000003</v>
      </c>
      <c r="J470">
        <v>64.73</v>
      </c>
      <c r="K470">
        <v>13.21</v>
      </c>
      <c r="L470">
        <v>12.29</v>
      </c>
      <c r="M470">
        <v>12.1</v>
      </c>
      <c r="N470">
        <v>7.66</v>
      </c>
      <c r="O470">
        <v>21.66</v>
      </c>
      <c r="P470">
        <v>19.66</v>
      </c>
      <c r="Q470">
        <v>50.96</v>
      </c>
      <c r="R470">
        <v>32.520000000000003</v>
      </c>
      <c r="S470">
        <v>34.409999999999997</v>
      </c>
      <c r="T470">
        <v>45.26</v>
      </c>
      <c r="U470">
        <v>56.71</v>
      </c>
      <c r="V470" s="6">
        <v>24.86</v>
      </c>
    </row>
    <row r="471" spans="1:22" x14ac:dyDescent="0.2">
      <c r="A471" s="4">
        <v>45247</v>
      </c>
      <c r="B471" s="3">
        <v>104.68</v>
      </c>
      <c r="C471">
        <v>62.13</v>
      </c>
      <c r="D471">
        <v>28.4</v>
      </c>
      <c r="E471">
        <v>24.13</v>
      </c>
      <c r="F471">
        <v>31.08</v>
      </c>
      <c r="G471">
        <v>32.1</v>
      </c>
      <c r="H471">
        <v>22.06</v>
      </c>
      <c r="I471">
        <v>36.68</v>
      </c>
      <c r="J471">
        <v>64.66</v>
      </c>
      <c r="K471">
        <v>13.09</v>
      </c>
      <c r="L471">
        <v>12.11</v>
      </c>
      <c r="M471">
        <v>12.03</v>
      </c>
      <c r="N471">
        <v>7.64</v>
      </c>
      <c r="O471">
        <v>21.64</v>
      </c>
      <c r="P471">
        <v>19.87</v>
      </c>
      <c r="Q471">
        <v>50.52</v>
      </c>
      <c r="R471">
        <v>31.95</v>
      </c>
      <c r="S471">
        <v>34.25</v>
      </c>
      <c r="T471">
        <v>46.41</v>
      </c>
      <c r="U471">
        <v>56.61</v>
      </c>
      <c r="V471" s="6">
        <v>24.21</v>
      </c>
    </row>
    <row r="472" spans="1:22" x14ac:dyDescent="0.2">
      <c r="A472" s="4">
        <v>45250</v>
      </c>
      <c r="B472" s="3">
        <v>104.12</v>
      </c>
      <c r="C472">
        <v>63.65</v>
      </c>
      <c r="D472">
        <v>28.42</v>
      </c>
      <c r="E472">
        <v>24.37</v>
      </c>
      <c r="F472">
        <v>30.98</v>
      </c>
      <c r="G472">
        <v>32.31</v>
      </c>
      <c r="H472">
        <v>22.18</v>
      </c>
      <c r="I472">
        <v>37.020000000000003</v>
      </c>
      <c r="J472">
        <v>64.42</v>
      </c>
      <c r="K472">
        <v>13.12</v>
      </c>
      <c r="L472">
        <v>12.47</v>
      </c>
      <c r="M472">
        <v>12.03</v>
      </c>
      <c r="N472">
        <v>7.71</v>
      </c>
      <c r="O472">
        <v>21.82</v>
      </c>
      <c r="P472">
        <v>19.95</v>
      </c>
      <c r="Q472">
        <v>50.48</v>
      </c>
      <c r="R472">
        <v>31.73</v>
      </c>
      <c r="S472">
        <v>34.25</v>
      </c>
      <c r="T472">
        <v>47.45</v>
      </c>
      <c r="U472">
        <v>56.69</v>
      </c>
      <c r="V472" s="6">
        <v>24.96</v>
      </c>
    </row>
    <row r="473" spans="1:22" x14ac:dyDescent="0.2">
      <c r="A473" s="4">
        <v>45251</v>
      </c>
      <c r="B473" s="3">
        <v>104.38</v>
      </c>
      <c r="C473">
        <v>65.19</v>
      </c>
      <c r="D473">
        <v>28.24</v>
      </c>
      <c r="E473">
        <v>24.33</v>
      </c>
      <c r="F473">
        <v>30.67</v>
      </c>
      <c r="G473">
        <v>32.479999999999997</v>
      </c>
      <c r="H473">
        <v>22.34</v>
      </c>
      <c r="I473">
        <v>36.26</v>
      </c>
      <c r="J473">
        <v>64.989999999999995</v>
      </c>
      <c r="K473">
        <v>13.07</v>
      </c>
      <c r="L473">
        <v>12.22</v>
      </c>
      <c r="M473">
        <v>11.89</v>
      </c>
      <c r="N473">
        <v>7.71</v>
      </c>
      <c r="O473">
        <v>21.31</v>
      </c>
      <c r="P473">
        <v>19.7</v>
      </c>
      <c r="Q473">
        <v>50.56</v>
      </c>
      <c r="R473">
        <v>31.17</v>
      </c>
      <c r="S473">
        <v>34.06</v>
      </c>
      <c r="T473">
        <v>47.9</v>
      </c>
      <c r="U473">
        <v>55.91</v>
      </c>
      <c r="V473" s="6">
        <v>24.61</v>
      </c>
    </row>
    <row r="474" spans="1:22" x14ac:dyDescent="0.2">
      <c r="A474" s="4">
        <v>45252</v>
      </c>
      <c r="B474" s="3">
        <v>105.01</v>
      </c>
      <c r="C474">
        <v>64.47</v>
      </c>
      <c r="D474">
        <v>28.19</v>
      </c>
      <c r="E474">
        <v>24.48</v>
      </c>
      <c r="F474">
        <v>30.65</v>
      </c>
      <c r="G474">
        <v>32.909999999999997</v>
      </c>
      <c r="H474">
        <v>22.45</v>
      </c>
      <c r="I474">
        <v>36.72</v>
      </c>
      <c r="J474">
        <v>66</v>
      </c>
      <c r="K474">
        <v>13.35</v>
      </c>
      <c r="L474">
        <v>12.39</v>
      </c>
      <c r="M474">
        <v>12.01</v>
      </c>
      <c r="N474">
        <v>7.68</v>
      </c>
      <c r="O474">
        <v>22.17</v>
      </c>
      <c r="P474">
        <v>20.079999999999998</v>
      </c>
      <c r="Q474">
        <v>50.99</v>
      </c>
      <c r="R474">
        <v>31.82</v>
      </c>
      <c r="S474">
        <v>34.549999999999997</v>
      </c>
      <c r="T474">
        <v>47.16</v>
      </c>
      <c r="U474">
        <v>56.05</v>
      </c>
      <c r="V474" s="6">
        <v>24.84</v>
      </c>
    </row>
    <row r="475" spans="1:22" x14ac:dyDescent="0.2">
      <c r="A475" s="4">
        <v>45253</v>
      </c>
      <c r="B475" s="3">
        <v>104.24</v>
      </c>
      <c r="C475">
        <v>64.069999999999993</v>
      </c>
      <c r="D475">
        <v>28.2</v>
      </c>
      <c r="E475">
        <v>24.45</v>
      </c>
      <c r="F475">
        <v>30.79</v>
      </c>
      <c r="G475">
        <v>32.869999999999997</v>
      </c>
      <c r="H475">
        <v>22.52</v>
      </c>
      <c r="I475">
        <v>37.47</v>
      </c>
      <c r="J475">
        <v>67.739999999999995</v>
      </c>
      <c r="K475">
        <v>13.7</v>
      </c>
      <c r="L475">
        <v>12.53</v>
      </c>
      <c r="M475">
        <v>11.99</v>
      </c>
      <c r="N475">
        <v>7.73</v>
      </c>
      <c r="O475">
        <v>22.87</v>
      </c>
      <c r="P475">
        <v>20.100000000000001</v>
      </c>
      <c r="Q475">
        <v>51.34</v>
      </c>
      <c r="R475">
        <v>32.17</v>
      </c>
      <c r="S475">
        <v>34.880000000000003</v>
      </c>
      <c r="T475">
        <v>47.16</v>
      </c>
      <c r="U475">
        <v>56.54</v>
      </c>
      <c r="V475" s="6">
        <v>25.08</v>
      </c>
    </row>
    <row r="476" spans="1:22" x14ac:dyDescent="0.2">
      <c r="A476" s="4">
        <v>45254</v>
      </c>
      <c r="B476" s="3">
        <v>104.33</v>
      </c>
      <c r="C476">
        <v>63.52</v>
      </c>
      <c r="D476">
        <v>28.28</v>
      </c>
      <c r="E476">
        <v>24.31</v>
      </c>
      <c r="F476">
        <v>30.7</v>
      </c>
      <c r="G476">
        <v>32.54</v>
      </c>
      <c r="H476">
        <v>22.5</v>
      </c>
      <c r="I476">
        <v>36.75</v>
      </c>
      <c r="J476">
        <v>68.31</v>
      </c>
      <c r="K476">
        <v>13.71</v>
      </c>
      <c r="L476">
        <v>12.29</v>
      </c>
      <c r="M476">
        <v>11.85</v>
      </c>
      <c r="N476">
        <v>7.68</v>
      </c>
      <c r="O476">
        <v>22.97</v>
      </c>
      <c r="P476">
        <v>20</v>
      </c>
      <c r="Q476">
        <v>51.02</v>
      </c>
      <c r="R476">
        <v>31.89</v>
      </c>
      <c r="S476">
        <v>34.74</v>
      </c>
      <c r="T476">
        <v>47.13</v>
      </c>
      <c r="U476">
        <v>55.68</v>
      </c>
      <c r="V476" s="6">
        <v>24.75</v>
      </c>
    </row>
    <row r="477" spans="1:22" x14ac:dyDescent="0.2">
      <c r="A477" s="4">
        <v>45257</v>
      </c>
      <c r="B477" s="3">
        <v>105.04</v>
      </c>
      <c r="C477">
        <v>63.15</v>
      </c>
      <c r="D477">
        <v>28.12</v>
      </c>
      <c r="E477">
        <v>24.25</v>
      </c>
      <c r="F477">
        <v>30.5</v>
      </c>
      <c r="G477">
        <v>32.950000000000003</v>
      </c>
      <c r="H477">
        <v>22.91</v>
      </c>
      <c r="I477">
        <v>37.49</v>
      </c>
      <c r="J477">
        <v>67.69</v>
      </c>
      <c r="K477">
        <v>13.63</v>
      </c>
      <c r="L477">
        <v>12.29</v>
      </c>
      <c r="M477">
        <v>12.02</v>
      </c>
      <c r="N477">
        <v>7.74</v>
      </c>
      <c r="O477">
        <v>23.22</v>
      </c>
      <c r="P477">
        <v>20.25</v>
      </c>
      <c r="Q477">
        <v>51.29</v>
      </c>
      <c r="R477">
        <v>32.32</v>
      </c>
      <c r="S477">
        <v>34.630000000000003</v>
      </c>
      <c r="T477">
        <v>46.15</v>
      </c>
      <c r="U477">
        <v>54.94</v>
      </c>
      <c r="V477" s="6">
        <v>25.23</v>
      </c>
    </row>
    <row r="478" spans="1:22" x14ac:dyDescent="0.2">
      <c r="A478" s="4">
        <v>45258</v>
      </c>
      <c r="B478" s="3">
        <v>104.8</v>
      </c>
      <c r="C478">
        <v>63.28</v>
      </c>
      <c r="D478">
        <v>28.54</v>
      </c>
      <c r="E478">
        <v>24.49</v>
      </c>
      <c r="F478">
        <v>30.78</v>
      </c>
      <c r="G478">
        <v>33.17</v>
      </c>
      <c r="H478">
        <v>23.24</v>
      </c>
      <c r="I478">
        <v>37.229999999999997</v>
      </c>
      <c r="J478">
        <v>67.680000000000007</v>
      </c>
      <c r="K478">
        <v>13.75</v>
      </c>
      <c r="L478">
        <v>12.58</v>
      </c>
      <c r="M478">
        <v>12.08</v>
      </c>
      <c r="N478">
        <v>7.76</v>
      </c>
      <c r="O478">
        <v>23.34</v>
      </c>
      <c r="P478">
        <v>19.899999999999999</v>
      </c>
      <c r="Q478">
        <v>50.91</v>
      </c>
      <c r="R478">
        <v>32.46</v>
      </c>
      <c r="S478">
        <v>34.53</v>
      </c>
      <c r="T478">
        <v>46.02</v>
      </c>
      <c r="U478">
        <v>54.99</v>
      </c>
      <c r="V478" s="6">
        <v>25.49</v>
      </c>
    </row>
    <row r="479" spans="1:22" x14ac:dyDescent="0.2">
      <c r="A479" s="4">
        <v>45259</v>
      </c>
      <c r="B479" s="3">
        <v>105.62</v>
      </c>
      <c r="C479">
        <v>63.27</v>
      </c>
      <c r="D479">
        <v>28.25</v>
      </c>
      <c r="E479">
        <v>24.65</v>
      </c>
      <c r="F479">
        <v>30.37</v>
      </c>
      <c r="G479">
        <v>32.94</v>
      </c>
      <c r="H479">
        <v>23.28</v>
      </c>
      <c r="I479">
        <v>36.979999999999997</v>
      </c>
      <c r="J479">
        <v>66.83</v>
      </c>
      <c r="K479">
        <v>13.68</v>
      </c>
      <c r="L479">
        <v>12.61</v>
      </c>
      <c r="M479">
        <v>11.77</v>
      </c>
      <c r="N479">
        <v>7.78</v>
      </c>
      <c r="O479">
        <v>23.21</v>
      </c>
      <c r="P479">
        <v>20.37</v>
      </c>
      <c r="Q479">
        <v>51.77</v>
      </c>
      <c r="R479">
        <v>33.130000000000003</v>
      </c>
      <c r="S479">
        <v>34.159999999999997</v>
      </c>
      <c r="T479">
        <v>45.84</v>
      </c>
      <c r="U479">
        <v>55.15</v>
      </c>
      <c r="V479" s="6">
        <v>25.05</v>
      </c>
    </row>
    <row r="480" spans="1:22" x14ac:dyDescent="0.2">
      <c r="A480" s="4">
        <v>45260</v>
      </c>
      <c r="B480" s="3">
        <v>106.3</v>
      </c>
      <c r="C480">
        <v>63.61</v>
      </c>
      <c r="D480">
        <v>28.79</v>
      </c>
      <c r="E480">
        <v>25.03</v>
      </c>
      <c r="F480">
        <v>30.66</v>
      </c>
      <c r="G480">
        <v>33</v>
      </c>
      <c r="H480">
        <v>23.96</v>
      </c>
      <c r="I480">
        <v>37.090000000000003</v>
      </c>
      <c r="J480">
        <v>67.56</v>
      </c>
      <c r="K480">
        <v>13.8</v>
      </c>
      <c r="L480">
        <v>12.66</v>
      </c>
      <c r="M480">
        <v>12.11</v>
      </c>
      <c r="N480">
        <v>7.94</v>
      </c>
      <c r="O480">
        <v>23.21</v>
      </c>
      <c r="P480">
        <v>21.48</v>
      </c>
      <c r="Q480">
        <v>51.32</v>
      </c>
      <c r="R480">
        <v>33.93</v>
      </c>
      <c r="S480">
        <v>34.06</v>
      </c>
      <c r="T480">
        <v>45.86</v>
      </c>
      <c r="U480">
        <v>55.91</v>
      </c>
      <c r="V480" s="6">
        <v>25.55</v>
      </c>
    </row>
    <row r="481" spans="1:22" x14ac:dyDescent="0.2">
      <c r="A481" s="4">
        <v>45261</v>
      </c>
      <c r="B481" s="3">
        <v>105.27</v>
      </c>
      <c r="C481">
        <v>64.790000000000006</v>
      </c>
      <c r="D481">
        <v>28.6</v>
      </c>
      <c r="E481">
        <v>24.98</v>
      </c>
      <c r="F481">
        <v>30.25</v>
      </c>
      <c r="G481">
        <v>33.57</v>
      </c>
      <c r="H481">
        <v>24</v>
      </c>
      <c r="I481">
        <v>37.31</v>
      </c>
      <c r="J481">
        <v>68.66</v>
      </c>
      <c r="K481">
        <v>13.85</v>
      </c>
      <c r="L481">
        <v>12.87</v>
      </c>
      <c r="M481">
        <v>12.46</v>
      </c>
      <c r="N481">
        <v>7.96</v>
      </c>
      <c r="O481">
        <v>23.86</v>
      </c>
      <c r="P481">
        <v>22.82</v>
      </c>
      <c r="Q481">
        <v>49.39</v>
      </c>
      <c r="R481">
        <v>33.630000000000003</v>
      </c>
      <c r="S481">
        <v>34.17</v>
      </c>
      <c r="T481">
        <v>44.5</v>
      </c>
      <c r="U481">
        <v>56.56</v>
      </c>
      <c r="V481" s="6">
        <v>26.06</v>
      </c>
    </row>
    <row r="482" spans="1:22" x14ac:dyDescent="0.2">
      <c r="A482" s="4">
        <v>45264</v>
      </c>
      <c r="B482" s="3">
        <v>105.31</v>
      </c>
      <c r="C482">
        <v>63.34</v>
      </c>
      <c r="D482">
        <v>27.99</v>
      </c>
      <c r="E482">
        <v>25.01</v>
      </c>
      <c r="F482">
        <v>29.66</v>
      </c>
      <c r="G482">
        <v>33.549999999999997</v>
      </c>
      <c r="H482">
        <v>23.91</v>
      </c>
      <c r="I482">
        <v>36.979999999999997</v>
      </c>
      <c r="J482">
        <v>67.98</v>
      </c>
      <c r="K482">
        <v>13.74</v>
      </c>
      <c r="L482">
        <v>12.88</v>
      </c>
      <c r="M482">
        <v>12.44</v>
      </c>
      <c r="N482">
        <v>7.95</v>
      </c>
      <c r="O482">
        <v>23.61</v>
      </c>
      <c r="P482">
        <v>22.98</v>
      </c>
      <c r="Q482">
        <v>49.42</v>
      </c>
      <c r="R482">
        <v>33.4</v>
      </c>
      <c r="S482">
        <v>34</v>
      </c>
      <c r="T482">
        <v>44.15</v>
      </c>
      <c r="U482">
        <v>56.47</v>
      </c>
      <c r="V482" s="6">
        <v>25.61</v>
      </c>
    </row>
    <row r="483" spans="1:22" x14ac:dyDescent="0.2">
      <c r="A483" s="4">
        <v>45265</v>
      </c>
      <c r="B483" s="3">
        <v>104.49</v>
      </c>
      <c r="C483">
        <v>62.75</v>
      </c>
      <c r="D483">
        <v>27.86</v>
      </c>
      <c r="E483">
        <v>25.21</v>
      </c>
      <c r="F483">
        <v>29.44</v>
      </c>
      <c r="G483">
        <v>34.07</v>
      </c>
      <c r="H483">
        <v>23.91</v>
      </c>
      <c r="I483">
        <v>37.619999999999997</v>
      </c>
      <c r="J483">
        <v>67.98</v>
      </c>
      <c r="K483">
        <v>13.87</v>
      </c>
      <c r="L483">
        <v>12.8</v>
      </c>
      <c r="M483">
        <v>12.6</v>
      </c>
      <c r="N483">
        <v>8.0299999999999994</v>
      </c>
      <c r="O483">
        <v>23.86</v>
      </c>
      <c r="P483">
        <v>23.2</v>
      </c>
      <c r="Q483">
        <v>49.1</v>
      </c>
      <c r="R483">
        <v>33.409999999999997</v>
      </c>
      <c r="S483">
        <v>34.46</v>
      </c>
      <c r="T483">
        <v>43.09</v>
      </c>
      <c r="U483">
        <v>56.61</v>
      </c>
      <c r="V483" s="6">
        <v>25.81</v>
      </c>
    </row>
    <row r="484" spans="1:22" x14ac:dyDescent="0.2">
      <c r="A484" s="4">
        <v>45266</v>
      </c>
      <c r="B484" s="3">
        <v>104.45</v>
      </c>
      <c r="C484">
        <v>62.34</v>
      </c>
      <c r="D484">
        <v>26.86</v>
      </c>
      <c r="E484">
        <v>24.99</v>
      </c>
      <c r="F484">
        <v>28.74</v>
      </c>
      <c r="G484">
        <v>34.15</v>
      </c>
      <c r="H484">
        <v>23.4</v>
      </c>
      <c r="I484">
        <v>37.56</v>
      </c>
      <c r="J484">
        <v>68.989999999999995</v>
      </c>
      <c r="K484">
        <v>13.72</v>
      </c>
      <c r="L484">
        <v>12.59</v>
      </c>
      <c r="M484">
        <v>12.38</v>
      </c>
      <c r="N484">
        <v>7.88</v>
      </c>
      <c r="O484">
        <v>23.51</v>
      </c>
      <c r="P484">
        <v>23.18</v>
      </c>
      <c r="Q484">
        <v>48.73</v>
      </c>
      <c r="R484">
        <v>32.9</v>
      </c>
      <c r="S484">
        <v>34</v>
      </c>
      <c r="T484">
        <v>41.37</v>
      </c>
      <c r="U484">
        <v>56.86</v>
      </c>
      <c r="V484" s="6">
        <v>25.61</v>
      </c>
    </row>
    <row r="485" spans="1:22" x14ac:dyDescent="0.2">
      <c r="A485" s="4">
        <v>45267</v>
      </c>
      <c r="B485" s="3">
        <v>105.61</v>
      </c>
      <c r="C485">
        <v>62.53</v>
      </c>
      <c r="D485">
        <v>26.8</v>
      </c>
      <c r="E485">
        <v>25.24</v>
      </c>
      <c r="F485">
        <v>28.83</v>
      </c>
      <c r="G485">
        <v>34.130000000000003</v>
      </c>
      <c r="H485">
        <v>23.78</v>
      </c>
      <c r="I485">
        <v>37.700000000000003</v>
      </c>
      <c r="J485">
        <v>67.94</v>
      </c>
      <c r="K485">
        <v>13.76</v>
      </c>
      <c r="L485">
        <v>12.65</v>
      </c>
      <c r="M485">
        <v>12.46</v>
      </c>
      <c r="N485">
        <v>7.94</v>
      </c>
      <c r="O485">
        <v>23.6</v>
      </c>
      <c r="P485">
        <v>23.22</v>
      </c>
      <c r="Q485">
        <v>48.58</v>
      </c>
      <c r="R485">
        <v>32.67</v>
      </c>
      <c r="S485">
        <v>34.22</v>
      </c>
      <c r="T485">
        <v>42.35</v>
      </c>
      <c r="U485">
        <v>57.26</v>
      </c>
      <c r="V485" s="6">
        <v>25.26</v>
      </c>
    </row>
    <row r="486" spans="1:22" x14ac:dyDescent="0.2">
      <c r="A486" s="4">
        <v>45268</v>
      </c>
      <c r="B486" s="3">
        <v>105.49</v>
      </c>
      <c r="C486">
        <v>62.71</v>
      </c>
      <c r="D486">
        <v>27.65</v>
      </c>
      <c r="E486">
        <v>25.56</v>
      </c>
      <c r="F486">
        <v>29.81</v>
      </c>
      <c r="G486">
        <v>33.44</v>
      </c>
      <c r="H486">
        <v>24.04</v>
      </c>
      <c r="I486">
        <v>37.119999999999997</v>
      </c>
      <c r="J486">
        <v>67.66</v>
      </c>
      <c r="K486">
        <v>13.98</v>
      </c>
      <c r="L486">
        <v>12.88</v>
      </c>
      <c r="M486">
        <v>12.66</v>
      </c>
      <c r="N486">
        <v>8.0500000000000007</v>
      </c>
      <c r="O486">
        <v>23.88</v>
      </c>
      <c r="P486">
        <v>23.12</v>
      </c>
      <c r="Q486">
        <v>49.41</v>
      </c>
      <c r="R486">
        <v>33</v>
      </c>
      <c r="S486">
        <v>34.25</v>
      </c>
      <c r="T486">
        <v>44.48</v>
      </c>
      <c r="U486">
        <v>56.87</v>
      </c>
      <c r="V486" s="6">
        <v>25.45</v>
      </c>
    </row>
    <row r="487" spans="1:22" x14ac:dyDescent="0.2">
      <c r="A487" s="4">
        <v>45271</v>
      </c>
      <c r="B487" s="3">
        <v>104.86</v>
      </c>
      <c r="C487">
        <v>62.76</v>
      </c>
      <c r="D487">
        <v>27.55</v>
      </c>
      <c r="E487">
        <v>25.38</v>
      </c>
      <c r="F487">
        <v>29.72</v>
      </c>
      <c r="G487">
        <v>33.65</v>
      </c>
      <c r="H487">
        <v>24.03</v>
      </c>
      <c r="I487">
        <v>37.090000000000003</v>
      </c>
      <c r="J487">
        <v>68.95</v>
      </c>
      <c r="K487">
        <v>13.87</v>
      </c>
      <c r="L487">
        <v>13.25</v>
      </c>
      <c r="M487">
        <v>12.67</v>
      </c>
      <c r="N487">
        <v>7.98</v>
      </c>
      <c r="O487">
        <v>23.76</v>
      </c>
      <c r="P487">
        <v>23.78</v>
      </c>
      <c r="Q487">
        <v>50.02</v>
      </c>
      <c r="R487">
        <v>33.14</v>
      </c>
      <c r="S487">
        <v>34.130000000000003</v>
      </c>
      <c r="T487">
        <v>44.61</v>
      </c>
      <c r="U487">
        <v>56.92</v>
      </c>
      <c r="V487" s="6">
        <v>25.22</v>
      </c>
    </row>
    <row r="488" spans="1:22" x14ac:dyDescent="0.2">
      <c r="A488" s="4">
        <v>45272</v>
      </c>
      <c r="B488" s="3">
        <v>107.21</v>
      </c>
      <c r="C488">
        <v>62.87</v>
      </c>
      <c r="D488">
        <v>27.32</v>
      </c>
      <c r="E488">
        <v>25.25</v>
      </c>
      <c r="F488">
        <v>29.27</v>
      </c>
      <c r="G488">
        <v>33.81</v>
      </c>
      <c r="H488">
        <v>23.3</v>
      </c>
      <c r="I488">
        <v>36.880000000000003</v>
      </c>
      <c r="J488">
        <v>69.23</v>
      </c>
      <c r="K488">
        <v>13.8</v>
      </c>
      <c r="L488">
        <v>13.18</v>
      </c>
      <c r="M488">
        <v>12.59</v>
      </c>
      <c r="N488">
        <v>7.94</v>
      </c>
      <c r="O488">
        <v>23.6</v>
      </c>
      <c r="P488">
        <v>23.87</v>
      </c>
      <c r="Q488">
        <v>49.59</v>
      </c>
      <c r="R488">
        <v>32.99</v>
      </c>
      <c r="S488">
        <v>34.090000000000003</v>
      </c>
      <c r="T488">
        <v>43.73</v>
      </c>
      <c r="U488">
        <v>56.35</v>
      </c>
      <c r="V488" s="6">
        <v>25.68</v>
      </c>
    </row>
    <row r="489" spans="1:22" x14ac:dyDescent="0.2">
      <c r="A489" s="4">
        <v>45273</v>
      </c>
      <c r="B489" s="3">
        <v>108.48</v>
      </c>
      <c r="C489">
        <v>62.88</v>
      </c>
      <c r="D489">
        <v>27.72</v>
      </c>
      <c r="E489">
        <v>26.02</v>
      </c>
      <c r="F489">
        <v>29.66</v>
      </c>
      <c r="G489">
        <v>34.799999999999997</v>
      </c>
      <c r="H489">
        <v>23.51</v>
      </c>
      <c r="I489">
        <v>37.950000000000003</v>
      </c>
      <c r="J489">
        <v>71.45</v>
      </c>
      <c r="K489">
        <v>14.4</v>
      </c>
      <c r="L489">
        <v>13.73</v>
      </c>
      <c r="M489">
        <v>13.01</v>
      </c>
      <c r="N489">
        <v>8.17</v>
      </c>
      <c r="O489">
        <v>24.35</v>
      </c>
      <c r="P489">
        <v>24.33</v>
      </c>
      <c r="Q489">
        <v>50.46</v>
      </c>
      <c r="R489">
        <v>34.35</v>
      </c>
      <c r="S489">
        <v>34.5</v>
      </c>
      <c r="T489">
        <v>45.23</v>
      </c>
      <c r="U489">
        <v>58.59</v>
      </c>
      <c r="V489" s="6">
        <v>27.16</v>
      </c>
    </row>
    <row r="490" spans="1:22" x14ac:dyDescent="0.2">
      <c r="A490" s="4">
        <v>45274</v>
      </c>
      <c r="B490" s="3">
        <v>107.9</v>
      </c>
      <c r="C490">
        <v>63.22</v>
      </c>
      <c r="D490">
        <v>28.32</v>
      </c>
      <c r="E490">
        <v>26.24</v>
      </c>
      <c r="F490">
        <v>30.35</v>
      </c>
      <c r="G490">
        <v>35.03</v>
      </c>
      <c r="H490">
        <v>23.67</v>
      </c>
      <c r="I490">
        <v>37.799999999999997</v>
      </c>
      <c r="J490">
        <v>71.3</v>
      </c>
      <c r="K490">
        <v>14.65</v>
      </c>
      <c r="L490">
        <v>14.11</v>
      </c>
      <c r="M490">
        <v>12.83</v>
      </c>
      <c r="N490">
        <v>8.27</v>
      </c>
      <c r="O490">
        <v>23.97</v>
      </c>
      <c r="P490">
        <v>23.88</v>
      </c>
      <c r="Q490">
        <v>51</v>
      </c>
      <c r="R490">
        <v>35.369999999999997</v>
      </c>
      <c r="S490">
        <v>34.71</v>
      </c>
      <c r="T490">
        <v>47.28</v>
      </c>
      <c r="U490">
        <v>60.81</v>
      </c>
      <c r="V490" s="6">
        <v>27.37</v>
      </c>
    </row>
    <row r="491" spans="1:22" x14ac:dyDescent="0.2">
      <c r="A491" s="4">
        <v>45275</v>
      </c>
      <c r="B491" s="3">
        <v>109.07</v>
      </c>
      <c r="C491">
        <v>63.62</v>
      </c>
      <c r="D491">
        <v>28.38</v>
      </c>
      <c r="E491">
        <v>26.12</v>
      </c>
      <c r="F491">
        <v>30.11</v>
      </c>
      <c r="G491">
        <v>34.770000000000003</v>
      </c>
      <c r="H491">
        <v>24.24</v>
      </c>
      <c r="I491">
        <v>37.020000000000003</v>
      </c>
      <c r="J491">
        <v>71.17</v>
      </c>
      <c r="K491">
        <v>14.79</v>
      </c>
      <c r="L491">
        <v>13.96</v>
      </c>
      <c r="M491">
        <v>12.8</v>
      </c>
      <c r="N491">
        <v>8.2799999999999994</v>
      </c>
      <c r="O491">
        <v>23.72</v>
      </c>
      <c r="P491">
        <v>23.85</v>
      </c>
      <c r="Q491">
        <v>51.22</v>
      </c>
      <c r="R491">
        <v>35.03</v>
      </c>
      <c r="S491">
        <v>34.29</v>
      </c>
      <c r="T491">
        <v>46.25</v>
      </c>
      <c r="U491">
        <v>59.63</v>
      </c>
      <c r="V491" s="6">
        <v>26.92</v>
      </c>
    </row>
    <row r="492" spans="1:22" x14ac:dyDescent="0.2">
      <c r="A492" s="4">
        <v>45278</v>
      </c>
      <c r="B492" s="3">
        <v>109.43</v>
      </c>
      <c r="C492">
        <v>63.92</v>
      </c>
      <c r="D492">
        <v>28.74</v>
      </c>
      <c r="E492">
        <v>26.25</v>
      </c>
      <c r="F492">
        <v>30.73</v>
      </c>
      <c r="G492">
        <v>34.840000000000003</v>
      </c>
      <c r="H492">
        <v>24.25</v>
      </c>
      <c r="I492">
        <v>37.72</v>
      </c>
      <c r="J492">
        <v>72.209999999999994</v>
      </c>
      <c r="K492">
        <v>14.9</v>
      </c>
      <c r="L492">
        <v>14.03</v>
      </c>
      <c r="M492">
        <v>12.87</v>
      </c>
      <c r="N492">
        <v>8.2799999999999994</v>
      </c>
      <c r="O492">
        <v>23.68</v>
      </c>
      <c r="P492">
        <v>23.36</v>
      </c>
      <c r="Q492">
        <v>51.14</v>
      </c>
      <c r="R492">
        <v>35.520000000000003</v>
      </c>
      <c r="S492">
        <v>34.5</v>
      </c>
      <c r="T492">
        <v>46.1</v>
      </c>
      <c r="U492">
        <v>59.94</v>
      </c>
      <c r="V492" s="6">
        <v>27.41</v>
      </c>
    </row>
    <row r="493" spans="1:22" x14ac:dyDescent="0.2">
      <c r="A493" s="4">
        <v>45279</v>
      </c>
      <c r="B493" s="3">
        <v>108.95</v>
      </c>
      <c r="C493">
        <v>64.37</v>
      </c>
      <c r="D493">
        <v>29.06</v>
      </c>
      <c r="E493">
        <v>26.27</v>
      </c>
      <c r="F493">
        <v>30.93</v>
      </c>
      <c r="G493">
        <v>35.21</v>
      </c>
      <c r="H493">
        <v>24.34</v>
      </c>
      <c r="I493">
        <v>38.03</v>
      </c>
      <c r="J493">
        <v>72.78</v>
      </c>
      <c r="K493">
        <v>14.9</v>
      </c>
      <c r="L493">
        <v>13.84</v>
      </c>
      <c r="M493">
        <v>13.01</v>
      </c>
      <c r="N493">
        <v>8.32</v>
      </c>
      <c r="O493">
        <v>24.22</v>
      </c>
      <c r="P493">
        <v>22.72</v>
      </c>
      <c r="Q493">
        <v>51.55</v>
      </c>
      <c r="R493">
        <v>35.58</v>
      </c>
      <c r="S493">
        <v>34.78</v>
      </c>
      <c r="T493">
        <v>46.71</v>
      </c>
      <c r="U493">
        <v>59.92</v>
      </c>
      <c r="V493" s="6">
        <v>27.24</v>
      </c>
    </row>
    <row r="494" spans="1:22" x14ac:dyDescent="0.2">
      <c r="A494" s="4">
        <v>45280</v>
      </c>
      <c r="B494" s="3">
        <v>109.55</v>
      </c>
      <c r="C494">
        <v>64.16</v>
      </c>
      <c r="D494">
        <v>29.17</v>
      </c>
      <c r="E494">
        <v>26</v>
      </c>
      <c r="F494">
        <v>30.99</v>
      </c>
      <c r="G494">
        <v>34.96</v>
      </c>
      <c r="H494">
        <v>24.06</v>
      </c>
      <c r="I494">
        <v>37.409999999999997</v>
      </c>
      <c r="J494">
        <v>72.599999999999994</v>
      </c>
      <c r="K494">
        <v>14.66</v>
      </c>
      <c r="L494">
        <v>13.48</v>
      </c>
      <c r="M494">
        <v>12.69</v>
      </c>
      <c r="N494">
        <v>8.24</v>
      </c>
      <c r="O494">
        <v>25.04</v>
      </c>
      <c r="P494">
        <v>22.45</v>
      </c>
      <c r="Q494">
        <v>52.45</v>
      </c>
      <c r="R494">
        <v>35.17</v>
      </c>
      <c r="S494">
        <v>35.32</v>
      </c>
      <c r="T494">
        <v>45.54</v>
      </c>
      <c r="U494">
        <v>58.86</v>
      </c>
      <c r="V494" s="6">
        <v>26.6</v>
      </c>
    </row>
    <row r="495" spans="1:22" x14ac:dyDescent="0.2">
      <c r="A495" s="4">
        <v>45281</v>
      </c>
      <c r="B495" s="3">
        <v>110.26</v>
      </c>
      <c r="C495">
        <v>66.3</v>
      </c>
      <c r="D495">
        <v>29.18</v>
      </c>
      <c r="E495">
        <v>26.17</v>
      </c>
      <c r="F495">
        <v>30.99</v>
      </c>
      <c r="G495">
        <v>35.18</v>
      </c>
      <c r="H495">
        <v>24.09</v>
      </c>
      <c r="I495">
        <v>37.76</v>
      </c>
      <c r="J495">
        <v>74.239999999999995</v>
      </c>
      <c r="K495">
        <v>14.67</v>
      </c>
      <c r="L495">
        <v>13.79</v>
      </c>
      <c r="M495">
        <v>12.66</v>
      </c>
      <c r="N495">
        <v>8.3000000000000007</v>
      </c>
      <c r="O495">
        <v>24.82</v>
      </c>
      <c r="P495">
        <v>22.61</v>
      </c>
      <c r="Q495">
        <v>52.99</v>
      </c>
      <c r="R495">
        <v>35.200000000000003</v>
      </c>
      <c r="S495">
        <v>35.29</v>
      </c>
      <c r="T495">
        <v>45.16</v>
      </c>
      <c r="U495">
        <v>60.09</v>
      </c>
      <c r="V495" s="6">
        <v>26.95</v>
      </c>
    </row>
    <row r="496" spans="1:22" x14ac:dyDescent="0.2">
      <c r="A496" s="4">
        <v>45282</v>
      </c>
      <c r="B496" s="3">
        <v>110.85</v>
      </c>
      <c r="C496">
        <v>65.8</v>
      </c>
      <c r="D496">
        <v>29.46</v>
      </c>
      <c r="E496">
        <v>26.59</v>
      </c>
      <c r="F496">
        <v>31.41</v>
      </c>
      <c r="G496">
        <v>35.299999999999997</v>
      </c>
      <c r="H496">
        <v>24.16</v>
      </c>
      <c r="I496">
        <v>38.1</v>
      </c>
      <c r="J496">
        <v>74.88</v>
      </c>
      <c r="K496">
        <v>14.79</v>
      </c>
      <c r="L496">
        <v>13.81</v>
      </c>
      <c r="M496">
        <v>12.67</v>
      </c>
      <c r="N496">
        <v>8.43</v>
      </c>
      <c r="O496">
        <v>24.87</v>
      </c>
      <c r="P496">
        <v>22.72</v>
      </c>
      <c r="Q496">
        <v>53.46</v>
      </c>
      <c r="R496">
        <v>35.33</v>
      </c>
      <c r="S496">
        <v>35.21</v>
      </c>
      <c r="T496">
        <v>45.37</v>
      </c>
      <c r="U496">
        <v>60.08</v>
      </c>
      <c r="V496" s="6">
        <v>27.22</v>
      </c>
    </row>
    <row r="497" spans="1:22" x14ac:dyDescent="0.2">
      <c r="A497" s="4">
        <v>45286</v>
      </c>
      <c r="B497" s="3">
        <v>111.4</v>
      </c>
      <c r="C497">
        <v>66.03</v>
      </c>
      <c r="D497">
        <v>29.93</v>
      </c>
      <c r="E497">
        <v>26.86</v>
      </c>
      <c r="F497">
        <v>31.88</v>
      </c>
      <c r="G497">
        <v>35.5</v>
      </c>
      <c r="H497">
        <v>24.38</v>
      </c>
      <c r="I497">
        <v>38.200000000000003</v>
      </c>
      <c r="J497">
        <v>74.150000000000006</v>
      </c>
      <c r="K497">
        <v>14.84</v>
      </c>
      <c r="L497">
        <v>13.95</v>
      </c>
      <c r="M497">
        <v>12.72</v>
      </c>
      <c r="N497">
        <v>8.4499999999999993</v>
      </c>
      <c r="O497">
        <v>25</v>
      </c>
      <c r="P497">
        <v>22.5</v>
      </c>
      <c r="Q497">
        <v>53.74</v>
      </c>
      <c r="R497">
        <v>35.799999999999997</v>
      </c>
      <c r="S497">
        <v>35.21</v>
      </c>
      <c r="T497">
        <v>45.92</v>
      </c>
      <c r="U497">
        <v>59.78</v>
      </c>
      <c r="V497" s="6">
        <v>27.33</v>
      </c>
    </row>
    <row r="498" spans="1:22" x14ac:dyDescent="0.2">
      <c r="A498" s="4">
        <v>45287</v>
      </c>
      <c r="B498" s="3">
        <v>111.4</v>
      </c>
      <c r="C498">
        <v>66.67</v>
      </c>
      <c r="D498">
        <v>29.95</v>
      </c>
      <c r="E498">
        <v>27.04</v>
      </c>
      <c r="F498">
        <v>31.83</v>
      </c>
      <c r="G498">
        <v>35.61</v>
      </c>
      <c r="H498">
        <v>24.35</v>
      </c>
      <c r="I498">
        <v>38.33</v>
      </c>
      <c r="J498">
        <v>74.86</v>
      </c>
      <c r="K498">
        <v>14.93</v>
      </c>
      <c r="L498">
        <v>13.87</v>
      </c>
      <c r="M498">
        <v>12.79</v>
      </c>
      <c r="N498">
        <v>8.52</v>
      </c>
      <c r="O498">
        <v>24.99</v>
      </c>
      <c r="P498">
        <v>22.64</v>
      </c>
      <c r="Q498">
        <v>54.06</v>
      </c>
      <c r="R498">
        <v>36.06</v>
      </c>
      <c r="S498">
        <v>35.479999999999997</v>
      </c>
      <c r="T498">
        <v>45.94</v>
      </c>
      <c r="U498">
        <v>59.52</v>
      </c>
      <c r="V498" s="6">
        <v>27.86</v>
      </c>
    </row>
    <row r="499" spans="1:22" x14ac:dyDescent="0.2">
      <c r="A499" s="4">
        <v>45288</v>
      </c>
      <c r="B499" s="3">
        <v>110.01</v>
      </c>
      <c r="C499">
        <v>66.5</v>
      </c>
      <c r="D499">
        <v>29.86</v>
      </c>
      <c r="E499">
        <v>27.11</v>
      </c>
      <c r="F499">
        <v>31.7</v>
      </c>
      <c r="G499">
        <v>35.68</v>
      </c>
      <c r="H499">
        <v>24.58</v>
      </c>
      <c r="I499">
        <v>38.51</v>
      </c>
      <c r="J499">
        <v>75.37</v>
      </c>
      <c r="K499">
        <v>15.02</v>
      </c>
      <c r="L499">
        <v>13.84</v>
      </c>
      <c r="M499">
        <v>12.68</v>
      </c>
      <c r="N499">
        <v>8.52</v>
      </c>
      <c r="O499">
        <v>24.91</v>
      </c>
      <c r="P499">
        <v>22.37</v>
      </c>
      <c r="Q499">
        <v>54.14</v>
      </c>
      <c r="R499">
        <v>36.11</v>
      </c>
      <c r="S499">
        <v>35.72</v>
      </c>
      <c r="T499">
        <v>46.05</v>
      </c>
      <c r="U499">
        <v>59.52</v>
      </c>
      <c r="V499" s="6">
        <v>27.77</v>
      </c>
    </row>
    <row r="500" spans="1:22" x14ac:dyDescent="0.2">
      <c r="A500" s="4">
        <v>45293</v>
      </c>
      <c r="B500" s="3">
        <v>111</v>
      </c>
      <c r="C500">
        <v>66.37</v>
      </c>
      <c r="D500">
        <v>30.29</v>
      </c>
      <c r="E500">
        <v>26.77</v>
      </c>
      <c r="F500">
        <v>32.01</v>
      </c>
      <c r="G500">
        <v>35.35</v>
      </c>
      <c r="H500">
        <v>24.3</v>
      </c>
      <c r="I500">
        <v>37.89</v>
      </c>
      <c r="J500">
        <v>73.63</v>
      </c>
      <c r="K500">
        <v>14.72</v>
      </c>
      <c r="L500">
        <v>13.57</v>
      </c>
      <c r="M500">
        <v>12.67</v>
      </c>
      <c r="N500">
        <v>8.36</v>
      </c>
      <c r="O500">
        <v>25.17</v>
      </c>
      <c r="P500">
        <v>22</v>
      </c>
      <c r="Q500">
        <v>53.66</v>
      </c>
      <c r="R500">
        <v>35.75</v>
      </c>
      <c r="S500">
        <v>35</v>
      </c>
      <c r="T500">
        <v>45.35</v>
      </c>
      <c r="U500">
        <v>57.33</v>
      </c>
      <c r="V500" s="6">
        <v>26.79</v>
      </c>
    </row>
    <row r="501" spans="1:22" x14ac:dyDescent="0.2">
      <c r="A501" s="4">
        <v>45294</v>
      </c>
      <c r="B501" s="3">
        <v>109.12</v>
      </c>
      <c r="C501">
        <v>66.02</v>
      </c>
      <c r="D501">
        <v>31.24</v>
      </c>
      <c r="E501">
        <v>26.47</v>
      </c>
      <c r="F501">
        <v>33.1</v>
      </c>
      <c r="G501">
        <v>35.619999999999997</v>
      </c>
      <c r="H501">
        <v>24.32</v>
      </c>
      <c r="I501">
        <v>37.840000000000003</v>
      </c>
      <c r="J501">
        <v>73.47</v>
      </c>
      <c r="K501">
        <v>14.74</v>
      </c>
      <c r="L501">
        <v>13.53</v>
      </c>
      <c r="M501">
        <v>12.56</v>
      </c>
      <c r="N501">
        <v>8.34</v>
      </c>
      <c r="O501">
        <v>24.47</v>
      </c>
      <c r="P501">
        <v>21.54</v>
      </c>
      <c r="Q501">
        <v>53.96</v>
      </c>
      <c r="R501">
        <v>35.08</v>
      </c>
      <c r="S501">
        <v>35.19</v>
      </c>
      <c r="T501">
        <v>46.88</v>
      </c>
      <c r="U501">
        <v>56.99</v>
      </c>
      <c r="V501" s="6">
        <v>26.55</v>
      </c>
    </row>
    <row r="502" spans="1:22" x14ac:dyDescent="0.2">
      <c r="A502" s="4">
        <v>45295</v>
      </c>
      <c r="B502" s="3">
        <v>109.65</v>
      </c>
      <c r="C502">
        <v>65.14</v>
      </c>
      <c r="D502">
        <v>30.97</v>
      </c>
      <c r="E502">
        <v>26.3</v>
      </c>
      <c r="F502">
        <v>32.56</v>
      </c>
      <c r="G502">
        <v>35.15</v>
      </c>
      <c r="H502">
        <v>24.07</v>
      </c>
      <c r="I502">
        <v>37.51</v>
      </c>
      <c r="J502">
        <v>72.61</v>
      </c>
      <c r="K502">
        <v>14.54</v>
      </c>
      <c r="L502">
        <v>13.14</v>
      </c>
      <c r="M502">
        <v>12.61</v>
      </c>
      <c r="N502">
        <v>8.24</v>
      </c>
      <c r="O502">
        <v>24.12</v>
      </c>
      <c r="P502">
        <v>21.13</v>
      </c>
      <c r="Q502">
        <v>53.14</v>
      </c>
      <c r="R502">
        <v>34.65</v>
      </c>
      <c r="S502">
        <v>34.83</v>
      </c>
      <c r="T502">
        <v>46.42</v>
      </c>
      <c r="U502">
        <v>55.81</v>
      </c>
      <c r="V502" s="6">
        <v>26.31</v>
      </c>
    </row>
    <row r="503" spans="1:22" x14ac:dyDescent="0.2">
      <c r="A503" s="4">
        <v>45296</v>
      </c>
      <c r="B503" s="3">
        <v>110.1</v>
      </c>
      <c r="C503">
        <v>64.3</v>
      </c>
      <c r="D503">
        <v>31.04</v>
      </c>
      <c r="E503">
        <v>26.91</v>
      </c>
      <c r="F503">
        <v>32.85</v>
      </c>
      <c r="G503">
        <v>34.770000000000003</v>
      </c>
      <c r="H503">
        <v>24.36</v>
      </c>
      <c r="I503">
        <v>37.450000000000003</v>
      </c>
      <c r="J503">
        <v>72.349999999999994</v>
      </c>
      <c r="K503">
        <v>14.85</v>
      </c>
      <c r="L503">
        <v>13.38</v>
      </c>
      <c r="M503">
        <v>12.56</v>
      </c>
      <c r="N503">
        <v>8.41</v>
      </c>
      <c r="O503">
        <v>24.07</v>
      </c>
      <c r="P503">
        <v>21.35</v>
      </c>
      <c r="Q503">
        <v>52.6</v>
      </c>
      <c r="R503">
        <v>35.39</v>
      </c>
      <c r="S503">
        <v>34.78</v>
      </c>
      <c r="T503">
        <v>46.08</v>
      </c>
      <c r="U503">
        <v>56.62</v>
      </c>
      <c r="V503" s="6">
        <v>27.04</v>
      </c>
    </row>
    <row r="504" spans="1:22" x14ac:dyDescent="0.2">
      <c r="A504" s="4">
        <v>45299</v>
      </c>
      <c r="B504" s="3">
        <v>109.32</v>
      </c>
      <c r="C504">
        <v>63.97</v>
      </c>
      <c r="D504">
        <v>30.81</v>
      </c>
      <c r="E504">
        <v>26.62</v>
      </c>
      <c r="F504">
        <v>32.24</v>
      </c>
      <c r="G504">
        <v>34.86</v>
      </c>
      <c r="H504">
        <v>24.56</v>
      </c>
      <c r="I504">
        <v>37.270000000000003</v>
      </c>
      <c r="J504">
        <v>73.260000000000005</v>
      </c>
      <c r="K504">
        <v>14.74</v>
      </c>
      <c r="L504">
        <v>13.67</v>
      </c>
      <c r="M504">
        <v>12.67</v>
      </c>
      <c r="N504">
        <v>8.35</v>
      </c>
      <c r="O504">
        <v>23.94</v>
      </c>
      <c r="P504">
        <v>21.66</v>
      </c>
      <c r="Q504">
        <v>53.28</v>
      </c>
      <c r="R504">
        <v>36.520000000000003</v>
      </c>
      <c r="S504">
        <v>34.700000000000003</v>
      </c>
      <c r="T504">
        <v>45.75</v>
      </c>
      <c r="U504">
        <v>58.77</v>
      </c>
      <c r="V504" s="6">
        <v>27.89</v>
      </c>
    </row>
    <row r="505" spans="1:22" x14ac:dyDescent="0.2">
      <c r="A505" s="4">
        <v>45300</v>
      </c>
      <c r="B505" s="3">
        <v>108.79</v>
      </c>
      <c r="C505">
        <v>63.16</v>
      </c>
      <c r="D505">
        <v>30.55</v>
      </c>
      <c r="E505">
        <v>26.61</v>
      </c>
      <c r="F505">
        <v>32.06</v>
      </c>
      <c r="G505">
        <v>34</v>
      </c>
      <c r="H505">
        <v>24.2</v>
      </c>
      <c r="I505">
        <v>37.83</v>
      </c>
      <c r="J505">
        <v>73.45</v>
      </c>
      <c r="K505">
        <v>14.34</v>
      </c>
      <c r="L505">
        <v>13.46</v>
      </c>
      <c r="M505">
        <v>12.58</v>
      </c>
      <c r="N505">
        <v>8.3699999999999992</v>
      </c>
      <c r="O505">
        <v>24</v>
      </c>
      <c r="P505">
        <v>21.57</v>
      </c>
      <c r="Q505">
        <v>52.63</v>
      </c>
      <c r="R505">
        <v>36.4</v>
      </c>
      <c r="S505">
        <v>34.950000000000003</v>
      </c>
      <c r="T505">
        <v>46.28</v>
      </c>
      <c r="U505">
        <v>58.22</v>
      </c>
      <c r="V505" s="6">
        <v>27.55</v>
      </c>
    </row>
    <row r="506" spans="1:22" x14ac:dyDescent="0.2">
      <c r="A506" s="4">
        <v>45301</v>
      </c>
      <c r="B506" s="3">
        <v>108.91</v>
      </c>
      <c r="C506">
        <v>62.22</v>
      </c>
      <c r="D506">
        <v>30.27</v>
      </c>
      <c r="E506">
        <v>26.58</v>
      </c>
      <c r="F506">
        <v>31.74</v>
      </c>
      <c r="G506">
        <v>34.14</v>
      </c>
      <c r="H506">
        <v>24.16</v>
      </c>
      <c r="I506">
        <v>38.81</v>
      </c>
      <c r="J506">
        <v>74.760000000000005</v>
      </c>
      <c r="K506">
        <v>14.1</v>
      </c>
      <c r="L506">
        <v>13.33</v>
      </c>
      <c r="M506">
        <v>12.71</v>
      </c>
      <c r="N506">
        <v>8.34</v>
      </c>
      <c r="O506">
        <v>24.28</v>
      </c>
      <c r="P506">
        <v>22.3</v>
      </c>
      <c r="Q506">
        <v>52.33</v>
      </c>
      <c r="R506">
        <v>36.380000000000003</v>
      </c>
      <c r="S506">
        <v>35.43</v>
      </c>
      <c r="T506">
        <v>44.35</v>
      </c>
      <c r="U506">
        <v>58.96</v>
      </c>
      <c r="V506" s="6">
        <v>27.45</v>
      </c>
    </row>
    <row r="507" spans="1:22" x14ac:dyDescent="0.2">
      <c r="A507" s="4">
        <v>45302</v>
      </c>
      <c r="B507" s="3">
        <v>109.07</v>
      </c>
      <c r="C507">
        <v>62.54</v>
      </c>
      <c r="D507">
        <v>30.52</v>
      </c>
      <c r="E507">
        <v>26.63</v>
      </c>
      <c r="F507">
        <v>32.07</v>
      </c>
      <c r="G507">
        <v>33.659999999999997</v>
      </c>
      <c r="H507">
        <v>24.32</v>
      </c>
      <c r="I507">
        <v>39.22</v>
      </c>
      <c r="J507">
        <v>76.59</v>
      </c>
      <c r="K507">
        <v>14.03</v>
      </c>
      <c r="L507">
        <v>13.36</v>
      </c>
      <c r="M507">
        <v>12.53</v>
      </c>
      <c r="N507">
        <v>8.3000000000000007</v>
      </c>
      <c r="O507">
        <v>24.16</v>
      </c>
      <c r="P507">
        <v>21.88</v>
      </c>
      <c r="Q507">
        <v>52.71</v>
      </c>
      <c r="R507">
        <v>36.119999999999997</v>
      </c>
      <c r="S507">
        <v>34.869999999999997</v>
      </c>
      <c r="T507">
        <v>45.5</v>
      </c>
      <c r="U507">
        <v>57.1</v>
      </c>
      <c r="V507" s="6">
        <v>27.09</v>
      </c>
    </row>
    <row r="508" spans="1:22" x14ac:dyDescent="0.2">
      <c r="A508" s="4">
        <v>45303</v>
      </c>
      <c r="B508" s="3">
        <v>109.5</v>
      </c>
      <c r="C508">
        <v>61.75</v>
      </c>
      <c r="D508">
        <v>30.6</v>
      </c>
      <c r="E508">
        <v>26.66</v>
      </c>
      <c r="F508">
        <v>32.24</v>
      </c>
      <c r="G508">
        <v>33.520000000000003</v>
      </c>
      <c r="H508">
        <v>24.46</v>
      </c>
      <c r="I508">
        <v>38.97</v>
      </c>
      <c r="J508">
        <v>77.040000000000006</v>
      </c>
      <c r="K508">
        <v>13.91</v>
      </c>
      <c r="L508">
        <v>13.5</v>
      </c>
      <c r="M508">
        <v>12.55</v>
      </c>
      <c r="N508">
        <v>8.34</v>
      </c>
      <c r="O508">
        <v>24.71</v>
      </c>
      <c r="P508">
        <v>21.68</v>
      </c>
      <c r="Q508">
        <v>52.14</v>
      </c>
      <c r="R508">
        <v>36.94</v>
      </c>
      <c r="S508">
        <v>34.869999999999997</v>
      </c>
      <c r="T508">
        <v>46.08</v>
      </c>
      <c r="U508">
        <v>57.09</v>
      </c>
      <c r="V508" s="6">
        <v>27.27</v>
      </c>
    </row>
    <row r="509" spans="1:22" x14ac:dyDescent="0.2">
      <c r="A509" s="4">
        <v>45306</v>
      </c>
      <c r="B509" s="3">
        <v>107.68</v>
      </c>
      <c r="C509">
        <v>61.63</v>
      </c>
      <c r="D509">
        <v>30.93</v>
      </c>
      <c r="E509">
        <v>26.71</v>
      </c>
      <c r="F509">
        <v>32.56</v>
      </c>
      <c r="G509">
        <v>33.18</v>
      </c>
      <c r="H509">
        <v>24.94</v>
      </c>
      <c r="I509">
        <v>39.47</v>
      </c>
      <c r="J509">
        <v>77.3</v>
      </c>
      <c r="K509">
        <v>13.96</v>
      </c>
      <c r="L509">
        <v>13.53</v>
      </c>
      <c r="M509">
        <v>12.55</v>
      </c>
      <c r="N509">
        <v>8.4</v>
      </c>
      <c r="O509">
        <v>24.73</v>
      </c>
      <c r="P509">
        <v>21.4</v>
      </c>
      <c r="Q509">
        <v>52.41</v>
      </c>
      <c r="R509">
        <v>37.06</v>
      </c>
      <c r="S509">
        <v>35.64</v>
      </c>
      <c r="T509">
        <v>47.07</v>
      </c>
      <c r="U509">
        <v>57.26</v>
      </c>
      <c r="V509" s="6">
        <v>27.38</v>
      </c>
    </row>
    <row r="510" spans="1:22" x14ac:dyDescent="0.2">
      <c r="A510" s="4">
        <v>45307</v>
      </c>
      <c r="B510" s="3">
        <v>107.06</v>
      </c>
      <c r="C510">
        <v>60.83</v>
      </c>
      <c r="D510">
        <v>30.55</v>
      </c>
      <c r="E510">
        <v>26.34</v>
      </c>
      <c r="F510">
        <v>32.200000000000003</v>
      </c>
      <c r="G510">
        <v>32.49</v>
      </c>
      <c r="H510">
        <v>24.8</v>
      </c>
      <c r="I510">
        <v>38.14</v>
      </c>
      <c r="J510">
        <v>76.2</v>
      </c>
      <c r="K510">
        <v>13.84</v>
      </c>
      <c r="L510">
        <v>13.39</v>
      </c>
      <c r="M510">
        <v>12.33</v>
      </c>
      <c r="N510">
        <v>8.26</v>
      </c>
      <c r="O510">
        <v>24.34</v>
      </c>
      <c r="P510">
        <v>21.33</v>
      </c>
      <c r="Q510">
        <v>51.5</v>
      </c>
      <c r="R510">
        <v>36.46</v>
      </c>
      <c r="S510">
        <v>35.24</v>
      </c>
      <c r="T510">
        <v>45.88</v>
      </c>
      <c r="U510">
        <v>56.41</v>
      </c>
      <c r="V510" s="6">
        <v>26.49</v>
      </c>
    </row>
    <row r="511" spans="1:22" x14ac:dyDescent="0.2">
      <c r="A511" s="4">
        <v>45308</v>
      </c>
      <c r="B511" s="3">
        <v>106.23</v>
      </c>
      <c r="C511">
        <v>59.82</v>
      </c>
      <c r="D511">
        <v>30.37</v>
      </c>
      <c r="E511">
        <v>26.35</v>
      </c>
      <c r="F511">
        <v>31.94</v>
      </c>
      <c r="G511">
        <v>32.29</v>
      </c>
      <c r="H511">
        <v>24.85</v>
      </c>
      <c r="I511">
        <v>38.14</v>
      </c>
      <c r="J511">
        <v>76.63</v>
      </c>
      <c r="K511">
        <v>13.87</v>
      </c>
      <c r="L511">
        <v>13.15</v>
      </c>
      <c r="M511">
        <v>12.41</v>
      </c>
      <c r="N511">
        <v>8.2899999999999991</v>
      </c>
      <c r="O511">
        <v>24.36</v>
      </c>
      <c r="P511">
        <v>21.27</v>
      </c>
      <c r="Q511">
        <v>51.29</v>
      </c>
      <c r="R511">
        <v>35.61</v>
      </c>
      <c r="S511">
        <v>35.200000000000003</v>
      </c>
      <c r="T511">
        <v>45.05</v>
      </c>
      <c r="U511">
        <v>57.03</v>
      </c>
      <c r="V511" s="6">
        <v>26.01</v>
      </c>
    </row>
    <row r="512" spans="1:22" x14ac:dyDescent="0.2">
      <c r="A512" s="4">
        <v>45309</v>
      </c>
      <c r="B512" s="3">
        <v>106.3</v>
      </c>
      <c r="C512">
        <v>59.43</v>
      </c>
      <c r="D512">
        <v>30.25</v>
      </c>
      <c r="E512">
        <v>26.24</v>
      </c>
      <c r="F512">
        <v>31.7</v>
      </c>
      <c r="G512">
        <v>32.04</v>
      </c>
      <c r="H512">
        <v>24.56</v>
      </c>
      <c r="I512">
        <v>37.25</v>
      </c>
      <c r="J512">
        <v>75.75</v>
      </c>
      <c r="K512">
        <v>13.79</v>
      </c>
      <c r="L512">
        <v>13.26</v>
      </c>
      <c r="M512">
        <v>12.32</v>
      </c>
      <c r="N512">
        <v>8.2100000000000009</v>
      </c>
      <c r="O512">
        <v>23.93</v>
      </c>
      <c r="P512">
        <v>21.05</v>
      </c>
      <c r="Q512">
        <v>50.15</v>
      </c>
      <c r="R512">
        <v>35.21</v>
      </c>
      <c r="S512">
        <v>34.6</v>
      </c>
      <c r="T512">
        <v>44.76</v>
      </c>
      <c r="U512">
        <v>55.55</v>
      </c>
      <c r="V512" s="6">
        <v>25.86</v>
      </c>
    </row>
    <row r="513" spans="1:22" x14ac:dyDescent="0.2">
      <c r="A513" s="4">
        <v>45310</v>
      </c>
      <c r="B513" s="3">
        <v>105.5</v>
      </c>
      <c r="C513">
        <v>58.66</v>
      </c>
      <c r="D513">
        <v>30.09</v>
      </c>
      <c r="E513">
        <v>26.3</v>
      </c>
      <c r="F513">
        <v>31.67</v>
      </c>
      <c r="G513">
        <v>32.369999999999997</v>
      </c>
      <c r="H513">
        <v>24.82</v>
      </c>
      <c r="I513">
        <v>37.86</v>
      </c>
      <c r="J513">
        <v>76</v>
      </c>
      <c r="K513">
        <v>13.76</v>
      </c>
      <c r="L513">
        <v>13.2</v>
      </c>
      <c r="M513">
        <v>12.33</v>
      </c>
      <c r="N513">
        <v>8.25</v>
      </c>
      <c r="O513">
        <v>23.75</v>
      </c>
      <c r="P513">
        <v>21.31</v>
      </c>
      <c r="Q513">
        <v>50.41</v>
      </c>
      <c r="R513">
        <v>35.47</v>
      </c>
      <c r="S513">
        <v>34.369999999999997</v>
      </c>
      <c r="T513">
        <v>44.61</v>
      </c>
      <c r="U513">
        <v>56.24</v>
      </c>
      <c r="V513" s="6">
        <v>25.74</v>
      </c>
    </row>
    <row r="514" spans="1:22" x14ac:dyDescent="0.2">
      <c r="A514" s="4">
        <v>45313</v>
      </c>
      <c r="B514" s="3">
        <v>106.59</v>
      </c>
      <c r="C514">
        <v>58.4</v>
      </c>
      <c r="D514">
        <v>30.23</v>
      </c>
      <c r="E514">
        <v>25.87</v>
      </c>
      <c r="F514">
        <v>31.75</v>
      </c>
      <c r="G514">
        <v>32.270000000000003</v>
      </c>
      <c r="H514">
        <v>24.65</v>
      </c>
      <c r="I514">
        <v>37.020000000000003</v>
      </c>
      <c r="J514">
        <v>76.17</v>
      </c>
      <c r="K514">
        <v>13.6</v>
      </c>
      <c r="L514">
        <v>12.91</v>
      </c>
      <c r="M514">
        <v>12.34</v>
      </c>
      <c r="N514">
        <v>8.15</v>
      </c>
      <c r="O514">
        <v>23.7</v>
      </c>
      <c r="P514">
        <v>21.73</v>
      </c>
      <c r="Q514">
        <v>50.28</v>
      </c>
      <c r="R514">
        <v>35.51</v>
      </c>
      <c r="S514">
        <v>33.99</v>
      </c>
      <c r="T514">
        <v>44.16</v>
      </c>
      <c r="U514">
        <v>54.95</v>
      </c>
      <c r="V514" s="6">
        <v>25.56</v>
      </c>
    </row>
    <row r="515" spans="1:22" x14ac:dyDescent="0.2">
      <c r="A515" s="4">
        <v>45314</v>
      </c>
      <c r="B515" s="3">
        <v>106.46</v>
      </c>
      <c r="C515">
        <v>59.61</v>
      </c>
      <c r="D515">
        <v>30.6</v>
      </c>
      <c r="E515">
        <v>25.99</v>
      </c>
      <c r="F515">
        <v>32.21</v>
      </c>
      <c r="G515">
        <v>32.65</v>
      </c>
      <c r="H515">
        <v>25.09</v>
      </c>
      <c r="I515">
        <v>37.24</v>
      </c>
      <c r="J515">
        <v>77.260000000000005</v>
      </c>
      <c r="K515">
        <v>13.53</v>
      </c>
      <c r="L515">
        <v>13.15</v>
      </c>
      <c r="M515">
        <v>12.35</v>
      </c>
      <c r="N515">
        <v>8.26</v>
      </c>
      <c r="O515">
        <v>24.28</v>
      </c>
      <c r="P515">
        <v>22.48</v>
      </c>
      <c r="Q515">
        <v>50.7</v>
      </c>
      <c r="R515">
        <v>35.89</v>
      </c>
      <c r="S515">
        <v>34.11</v>
      </c>
      <c r="T515">
        <v>44.33</v>
      </c>
      <c r="U515">
        <v>55.42</v>
      </c>
      <c r="V515" s="6">
        <v>26.2</v>
      </c>
    </row>
    <row r="516" spans="1:22" x14ac:dyDescent="0.2">
      <c r="A516" s="4">
        <v>45315</v>
      </c>
      <c r="B516" s="3">
        <v>106.65</v>
      </c>
      <c r="C516">
        <v>60.21</v>
      </c>
      <c r="D516">
        <v>30.37</v>
      </c>
      <c r="E516">
        <v>25.87</v>
      </c>
      <c r="F516">
        <v>31.91</v>
      </c>
      <c r="G516">
        <v>32.36</v>
      </c>
      <c r="H516">
        <v>25.14</v>
      </c>
      <c r="I516">
        <v>37.28</v>
      </c>
      <c r="J516">
        <v>76.400000000000006</v>
      </c>
      <c r="K516">
        <v>13.48</v>
      </c>
      <c r="L516">
        <v>13.05</v>
      </c>
      <c r="M516">
        <v>12.19</v>
      </c>
      <c r="N516">
        <v>8.19</v>
      </c>
      <c r="O516">
        <v>24.17</v>
      </c>
      <c r="P516">
        <v>22.71</v>
      </c>
      <c r="Q516">
        <v>50.48</v>
      </c>
      <c r="R516">
        <v>36.01</v>
      </c>
      <c r="S516">
        <v>34.03</v>
      </c>
      <c r="T516">
        <v>44.6</v>
      </c>
      <c r="U516">
        <v>54.87</v>
      </c>
      <c r="V516" s="6">
        <v>26.44</v>
      </c>
    </row>
    <row r="517" spans="1:22" x14ac:dyDescent="0.2">
      <c r="A517" s="4">
        <v>45316</v>
      </c>
      <c r="B517" s="3">
        <v>107.54</v>
      </c>
      <c r="C517">
        <v>58.88</v>
      </c>
      <c r="D517">
        <v>31.49</v>
      </c>
      <c r="E517">
        <v>25.82</v>
      </c>
      <c r="F517">
        <v>33.39</v>
      </c>
      <c r="G517">
        <v>32.14</v>
      </c>
      <c r="H517">
        <v>25.11</v>
      </c>
      <c r="I517">
        <v>37.33</v>
      </c>
      <c r="J517">
        <v>77.09</v>
      </c>
      <c r="K517">
        <v>13.52</v>
      </c>
      <c r="L517">
        <v>12.86</v>
      </c>
      <c r="M517">
        <v>12.19</v>
      </c>
      <c r="N517">
        <v>8.17</v>
      </c>
      <c r="O517">
        <v>24.2</v>
      </c>
      <c r="P517">
        <v>22.7</v>
      </c>
      <c r="Q517">
        <v>50.46</v>
      </c>
      <c r="R517">
        <v>35.65</v>
      </c>
      <c r="S517">
        <v>34.85</v>
      </c>
      <c r="T517">
        <v>44.8</v>
      </c>
      <c r="U517">
        <v>54.62</v>
      </c>
      <c r="V517" s="6">
        <v>26.24</v>
      </c>
    </row>
    <row r="518" spans="1:22" x14ac:dyDescent="0.2">
      <c r="A518" s="4">
        <v>45317</v>
      </c>
      <c r="B518" s="3">
        <v>106.78</v>
      </c>
      <c r="C518">
        <v>59.86</v>
      </c>
      <c r="D518">
        <v>32.04</v>
      </c>
      <c r="E518">
        <v>26.2</v>
      </c>
      <c r="F518">
        <v>34.119999999999997</v>
      </c>
      <c r="G518">
        <v>32.07</v>
      </c>
      <c r="H518">
        <v>25.28</v>
      </c>
      <c r="I518">
        <v>37.090000000000003</v>
      </c>
      <c r="J518">
        <v>77.040000000000006</v>
      </c>
      <c r="K518">
        <v>13.66</v>
      </c>
      <c r="L518">
        <v>12.66</v>
      </c>
      <c r="M518">
        <v>12.19</v>
      </c>
      <c r="N518">
        <v>8.23</v>
      </c>
      <c r="O518">
        <v>24.34</v>
      </c>
      <c r="P518">
        <v>22.38</v>
      </c>
      <c r="Q518">
        <v>51.49</v>
      </c>
      <c r="R518">
        <v>35.69</v>
      </c>
      <c r="S518">
        <v>35.32</v>
      </c>
      <c r="T518">
        <v>45.69</v>
      </c>
      <c r="U518">
        <v>52.63</v>
      </c>
      <c r="V518" s="6">
        <v>26.61</v>
      </c>
    </row>
    <row r="519" spans="1:22" x14ac:dyDescent="0.2">
      <c r="A519" s="4">
        <v>45320</v>
      </c>
      <c r="B519" s="3">
        <v>106.29</v>
      </c>
      <c r="C519">
        <v>59.58</v>
      </c>
      <c r="D519">
        <v>32.53</v>
      </c>
      <c r="E519">
        <v>26.06</v>
      </c>
      <c r="F519">
        <v>34.450000000000003</v>
      </c>
      <c r="G519">
        <v>32.14</v>
      </c>
      <c r="H519">
        <v>25.08</v>
      </c>
      <c r="I519">
        <v>37.1</v>
      </c>
      <c r="J519">
        <v>77.59</v>
      </c>
      <c r="K519">
        <v>13.53</v>
      </c>
      <c r="L519">
        <v>12.65</v>
      </c>
      <c r="M519">
        <v>12.24</v>
      </c>
      <c r="N519">
        <v>8.16</v>
      </c>
      <c r="O519">
        <v>23.76</v>
      </c>
      <c r="P519">
        <v>22.3</v>
      </c>
      <c r="Q519">
        <v>49.44</v>
      </c>
      <c r="R519">
        <v>35.32</v>
      </c>
      <c r="S519">
        <v>35.19</v>
      </c>
      <c r="T519">
        <v>44.76</v>
      </c>
      <c r="U519">
        <v>51.89</v>
      </c>
      <c r="V519" s="6">
        <v>26.2</v>
      </c>
    </row>
    <row r="520" spans="1:22" x14ac:dyDescent="0.2">
      <c r="A520" s="4">
        <v>45321</v>
      </c>
      <c r="B520" s="3">
        <v>107.1</v>
      </c>
      <c r="C520">
        <v>59.24</v>
      </c>
      <c r="D520">
        <v>32.33</v>
      </c>
      <c r="E520">
        <v>25.9</v>
      </c>
      <c r="F520">
        <v>34.29</v>
      </c>
      <c r="G520">
        <v>31.89</v>
      </c>
      <c r="H520">
        <v>24.95</v>
      </c>
      <c r="I520">
        <v>36.5</v>
      </c>
      <c r="J520">
        <v>78.17</v>
      </c>
      <c r="K520">
        <v>13.44</v>
      </c>
      <c r="L520">
        <v>12.45</v>
      </c>
      <c r="M520">
        <v>12.05</v>
      </c>
      <c r="N520">
        <v>8.1300000000000008</v>
      </c>
      <c r="O520">
        <v>23.53</v>
      </c>
      <c r="P520">
        <v>22.85</v>
      </c>
      <c r="Q520">
        <v>50.7</v>
      </c>
      <c r="R520">
        <v>34.590000000000003</v>
      </c>
      <c r="S520">
        <v>34.57</v>
      </c>
      <c r="T520">
        <v>44.09</v>
      </c>
      <c r="U520">
        <v>51</v>
      </c>
      <c r="V520" s="6">
        <v>25.64</v>
      </c>
    </row>
    <row r="521" spans="1:22" x14ac:dyDescent="0.2">
      <c r="A521" s="4">
        <v>45322</v>
      </c>
      <c r="B521" s="3">
        <v>106.74</v>
      </c>
      <c r="C521">
        <v>58.37</v>
      </c>
      <c r="D521">
        <v>32.43</v>
      </c>
      <c r="E521">
        <v>26.18</v>
      </c>
      <c r="F521">
        <v>34.29</v>
      </c>
      <c r="G521">
        <v>31.26</v>
      </c>
      <c r="H521">
        <v>25.05</v>
      </c>
      <c r="I521">
        <v>37.04</v>
      </c>
      <c r="J521">
        <v>78.86</v>
      </c>
      <c r="K521">
        <v>13.51</v>
      </c>
      <c r="L521">
        <v>12.53</v>
      </c>
      <c r="M521">
        <v>12.08</v>
      </c>
      <c r="N521">
        <v>8.2200000000000006</v>
      </c>
      <c r="O521">
        <v>23.43</v>
      </c>
      <c r="P521">
        <v>22.76</v>
      </c>
      <c r="Q521">
        <v>50.23</v>
      </c>
      <c r="R521">
        <v>34.700000000000003</v>
      </c>
      <c r="S521">
        <v>35.43</v>
      </c>
      <c r="T521">
        <v>43.93</v>
      </c>
      <c r="U521">
        <v>50.65</v>
      </c>
      <c r="V521" s="6">
        <v>26.22</v>
      </c>
    </row>
    <row r="522" spans="1:22" x14ac:dyDescent="0.2">
      <c r="A522" s="4">
        <v>45323</v>
      </c>
      <c r="B522" s="3">
        <v>106.12</v>
      </c>
      <c r="C522">
        <v>58.1</v>
      </c>
      <c r="D522">
        <v>33.33</v>
      </c>
      <c r="E522">
        <v>26.12</v>
      </c>
      <c r="F522">
        <v>34.94</v>
      </c>
      <c r="G522">
        <v>31.54</v>
      </c>
      <c r="H522">
        <v>25.63</v>
      </c>
      <c r="I522">
        <v>37.76</v>
      </c>
      <c r="J522">
        <v>78.849999999999994</v>
      </c>
      <c r="K522">
        <v>13.48</v>
      </c>
      <c r="L522">
        <v>12.73</v>
      </c>
      <c r="M522">
        <v>12.07</v>
      </c>
      <c r="N522">
        <v>8.2100000000000009</v>
      </c>
      <c r="O522">
        <v>23.1</v>
      </c>
      <c r="P522">
        <v>22.45</v>
      </c>
      <c r="Q522">
        <v>49.73</v>
      </c>
      <c r="R522">
        <v>35.340000000000003</v>
      </c>
      <c r="S522">
        <v>35.83</v>
      </c>
      <c r="T522">
        <v>43.15</v>
      </c>
      <c r="U522">
        <v>50.99</v>
      </c>
      <c r="V522" s="6">
        <v>25.84</v>
      </c>
    </row>
    <row r="523" spans="1:22" x14ac:dyDescent="0.2">
      <c r="A523" s="4">
        <v>45324</v>
      </c>
      <c r="B523" s="3">
        <v>106.45</v>
      </c>
      <c r="C523">
        <v>56.92</v>
      </c>
      <c r="D523">
        <v>32.9</v>
      </c>
      <c r="E523">
        <v>26.16</v>
      </c>
      <c r="F523">
        <v>34.42</v>
      </c>
      <c r="G523">
        <v>31.51</v>
      </c>
      <c r="H523">
        <v>25.62</v>
      </c>
      <c r="I523">
        <v>36.9</v>
      </c>
      <c r="J523">
        <v>78.739999999999995</v>
      </c>
      <c r="K523">
        <v>13.49</v>
      </c>
      <c r="L523">
        <v>12.61</v>
      </c>
      <c r="M523">
        <v>12.07</v>
      </c>
      <c r="N523">
        <v>8.1999999999999993</v>
      </c>
      <c r="O523">
        <v>23</v>
      </c>
      <c r="P523">
        <v>22.42</v>
      </c>
      <c r="Q523">
        <v>49.96</v>
      </c>
      <c r="R523">
        <v>35.33</v>
      </c>
      <c r="S523">
        <v>35.33</v>
      </c>
      <c r="T523">
        <v>42.45</v>
      </c>
      <c r="U523">
        <v>50.13</v>
      </c>
      <c r="V523" s="6">
        <v>25.76</v>
      </c>
    </row>
    <row r="524" spans="1:22" x14ac:dyDescent="0.2">
      <c r="A524" s="4">
        <v>45327</v>
      </c>
      <c r="B524" s="3">
        <v>108.54</v>
      </c>
      <c r="C524">
        <v>56.43</v>
      </c>
      <c r="D524">
        <v>33.04</v>
      </c>
      <c r="E524">
        <v>26.65</v>
      </c>
      <c r="F524">
        <v>34.42</v>
      </c>
      <c r="G524">
        <v>32.15</v>
      </c>
      <c r="H524">
        <v>25.89</v>
      </c>
      <c r="I524">
        <v>37.06</v>
      </c>
      <c r="J524">
        <v>79.25</v>
      </c>
      <c r="K524">
        <v>13.77</v>
      </c>
      <c r="L524">
        <v>12.51</v>
      </c>
      <c r="M524">
        <v>12.09</v>
      </c>
      <c r="N524">
        <v>8.34</v>
      </c>
      <c r="O524">
        <v>23.46</v>
      </c>
      <c r="P524">
        <v>22.68</v>
      </c>
      <c r="Q524">
        <v>50.36</v>
      </c>
      <c r="R524">
        <v>35.630000000000003</v>
      </c>
      <c r="S524">
        <v>35.200000000000003</v>
      </c>
      <c r="T524">
        <v>42.05</v>
      </c>
      <c r="U524">
        <v>50.29</v>
      </c>
      <c r="V524" s="6">
        <v>25.89</v>
      </c>
    </row>
    <row r="525" spans="1:22" x14ac:dyDescent="0.2">
      <c r="A525" s="4">
        <v>45328</v>
      </c>
      <c r="B525" s="3">
        <v>108.39</v>
      </c>
      <c r="C525">
        <v>57.43</v>
      </c>
      <c r="D525">
        <v>33.35</v>
      </c>
      <c r="E525">
        <v>27.79</v>
      </c>
      <c r="F525">
        <v>34.94</v>
      </c>
      <c r="G525">
        <v>32.130000000000003</v>
      </c>
      <c r="H525">
        <v>26.45</v>
      </c>
      <c r="I525">
        <v>39.15</v>
      </c>
      <c r="J525">
        <v>80.31</v>
      </c>
      <c r="K525">
        <v>14.62</v>
      </c>
      <c r="L525">
        <v>12.65</v>
      </c>
      <c r="M525">
        <v>12.22</v>
      </c>
      <c r="N525">
        <v>8.67</v>
      </c>
      <c r="O525">
        <v>23.75</v>
      </c>
      <c r="P525">
        <v>21.81</v>
      </c>
      <c r="Q525">
        <v>52.27</v>
      </c>
      <c r="R525">
        <v>36.18</v>
      </c>
      <c r="S525">
        <v>35.799999999999997</v>
      </c>
      <c r="T525">
        <v>43.6</v>
      </c>
      <c r="U525">
        <v>49.31</v>
      </c>
      <c r="V525" s="6">
        <v>26.85</v>
      </c>
    </row>
    <row r="526" spans="1:22" x14ac:dyDescent="0.2">
      <c r="A526" s="4">
        <v>45329</v>
      </c>
      <c r="B526" s="3">
        <v>107.03</v>
      </c>
      <c r="C526">
        <v>57.54</v>
      </c>
      <c r="D526">
        <v>33.83</v>
      </c>
      <c r="E526">
        <v>27.59</v>
      </c>
      <c r="F526">
        <v>35.28</v>
      </c>
      <c r="G526">
        <v>32.51</v>
      </c>
      <c r="H526">
        <v>26.38</v>
      </c>
      <c r="I526">
        <v>39.200000000000003</v>
      </c>
      <c r="J526">
        <v>80.37</v>
      </c>
      <c r="K526">
        <v>12.3</v>
      </c>
      <c r="L526">
        <v>12.86</v>
      </c>
      <c r="M526">
        <v>12.01</v>
      </c>
      <c r="N526">
        <v>8.61</v>
      </c>
      <c r="O526">
        <v>23.53</v>
      </c>
      <c r="P526">
        <v>21.67</v>
      </c>
      <c r="Q526">
        <v>52.26</v>
      </c>
      <c r="R526">
        <v>36.979999999999997</v>
      </c>
      <c r="S526">
        <v>35.78</v>
      </c>
      <c r="T526">
        <v>43.97</v>
      </c>
      <c r="U526">
        <v>50.09</v>
      </c>
      <c r="V526" s="6">
        <v>27.02</v>
      </c>
    </row>
    <row r="527" spans="1:22" x14ac:dyDescent="0.2">
      <c r="A527" s="4">
        <v>45330</v>
      </c>
      <c r="B527" s="3">
        <v>106.79</v>
      </c>
      <c r="C527">
        <v>57.03</v>
      </c>
      <c r="D527">
        <v>33.56</v>
      </c>
      <c r="E527">
        <v>27.05</v>
      </c>
      <c r="F527">
        <v>35.159999999999997</v>
      </c>
      <c r="G527">
        <v>32.68</v>
      </c>
      <c r="H527">
        <v>25.98</v>
      </c>
      <c r="I527">
        <v>38.979999999999997</v>
      </c>
      <c r="J527">
        <v>78.97</v>
      </c>
      <c r="K527">
        <v>11.94</v>
      </c>
      <c r="L527">
        <v>12.6</v>
      </c>
      <c r="M527">
        <v>11.96</v>
      </c>
      <c r="N527">
        <v>8.49</v>
      </c>
      <c r="O527">
        <v>23</v>
      </c>
      <c r="P527">
        <v>21.9</v>
      </c>
      <c r="Q527">
        <v>52.01</v>
      </c>
      <c r="R527">
        <v>35.97</v>
      </c>
      <c r="S527">
        <v>34.24</v>
      </c>
      <c r="T527">
        <v>43.4</v>
      </c>
      <c r="U527">
        <v>49.27</v>
      </c>
      <c r="V527" s="6">
        <v>26.57</v>
      </c>
    </row>
    <row r="528" spans="1:22" x14ac:dyDescent="0.2">
      <c r="A528" s="4">
        <v>45331</v>
      </c>
      <c r="B528" s="3">
        <v>105.87</v>
      </c>
      <c r="C528">
        <v>56.78</v>
      </c>
      <c r="D528">
        <v>33.11</v>
      </c>
      <c r="E528">
        <v>27.39</v>
      </c>
      <c r="F528">
        <v>34.76</v>
      </c>
      <c r="G528">
        <v>32.26</v>
      </c>
      <c r="H528">
        <v>25.55</v>
      </c>
      <c r="I528">
        <v>39.61</v>
      </c>
      <c r="J528">
        <v>79.790000000000006</v>
      </c>
      <c r="K528">
        <v>11.86</v>
      </c>
      <c r="L528">
        <v>12.68</v>
      </c>
      <c r="M528">
        <v>11.96</v>
      </c>
      <c r="N528">
        <v>8.52</v>
      </c>
      <c r="O528">
        <v>22.45</v>
      </c>
      <c r="P528">
        <v>22.54</v>
      </c>
      <c r="Q528">
        <v>51.29</v>
      </c>
      <c r="R528">
        <v>36.200000000000003</v>
      </c>
      <c r="S528">
        <v>34.090000000000003</v>
      </c>
      <c r="T528">
        <v>42.36</v>
      </c>
      <c r="U528">
        <v>49.13</v>
      </c>
      <c r="V528" s="6">
        <v>26.85</v>
      </c>
    </row>
    <row r="529" spans="1:22" x14ac:dyDescent="0.2">
      <c r="A529" s="4">
        <v>45336</v>
      </c>
      <c r="B529" s="3">
        <v>106.65</v>
      </c>
      <c r="C529">
        <v>56.61</v>
      </c>
      <c r="D529">
        <v>32.86</v>
      </c>
      <c r="E529">
        <v>27.39</v>
      </c>
      <c r="F529">
        <v>34.409999999999997</v>
      </c>
      <c r="G529">
        <v>32.409999999999997</v>
      </c>
      <c r="H529">
        <v>25.9</v>
      </c>
      <c r="I529">
        <v>39.020000000000003</v>
      </c>
      <c r="J529">
        <v>78.989999999999995</v>
      </c>
      <c r="K529">
        <v>11.78</v>
      </c>
      <c r="L529">
        <v>12.31</v>
      </c>
      <c r="M529">
        <v>11.94</v>
      </c>
      <c r="N529">
        <v>8.52</v>
      </c>
      <c r="O529">
        <v>22.54</v>
      </c>
      <c r="P529">
        <v>22.79</v>
      </c>
      <c r="Q529">
        <v>50.85</v>
      </c>
      <c r="R529">
        <v>35.67</v>
      </c>
      <c r="S529">
        <v>33.590000000000003</v>
      </c>
      <c r="T529">
        <v>42.55</v>
      </c>
      <c r="U529">
        <v>48.67</v>
      </c>
      <c r="V529" s="6">
        <v>25.45</v>
      </c>
    </row>
    <row r="530" spans="1:22" x14ac:dyDescent="0.2">
      <c r="A530" s="4">
        <v>45337</v>
      </c>
      <c r="B530" s="3">
        <v>107.59</v>
      </c>
      <c r="C530">
        <v>56.43</v>
      </c>
      <c r="D530">
        <v>33.92</v>
      </c>
      <c r="E530">
        <v>27.63</v>
      </c>
      <c r="F530">
        <v>35.380000000000003</v>
      </c>
      <c r="G530">
        <v>32.11</v>
      </c>
      <c r="H530">
        <v>25.9</v>
      </c>
      <c r="I530">
        <v>38.92</v>
      </c>
      <c r="J530">
        <v>80.69</v>
      </c>
      <c r="K530">
        <v>11.83</v>
      </c>
      <c r="L530">
        <v>12.15</v>
      </c>
      <c r="M530">
        <v>11.87</v>
      </c>
      <c r="N530">
        <v>8.56</v>
      </c>
      <c r="O530">
        <v>22.52</v>
      </c>
      <c r="P530">
        <v>22.68</v>
      </c>
      <c r="Q530">
        <v>50.93</v>
      </c>
      <c r="R530">
        <v>35.380000000000003</v>
      </c>
      <c r="S530">
        <v>34.22</v>
      </c>
      <c r="T530">
        <v>44.57</v>
      </c>
      <c r="U530">
        <v>48.79</v>
      </c>
      <c r="V530" s="6">
        <v>25.63</v>
      </c>
    </row>
    <row r="531" spans="1:22" x14ac:dyDescent="0.2">
      <c r="A531" s="4">
        <v>45338</v>
      </c>
      <c r="B531" s="3">
        <v>107.48</v>
      </c>
      <c r="C531">
        <v>58.3</v>
      </c>
      <c r="D531">
        <v>34.229999999999997</v>
      </c>
      <c r="E531">
        <v>27.59</v>
      </c>
      <c r="F531">
        <v>36.03</v>
      </c>
      <c r="G531">
        <v>32.29</v>
      </c>
      <c r="H531">
        <v>25.68</v>
      </c>
      <c r="I531">
        <v>38.58</v>
      </c>
      <c r="J531">
        <v>81.44</v>
      </c>
      <c r="K531">
        <v>11.87</v>
      </c>
      <c r="L531">
        <v>12.19</v>
      </c>
      <c r="M531">
        <v>11.79</v>
      </c>
      <c r="N531">
        <v>8.6</v>
      </c>
      <c r="O531">
        <v>22.45</v>
      </c>
      <c r="P531">
        <v>22.49</v>
      </c>
      <c r="Q531">
        <v>51.63</v>
      </c>
      <c r="R531">
        <v>35.090000000000003</v>
      </c>
      <c r="S531">
        <v>33.9</v>
      </c>
      <c r="T531">
        <v>45.4</v>
      </c>
      <c r="U531">
        <v>48.53</v>
      </c>
      <c r="V531" s="6">
        <v>25.51</v>
      </c>
    </row>
    <row r="532" spans="1:22" x14ac:dyDescent="0.2">
      <c r="A532" s="4">
        <v>45341</v>
      </c>
      <c r="B532" s="3">
        <v>108.24</v>
      </c>
      <c r="C532">
        <v>58.13</v>
      </c>
      <c r="D532">
        <v>34.4</v>
      </c>
      <c r="E532">
        <v>27.9</v>
      </c>
      <c r="F532">
        <v>36.18</v>
      </c>
      <c r="G532">
        <v>32.380000000000003</v>
      </c>
      <c r="H532">
        <v>26.15</v>
      </c>
      <c r="I532">
        <v>38.89</v>
      </c>
      <c r="J532">
        <v>81.88</v>
      </c>
      <c r="K532">
        <v>12.02</v>
      </c>
      <c r="L532">
        <v>12.15</v>
      </c>
      <c r="M532">
        <v>11.83</v>
      </c>
      <c r="N532">
        <v>8.66</v>
      </c>
      <c r="O532">
        <v>22.21</v>
      </c>
      <c r="P532">
        <v>22.66</v>
      </c>
      <c r="Q532">
        <v>51.62</v>
      </c>
      <c r="R532">
        <v>35.54</v>
      </c>
      <c r="S532">
        <v>33.99</v>
      </c>
      <c r="T532">
        <v>45.89</v>
      </c>
      <c r="U532">
        <v>49.19</v>
      </c>
      <c r="V532" s="6">
        <v>24.45</v>
      </c>
    </row>
    <row r="533" spans="1:22" x14ac:dyDescent="0.2">
      <c r="A533" s="4">
        <v>45342</v>
      </c>
      <c r="B533" s="3">
        <v>108.26</v>
      </c>
      <c r="C533">
        <v>56.86</v>
      </c>
      <c r="D533">
        <v>34.04</v>
      </c>
      <c r="E533">
        <v>28.51</v>
      </c>
      <c r="F533">
        <v>35.46</v>
      </c>
      <c r="G533">
        <v>33.130000000000003</v>
      </c>
      <c r="H533">
        <v>26.32</v>
      </c>
      <c r="I533">
        <v>40.36</v>
      </c>
      <c r="J533">
        <v>81.44</v>
      </c>
      <c r="K533">
        <v>12.31</v>
      </c>
      <c r="L533">
        <v>12.39</v>
      </c>
      <c r="M533">
        <v>11.87</v>
      </c>
      <c r="N533">
        <v>8.93</v>
      </c>
      <c r="O533">
        <v>22.22</v>
      </c>
      <c r="P533">
        <v>22.75</v>
      </c>
      <c r="Q533">
        <v>52.42</v>
      </c>
      <c r="R533">
        <v>35.950000000000003</v>
      </c>
      <c r="S533">
        <v>34.270000000000003</v>
      </c>
      <c r="T533">
        <v>46.12</v>
      </c>
      <c r="U533">
        <v>50.57</v>
      </c>
      <c r="V533" s="6">
        <v>24.94</v>
      </c>
    </row>
    <row r="534" spans="1:22" x14ac:dyDescent="0.2">
      <c r="A534" s="4">
        <v>45343</v>
      </c>
      <c r="B534" s="3">
        <v>108.46</v>
      </c>
      <c r="C534">
        <v>57.29</v>
      </c>
      <c r="D534">
        <v>34.08</v>
      </c>
      <c r="E534">
        <v>28.35</v>
      </c>
      <c r="F534">
        <v>35.549999999999997</v>
      </c>
      <c r="G534">
        <v>35.409999999999997</v>
      </c>
      <c r="H534">
        <v>26.38</v>
      </c>
      <c r="I534">
        <v>39.57</v>
      </c>
      <c r="J534">
        <v>79.69</v>
      </c>
      <c r="K534">
        <v>12.26</v>
      </c>
      <c r="L534">
        <v>12.27</v>
      </c>
      <c r="M534">
        <v>11.92</v>
      </c>
      <c r="N534">
        <v>8.81</v>
      </c>
      <c r="O534">
        <v>22.18</v>
      </c>
      <c r="P534">
        <v>22.48</v>
      </c>
      <c r="Q534">
        <v>53.79</v>
      </c>
      <c r="R534">
        <v>36.64</v>
      </c>
      <c r="S534">
        <v>33.700000000000003</v>
      </c>
      <c r="T534">
        <v>47</v>
      </c>
      <c r="U534">
        <v>50.49</v>
      </c>
      <c r="V534" s="6">
        <v>24.68</v>
      </c>
    </row>
    <row r="535" spans="1:22" x14ac:dyDescent="0.2">
      <c r="A535" s="4">
        <v>45344</v>
      </c>
      <c r="B535" s="3">
        <v>107.96</v>
      </c>
      <c r="C535">
        <v>57.9</v>
      </c>
      <c r="D535">
        <v>33.83</v>
      </c>
      <c r="E535">
        <v>28.18</v>
      </c>
      <c r="F535">
        <v>35.57</v>
      </c>
      <c r="G535">
        <v>34.29</v>
      </c>
      <c r="H535">
        <v>26.12</v>
      </c>
      <c r="I535">
        <v>39.479999999999997</v>
      </c>
      <c r="J535">
        <v>80.78</v>
      </c>
      <c r="K535">
        <v>12.33</v>
      </c>
      <c r="L535">
        <v>12.11</v>
      </c>
      <c r="M535">
        <v>11.97</v>
      </c>
      <c r="N535">
        <v>8.84</v>
      </c>
      <c r="O535">
        <v>21.61</v>
      </c>
      <c r="P535">
        <v>22.75</v>
      </c>
      <c r="Q535">
        <v>54.24</v>
      </c>
      <c r="R535">
        <v>36.44</v>
      </c>
      <c r="S535">
        <v>33.49</v>
      </c>
      <c r="T535">
        <v>46.95</v>
      </c>
      <c r="U535">
        <v>50.08</v>
      </c>
      <c r="V535" s="6">
        <v>24.67</v>
      </c>
    </row>
    <row r="536" spans="1:22" x14ac:dyDescent="0.2">
      <c r="A536" s="4">
        <v>45345</v>
      </c>
      <c r="B536" s="3">
        <v>108.29</v>
      </c>
      <c r="C536">
        <v>58.04</v>
      </c>
      <c r="D536">
        <v>33.590000000000003</v>
      </c>
      <c r="E536">
        <v>28.27</v>
      </c>
      <c r="F536">
        <v>35.47</v>
      </c>
      <c r="G536">
        <v>34.78</v>
      </c>
      <c r="H536">
        <v>25.79</v>
      </c>
      <c r="I536">
        <v>39.159999999999997</v>
      </c>
      <c r="J536">
        <v>80.19</v>
      </c>
      <c r="K536">
        <v>12.17</v>
      </c>
      <c r="L536">
        <v>11.92</v>
      </c>
      <c r="M536">
        <v>11.91</v>
      </c>
      <c r="N536">
        <v>8.73</v>
      </c>
      <c r="O536">
        <v>21.25</v>
      </c>
      <c r="P536">
        <v>22.71</v>
      </c>
      <c r="Q536">
        <v>53.79</v>
      </c>
      <c r="R536">
        <v>35.6</v>
      </c>
      <c r="S536">
        <v>33.6</v>
      </c>
      <c r="T536">
        <v>45.8</v>
      </c>
      <c r="U536">
        <v>49.78</v>
      </c>
      <c r="V536" s="6">
        <v>24.24</v>
      </c>
    </row>
    <row r="537" spans="1:22" x14ac:dyDescent="0.2">
      <c r="A537" s="4">
        <v>45348</v>
      </c>
      <c r="B537" s="3">
        <v>109.7</v>
      </c>
      <c r="C537">
        <v>56.63</v>
      </c>
      <c r="D537">
        <v>34.229999999999997</v>
      </c>
      <c r="E537">
        <v>28.35</v>
      </c>
      <c r="F537">
        <v>35.85</v>
      </c>
      <c r="G537">
        <v>35.65</v>
      </c>
      <c r="H537">
        <v>26.04</v>
      </c>
      <c r="I537">
        <v>39.21</v>
      </c>
      <c r="J537">
        <v>80.260000000000005</v>
      </c>
      <c r="K537">
        <v>12.16</v>
      </c>
      <c r="L537">
        <v>11.95</v>
      </c>
      <c r="M537">
        <v>12.05</v>
      </c>
      <c r="N537">
        <v>8.7200000000000006</v>
      </c>
      <c r="O537">
        <v>22.14</v>
      </c>
      <c r="P537">
        <v>22.82</v>
      </c>
      <c r="Q537">
        <v>54.61</v>
      </c>
      <c r="R537">
        <v>35.6</v>
      </c>
      <c r="S537">
        <v>33.57</v>
      </c>
      <c r="T537">
        <v>45.86</v>
      </c>
      <c r="U537">
        <v>48.75</v>
      </c>
      <c r="V537" s="6">
        <v>24.14</v>
      </c>
    </row>
    <row r="538" spans="1:22" x14ac:dyDescent="0.2">
      <c r="A538" s="4">
        <v>45349</v>
      </c>
      <c r="B538" s="3">
        <v>108.4</v>
      </c>
      <c r="C538">
        <v>58.12</v>
      </c>
      <c r="D538">
        <v>34.18</v>
      </c>
      <c r="E538">
        <v>28.7</v>
      </c>
      <c r="F538">
        <v>35.76</v>
      </c>
      <c r="G538">
        <v>36.03</v>
      </c>
      <c r="H538">
        <v>26.36</v>
      </c>
      <c r="I538">
        <v>40.049999999999997</v>
      </c>
      <c r="J538">
        <v>79.64</v>
      </c>
      <c r="K538">
        <v>12.35</v>
      </c>
      <c r="L538">
        <v>12.21</v>
      </c>
      <c r="M538">
        <v>12.3</v>
      </c>
      <c r="N538">
        <v>8.8800000000000008</v>
      </c>
      <c r="O538">
        <v>22.9</v>
      </c>
      <c r="P538">
        <v>23.43</v>
      </c>
      <c r="Q538">
        <v>55.29</v>
      </c>
      <c r="R538">
        <v>35.22</v>
      </c>
      <c r="S538">
        <v>34</v>
      </c>
      <c r="T538">
        <v>45.4</v>
      </c>
      <c r="U538">
        <v>51.01</v>
      </c>
      <c r="V538" s="6">
        <v>25.14</v>
      </c>
    </row>
    <row r="539" spans="1:22" x14ac:dyDescent="0.2">
      <c r="A539" s="4">
        <v>45350</v>
      </c>
      <c r="B539" s="3">
        <v>107.45</v>
      </c>
      <c r="C539">
        <v>57.49</v>
      </c>
      <c r="D539">
        <v>32.42</v>
      </c>
      <c r="E539">
        <v>28.71</v>
      </c>
      <c r="F539">
        <v>33.83</v>
      </c>
      <c r="G539">
        <v>35.979999999999997</v>
      </c>
      <c r="H539">
        <v>26.41</v>
      </c>
      <c r="I539">
        <v>39.86</v>
      </c>
      <c r="J539">
        <v>79.55</v>
      </c>
      <c r="K539">
        <v>12.3</v>
      </c>
      <c r="L539">
        <v>12.11</v>
      </c>
      <c r="M539">
        <v>12.43</v>
      </c>
      <c r="N539">
        <v>8.91</v>
      </c>
      <c r="O539">
        <v>22.45</v>
      </c>
      <c r="P539">
        <v>23.92</v>
      </c>
      <c r="Q539">
        <v>55.84</v>
      </c>
      <c r="R539">
        <v>35.06</v>
      </c>
      <c r="S539">
        <v>34.200000000000003</v>
      </c>
      <c r="T539">
        <v>44.5</v>
      </c>
      <c r="U539">
        <v>50.41</v>
      </c>
      <c r="V539" s="6">
        <v>24.41</v>
      </c>
    </row>
    <row r="540" spans="1:22" x14ac:dyDescent="0.2">
      <c r="A540" s="4">
        <v>45351</v>
      </c>
      <c r="B540" s="3">
        <v>107.7</v>
      </c>
      <c r="C540">
        <v>57.7</v>
      </c>
      <c r="D540">
        <v>32.18</v>
      </c>
      <c r="E540">
        <v>28</v>
      </c>
      <c r="F540">
        <v>33.520000000000003</v>
      </c>
      <c r="G540">
        <v>35.770000000000003</v>
      </c>
      <c r="H540">
        <v>26.01</v>
      </c>
      <c r="I540">
        <v>39.479999999999997</v>
      </c>
      <c r="J540">
        <v>79.16</v>
      </c>
      <c r="K540">
        <v>12.11</v>
      </c>
      <c r="L540">
        <v>12.35</v>
      </c>
      <c r="M540">
        <v>11.62</v>
      </c>
      <c r="N540">
        <v>8.7100000000000009</v>
      </c>
      <c r="O540">
        <v>23.06</v>
      </c>
      <c r="P540">
        <v>24.4</v>
      </c>
      <c r="Q540">
        <v>54.84</v>
      </c>
      <c r="R540">
        <v>35.06</v>
      </c>
      <c r="S540">
        <v>34.18</v>
      </c>
      <c r="T540">
        <v>43.71</v>
      </c>
      <c r="U540">
        <v>49.6</v>
      </c>
      <c r="V540" s="6">
        <v>24.45</v>
      </c>
    </row>
    <row r="541" spans="1:22" x14ac:dyDescent="0.2">
      <c r="A541" s="4">
        <v>45352</v>
      </c>
      <c r="B541" s="3">
        <v>106.99</v>
      </c>
      <c r="C541">
        <v>57.61</v>
      </c>
      <c r="D541">
        <v>32.22</v>
      </c>
      <c r="E541">
        <v>28.12</v>
      </c>
      <c r="F541">
        <v>33.51</v>
      </c>
      <c r="G541">
        <v>36.35</v>
      </c>
      <c r="H541">
        <v>26.04</v>
      </c>
      <c r="I541">
        <v>39.71</v>
      </c>
      <c r="J541">
        <v>79.67</v>
      </c>
      <c r="K541">
        <v>12.16</v>
      </c>
      <c r="L541">
        <v>11.96</v>
      </c>
      <c r="M541">
        <v>11.49</v>
      </c>
      <c r="N541">
        <v>8.73</v>
      </c>
      <c r="O541">
        <v>22.51</v>
      </c>
      <c r="P541">
        <v>25.85</v>
      </c>
      <c r="Q541">
        <v>55.95</v>
      </c>
      <c r="R541">
        <v>34.69</v>
      </c>
      <c r="S541">
        <v>33.85</v>
      </c>
      <c r="T541">
        <v>44.35</v>
      </c>
      <c r="U541">
        <v>49.13</v>
      </c>
      <c r="V541" s="6">
        <v>24.56</v>
      </c>
    </row>
    <row r="542" spans="1:22" x14ac:dyDescent="0.2">
      <c r="A542" s="4">
        <v>45355</v>
      </c>
      <c r="B542" s="3">
        <v>106.54</v>
      </c>
      <c r="C542">
        <v>57.48</v>
      </c>
      <c r="D542">
        <v>32.14</v>
      </c>
      <c r="E542">
        <v>27.91</v>
      </c>
      <c r="F542">
        <v>33.380000000000003</v>
      </c>
      <c r="G542">
        <v>36.200000000000003</v>
      </c>
      <c r="H542">
        <v>25.93</v>
      </c>
      <c r="I542">
        <v>39.57</v>
      </c>
      <c r="J542">
        <v>79.58</v>
      </c>
      <c r="K542">
        <v>12.04</v>
      </c>
      <c r="L542">
        <v>11.84</v>
      </c>
      <c r="M542">
        <v>11.53</v>
      </c>
      <c r="N542">
        <v>8.6999999999999993</v>
      </c>
      <c r="O542">
        <v>22.55</v>
      </c>
      <c r="P542">
        <v>26.97</v>
      </c>
      <c r="Q542">
        <v>56.88</v>
      </c>
      <c r="R542">
        <v>34.700000000000003</v>
      </c>
      <c r="S542">
        <v>33.71</v>
      </c>
      <c r="T542">
        <v>44.11</v>
      </c>
      <c r="U542">
        <v>47.89</v>
      </c>
      <c r="V542" s="6">
        <v>23.87</v>
      </c>
    </row>
    <row r="543" spans="1:22" x14ac:dyDescent="0.2">
      <c r="A543" s="4">
        <v>45356</v>
      </c>
      <c r="B543" s="3">
        <v>107.43</v>
      </c>
      <c r="C543">
        <v>56.72</v>
      </c>
      <c r="D543">
        <v>32.04</v>
      </c>
      <c r="E543">
        <v>27.88</v>
      </c>
      <c r="F543">
        <v>33.18</v>
      </c>
      <c r="G543">
        <v>36.49</v>
      </c>
      <c r="H543">
        <v>26.11</v>
      </c>
      <c r="I543">
        <v>39.57</v>
      </c>
      <c r="J543">
        <v>79.19</v>
      </c>
      <c r="K543">
        <v>12.1</v>
      </c>
      <c r="L543">
        <v>11.73</v>
      </c>
      <c r="M543">
        <v>11.78</v>
      </c>
      <c r="N543">
        <v>8.7100000000000009</v>
      </c>
      <c r="O543">
        <v>22.69</v>
      </c>
      <c r="P543">
        <v>26.77</v>
      </c>
      <c r="Q543">
        <v>57</v>
      </c>
      <c r="R543">
        <v>34.25</v>
      </c>
      <c r="S543">
        <v>33.74</v>
      </c>
      <c r="T543">
        <v>44.32</v>
      </c>
      <c r="U543">
        <v>47.56</v>
      </c>
      <c r="V543" s="6">
        <v>23.78</v>
      </c>
    </row>
    <row r="544" spans="1:22" x14ac:dyDescent="0.2">
      <c r="A544" s="4">
        <v>45357</v>
      </c>
      <c r="B544" s="3">
        <v>106.99</v>
      </c>
      <c r="C544">
        <v>57.5</v>
      </c>
      <c r="D544">
        <v>32.74</v>
      </c>
      <c r="E544">
        <v>28.19</v>
      </c>
      <c r="F544">
        <v>33.75</v>
      </c>
      <c r="G544">
        <v>36.19</v>
      </c>
      <c r="H544">
        <v>26.5</v>
      </c>
      <c r="I544">
        <v>39.78</v>
      </c>
      <c r="J544">
        <v>79.760000000000005</v>
      </c>
      <c r="K544">
        <v>12.19</v>
      </c>
      <c r="L544">
        <v>11.79</v>
      </c>
      <c r="M544">
        <v>11.72</v>
      </c>
      <c r="N544">
        <v>8.82</v>
      </c>
      <c r="O544">
        <v>21.45</v>
      </c>
      <c r="P544">
        <v>26.73</v>
      </c>
      <c r="Q544">
        <v>56.73</v>
      </c>
      <c r="R544">
        <v>34.39</v>
      </c>
      <c r="S544">
        <v>33.75</v>
      </c>
      <c r="T544">
        <v>43.64</v>
      </c>
      <c r="U544">
        <v>48.04</v>
      </c>
      <c r="V544" s="6">
        <v>24.08</v>
      </c>
    </row>
    <row r="545" spans="1:22" x14ac:dyDescent="0.2">
      <c r="A545" s="4">
        <v>45358</v>
      </c>
      <c r="B545" s="3">
        <v>105.69</v>
      </c>
      <c r="C545">
        <v>57.3</v>
      </c>
      <c r="D545">
        <v>32.380000000000003</v>
      </c>
      <c r="E545">
        <v>27.89</v>
      </c>
      <c r="F545">
        <v>33.549999999999997</v>
      </c>
      <c r="G545">
        <v>35.97</v>
      </c>
      <c r="H545">
        <v>26.24</v>
      </c>
      <c r="I545">
        <v>39.35</v>
      </c>
      <c r="J545">
        <v>79.69</v>
      </c>
      <c r="K545">
        <v>12.13</v>
      </c>
      <c r="L545">
        <v>11.86</v>
      </c>
      <c r="M545">
        <v>11.69</v>
      </c>
      <c r="N545">
        <v>8.75</v>
      </c>
      <c r="O545">
        <v>21.46</v>
      </c>
      <c r="P545">
        <v>26.41</v>
      </c>
      <c r="Q545">
        <v>57.24</v>
      </c>
      <c r="R545">
        <v>34.270000000000003</v>
      </c>
      <c r="S545">
        <v>33.69</v>
      </c>
      <c r="T545">
        <v>43.35</v>
      </c>
      <c r="U545">
        <v>49.76</v>
      </c>
      <c r="V545" s="6">
        <v>23.75</v>
      </c>
    </row>
    <row r="546" spans="1:22" x14ac:dyDescent="0.2">
      <c r="A546" s="4">
        <v>45359</v>
      </c>
      <c r="B546" s="3">
        <v>105.03</v>
      </c>
      <c r="C546">
        <v>56.86</v>
      </c>
      <c r="D546">
        <v>28.96</v>
      </c>
      <c r="E546">
        <v>28.15</v>
      </c>
      <c r="F546">
        <v>30.07</v>
      </c>
      <c r="G546">
        <v>35.99</v>
      </c>
      <c r="H546">
        <v>25.99</v>
      </c>
      <c r="I546">
        <v>39.49</v>
      </c>
      <c r="J546">
        <v>80.180000000000007</v>
      </c>
      <c r="K546">
        <v>12.2</v>
      </c>
      <c r="L546">
        <v>11.99</v>
      </c>
      <c r="M546">
        <v>11.86</v>
      </c>
      <c r="N546">
        <v>8.84</v>
      </c>
      <c r="O546">
        <v>21.68</v>
      </c>
      <c r="P546">
        <v>26.81</v>
      </c>
      <c r="Q546">
        <v>57.56</v>
      </c>
      <c r="R546">
        <v>34.33</v>
      </c>
      <c r="S546">
        <v>33.6</v>
      </c>
      <c r="T546">
        <v>44.7</v>
      </c>
      <c r="U546">
        <v>49.74</v>
      </c>
      <c r="V546" s="6">
        <v>24.23</v>
      </c>
    </row>
    <row r="547" spans="1:22" x14ac:dyDescent="0.2">
      <c r="A547" s="4">
        <v>45362</v>
      </c>
      <c r="B547" s="3">
        <v>106.56</v>
      </c>
      <c r="C547">
        <v>55.09</v>
      </c>
      <c r="D547">
        <v>28.58</v>
      </c>
      <c r="E547">
        <v>28.29</v>
      </c>
      <c r="F547">
        <v>29.5</v>
      </c>
      <c r="G547">
        <v>36.22</v>
      </c>
      <c r="H547">
        <v>25.73</v>
      </c>
      <c r="I547">
        <v>39.18</v>
      </c>
      <c r="J547">
        <v>78.099999999999994</v>
      </c>
      <c r="K547">
        <v>12.28</v>
      </c>
      <c r="L547">
        <v>12.11</v>
      </c>
      <c r="M547">
        <v>11.82</v>
      </c>
      <c r="N547">
        <v>8.85</v>
      </c>
      <c r="O547">
        <v>22.07</v>
      </c>
      <c r="P547">
        <v>26.6</v>
      </c>
      <c r="Q547">
        <v>57</v>
      </c>
      <c r="R547">
        <v>34.26</v>
      </c>
      <c r="S547">
        <v>33.35</v>
      </c>
      <c r="T547">
        <v>44.9</v>
      </c>
      <c r="U547">
        <v>48.95</v>
      </c>
      <c r="V547" s="6">
        <v>24.37</v>
      </c>
    </row>
    <row r="548" spans="1:22" x14ac:dyDescent="0.2">
      <c r="A548" s="4">
        <v>45363</v>
      </c>
      <c r="B548" s="3">
        <v>106.56</v>
      </c>
      <c r="C548">
        <v>54.75</v>
      </c>
      <c r="D548">
        <v>29.52</v>
      </c>
      <c r="E548">
        <v>28.4</v>
      </c>
      <c r="F548">
        <v>30.39</v>
      </c>
      <c r="G548">
        <v>36.659999999999997</v>
      </c>
      <c r="H548">
        <v>26.05</v>
      </c>
      <c r="I548">
        <v>39.72</v>
      </c>
      <c r="J548">
        <v>77.069999999999993</v>
      </c>
      <c r="K548">
        <v>12.43</v>
      </c>
      <c r="L548">
        <v>12.34</v>
      </c>
      <c r="M548">
        <v>11.86</v>
      </c>
      <c r="N548">
        <v>8.9600000000000009</v>
      </c>
      <c r="O548">
        <v>22.55</v>
      </c>
      <c r="P548">
        <v>26.45</v>
      </c>
      <c r="Q548">
        <v>57.52</v>
      </c>
      <c r="R548">
        <v>35.090000000000003</v>
      </c>
      <c r="S548">
        <v>33.35</v>
      </c>
      <c r="T548">
        <v>47.5</v>
      </c>
      <c r="U548">
        <v>50.16</v>
      </c>
      <c r="V548" s="6">
        <v>24.34</v>
      </c>
    </row>
    <row r="549" spans="1:22" x14ac:dyDescent="0.2">
      <c r="A549" s="4">
        <v>45364</v>
      </c>
      <c r="B549" s="3">
        <v>106.02</v>
      </c>
      <c r="C549">
        <v>55.1</v>
      </c>
      <c r="D549">
        <v>29.17</v>
      </c>
      <c r="E549">
        <v>28.68</v>
      </c>
      <c r="F549">
        <v>30.09</v>
      </c>
      <c r="G549">
        <v>37.06</v>
      </c>
      <c r="H549">
        <v>25.76</v>
      </c>
      <c r="I549">
        <v>39.380000000000003</v>
      </c>
      <c r="J549">
        <v>76.819999999999993</v>
      </c>
      <c r="K549">
        <v>12.56</v>
      </c>
      <c r="L549">
        <v>12.28</v>
      </c>
      <c r="M549">
        <v>11.78</v>
      </c>
      <c r="N549">
        <v>9.07</v>
      </c>
      <c r="O549">
        <v>23.26</v>
      </c>
      <c r="P549">
        <v>26.62</v>
      </c>
      <c r="Q549">
        <v>57.83</v>
      </c>
      <c r="R549">
        <v>36.03</v>
      </c>
      <c r="S549">
        <v>32.78</v>
      </c>
      <c r="T549">
        <v>48.92</v>
      </c>
      <c r="U549">
        <v>51.01</v>
      </c>
      <c r="V549" s="6">
        <v>24.5</v>
      </c>
    </row>
    <row r="550" spans="1:22" x14ac:dyDescent="0.2">
      <c r="A550" s="4">
        <v>45365</v>
      </c>
      <c r="B550" s="3">
        <v>105.45</v>
      </c>
      <c r="C550">
        <v>54.4</v>
      </c>
      <c r="D550">
        <v>29.04</v>
      </c>
      <c r="E550">
        <v>28.67</v>
      </c>
      <c r="F550">
        <v>29.89</v>
      </c>
      <c r="G550">
        <v>36.840000000000003</v>
      </c>
      <c r="H550">
        <v>25.65</v>
      </c>
      <c r="I550">
        <v>39.94</v>
      </c>
      <c r="J550">
        <v>76.489999999999995</v>
      </c>
      <c r="K550">
        <v>12.64</v>
      </c>
      <c r="L550">
        <v>12.04</v>
      </c>
      <c r="M550">
        <v>11.82</v>
      </c>
      <c r="N550">
        <v>9.07</v>
      </c>
      <c r="O550">
        <v>23.55</v>
      </c>
      <c r="P550">
        <v>29.34</v>
      </c>
      <c r="Q550">
        <v>57.9</v>
      </c>
      <c r="R550">
        <v>35.82</v>
      </c>
      <c r="S550">
        <v>32.950000000000003</v>
      </c>
      <c r="T550">
        <v>48.6</v>
      </c>
      <c r="U550">
        <v>50.46</v>
      </c>
      <c r="V550" s="6">
        <v>24.6</v>
      </c>
    </row>
    <row r="551" spans="1:22" x14ac:dyDescent="0.2">
      <c r="A551" s="4">
        <v>45366</v>
      </c>
      <c r="B551" s="3">
        <v>105.55</v>
      </c>
      <c r="C551">
        <v>53.78</v>
      </c>
      <c r="D551">
        <v>29.12</v>
      </c>
      <c r="E551">
        <v>28.51</v>
      </c>
      <c r="F551">
        <v>29.82</v>
      </c>
      <c r="G551">
        <v>37.04</v>
      </c>
      <c r="H551">
        <v>25.91</v>
      </c>
      <c r="I551">
        <v>39.03</v>
      </c>
      <c r="J551">
        <v>76.5</v>
      </c>
      <c r="K551">
        <v>12.44</v>
      </c>
      <c r="L551">
        <v>11.87</v>
      </c>
      <c r="M551">
        <v>11.67</v>
      </c>
      <c r="N551">
        <v>9.0299999999999994</v>
      </c>
      <c r="O551">
        <v>23.25</v>
      </c>
      <c r="P551">
        <v>29.07</v>
      </c>
      <c r="Q551">
        <v>59.17</v>
      </c>
      <c r="R551">
        <v>34.94</v>
      </c>
      <c r="S551">
        <v>33.450000000000003</v>
      </c>
      <c r="T551">
        <v>47.8</v>
      </c>
      <c r="U551">
        <v>49.41</v>
      </c>
      <c r="V551" s="6">
        <v>24.35</v>
      </c>
    </row>
    <row r="552" spans="1:22" x14ac:dyDescent="0.2">
      <c r="A552" s="4">
        <v>45369</v>
      </c>
      <c r="B552" s="3">
        <v>106.15</v>
      </c>
      <c r="C552">
        <v>54.8</v>
      </c>
      <c r="D552">
        <v>29.14</v>
      </c>
      <c r="E552">
        <v>28.63</v>
      </c>
      <c r="F552">
        <v>30.07</v>
      </c>
      <c r="G552">
        <v>37.04</v>
      </c>
      <c r="H552">
        <v>25.34</v>
      </c>
      <c r="I552">
        <v>37.619999999999997</v>
      </c>
      <c r="J552">
        <v>76.010000000000005</v>
      </c>
      <c r="K552">
        <v>12.52</v>
      </c>
      <c r="L552">
        <v>11.9</v>
      </c>
      <c r="M552">
        <v>11.67</v>
      </c>
      <c r="N552">
        <v>9.02</v>
      </c>
      <c r="O552">
        <v>23.14</v>
      </c>
      <c r="P552">
        <v>29.6</v>
      </c>
      <c r="Q552">
        <v>59.41</v>
      </c>
      <c r="R552">
        <v>34.64</v>
      </c>
      <c r="S552">
        <v>33.340000000000003</v>
      </c>
      <c r="T552">
        <v>47.76</v>
      </c>
      <c r="U552">
        <v>49.16</v>
      </c>
      <c r="V552" s="6">
        <v>25.2</v>
      </c>
    </row>
    <row r="553" spans="1:22" x14ac:dyDescent="0.2">
      <c r="A553" s="4">
        <v>45370</v>
      </c>
      <c r="B553" s="3">
        <v>107.41</v>
      </c>
      <c r="C553">
        <v>55.25</v>
      </c>
      <c r="D553">
        <v>28.92</v>
      </c>
      <c r="E553">
        <v>28.67</v>
      </c>
      <c r="F553">
        <v>29.74</v>
      </c>
      <c r="G553">
        <v>37.78</v>
      </c>
      <c r="H553">
        <v>25.25</v>
      </c>
      <c r="I553">
        <v>38.04</v>
      </c>
      <c r="J553">
        <v>77.38</v>
      </c>
      <c r="K553">
        <v>12.45</v>
      </c>
      <c r="L553">
        <v>11.85</v>
      </c>
      <c r="M553">
        <v>11.58</v>
      </c>
      <c r="N553">
        <v>8.9700000000000006</v>
      </c>
      <c r="O553">
        <v>23.19</v>
      </c>
      <c r="P553">
        <v>31.54</v>
      </c>
      <c r="Q553">
        <v>61.16</v>
      </c>
      <c r="R553">
        <v>35.07</v>
      </c>
      <c r="S553">
        <v>33.409999999999997</v>
      </c>
      <c r="T553">
        <v>49.21</v>
      </c>
      <c r="U553">
        <v>49.84</v>
      </c>
      <c r="V553" s="6">
        <v>25.26</v>
      </c>
    </row>
    <row r="554" spans="1:22" x14ac:dyDescent="0.2">
      <c r="A554" s="4">
        <v>45371</v>
      </c>
      <c r="B554" s="3">
        <v>106.88</v>
      </c>
      <c r="C554">
        <v>55.62</v>
      </c>
      <c r="D554">
        <v>29.43</v>
      </c>
      <c r="E554">
        <v>28.73</v>
      </c>
      <c r="F554">
        <v>30.36</v>
      </c>
      <c r="G554">
        <v>37.85</v>
      </c>
      <c r="H554">
        <v>25.52</v>
      </c>
      <c r="I554">
        <v>38.549999999999997</v>
      </c>
      <c r="J554">
        <v>78.45</v>
      </c>
      <c r="K554">
        <v>12.61</v>
      </c>
      <c r="L554">
        <v>12.27</v>
      </c>
      <c r="M554">
        <v>11.58</v>
      </c>
      <c r="N554">
        <v>9.09</v>
      </c>
      <c r="O554">
        <v>23.23</v>
      </c>
      <c r="P554">
        <v>31.65</v>
      </c>
      <c r="Q554">
        <v>60.39</v>
      </c>
      <c r="R554">
        <v>35.94</v>
      </c>
      <c r="S554">
        <v>33.86</v>
      </c>
      <c r="T554">
        <v>47.45</v>
      </c>
      <c r="U554">
        <v>51.19</v>
      </c>
      <c r="V554" s="6">
        <v>26</v>
      </c>
    </row>
    <row r="555" spans="1:22" x14ac:dyDescent="0.2">
      <c r="A555" s="4">
        <v>45372</v>
      </c>
      <c r="B555" s="3">
        <v>105.87</v>
      </c>
      <c r="C555">
        <v>55.49</v>
      </c>
      <c r="D555">
        <v>28.62</v>
      </c>
      <c r="E555">
        <v>28.43</v>
      </c>
      <c r="F555">
        <v>29.74</v>
      </c>
      <c r="G555">
        <v>38.44</v>
      </c>
      <c r="H555">
        <v>25.16</v>
      </c>
      <c r="I555">
        <v>38.590000000000003</v>
      </c>
      <c r="J555">
        <v>78.739999999999995</v>
      </c>
      <c r="K555">
        <v>12.47</v>
      </c>
      <c r="L555">
        <v>11.94</v>
      </c>
      <c r="M555">
        <v>11.65</v>
      </c>
      <c r="N555">
        <v>8.9600000000000009</v>
      </c>
      <c r="O555">
        <v>23.19</v>
      </c>
      <c r="P555">
        <v>30.87</v>
      </c>
      <c r="Q555">
        <v>60.37</v>
      </c>
      <c r="R555">
        <v>35.909999999999997</v>
      </c>
      <c r="S555">
        <v>33.979999999999997</v>
      </c>
      <c r="T555">
        <v>47.1</v>
      </c>
      <c r="U555">
        <v>50.38</v>
      </c>
      <c r="V555" s="6">
        <v>26.24</v>
      </c>
    </row>
    <row r="556" spans="1:22" x14ac:dyDescent="0.2">
      <c r="A556" s="4">
        <v>45373</v>
      </c>
      <c r="B556" s="3">
        <v>105.79</v>
      </c>
      <c r="C556">
        <v>54.85</v>
      </c>
      <c r="D556">
        <v>28.9</v>
      </c>
      <c r="E556">
        <v>28</v>
      </c>
      <c r="F556">
        <v>29.98</v>
      </c>
      <c r="G556">
        <v>38.74</v>
      </c>
      <c r="H556">
        <v>25.06</v>
      </c>
      <c r="I556">
        <v>38.18</v>
      </c>
      <c r="J556">
        <v>80.3</v>
      </c>
      <c r="K556">
        <v>12.31</v>
      </c>
      <c r="L556">
        <v>11.55</v>
      </c>
      <c r="M556">
        <v>11.46</v>
      </c>
      <c r="N556">
        <v>8.82</v>
      </c>
      <c r="O556">
        <v>23.05</v>
      </c>
      <c r="P556">
        <v>33.32</v>
      </c>
      <c r="Q556">
        <v>60.48</v>
      </c>
      <c r="R556">
        <v>35.35</v>
      </c>
      <c r="S556">
        <v>33.42</v>
      </c>
      <c r="T556">
        <v>46.69</v>
      </c>
      <c r="U556">
        <v>49.46</v>
      </c>
      <c r="V556" s="6">
        <v>25.49</v>
      </c>
    </row>
    <row r="557" spans="1:22" x14ac:dyDescent="0.2">
      <c r="A557" s="4">
        <v>45376</v>
      </c>
      <c r="B557" s="3">
        <v>105.73</v>
      </c>
      <c r="C557">
        <v>54.73</v>
      </c>
      <c r="D557">
        <v>29.34</v>
      </c>
      <c r="E557">
        <v>28</v>
      </c>
      <c r="F557">
        <v>30.35</v>
      </c>
      <c r="G557">
        <v>38.1</v>
      </c>
      <c r="H557">
        <v>25.16</v>
      </c>
      <c r="I557">
        <v>38.369999999999997</v>
      </c>
      <c r="J557">
        <v>80.959999999999994</v>
      </c>
      <c r="K557">
        <v>12.29</v>
      </c>
      <c r="L557">
        <v>11.45</v>
      </c>
      <c r="M557">
        <v>11.3</v>
      </c>
      <c r="N557">
        <v>8.73</v>
      </c>
      <c r="O557">
        <v>22.76</v>
      </c>
      <c r="P557">
        <v>33.49</v>
      </c>
      <c r="Q557">
        <v>59.97</v>
      </c>
      <c r="R557">
        <v>35.57</v>
      </c>
      <c r="S557">
        <v>33.24</v>
      </c>
      <c r="T557">
        <v>47.67</v>
      </c>
      <c r="U557">
        <v>49.13</v>
      </c>
      <c r="V557" s="6">
        <v>25.71</v>
      </c>
    </row>
    <row r="558" spans="1:22" x14ac:dyDescent="0.2">
      <c r="A558" s="4">
        <v>45377</v>
      </c>
      <c r="B558" s="3">
        <v>106.42</v>
      </c>
      <c r="C558">
        <v>54.04</v>
      </c>
      <c r="D558">
        <v>29.07</v>
      </c>
      <c r="E558">
        <v>28.56</v>
      </c>
      <c r="F558">
        <v>30.02</v>
      </c>
      <c r="G558">
        <v>37.85</v>
      </c>
      <c r="H558">
        <v>25.3</v>
      </c>
      <c r="I558">
        <v>38.51</v>
      </c>
      <c r="J558">
        <v>82.11</v>
      </c>
      <c r="K558">
        <v>12.47</v>
      </c>
      <c r="L558">
        <v>11.45</v>
      </c>
      <c r="M558">
        <v>11.46</v>
      </c>
      <c r="N558">
        <v>8.85</v>
      </c>
      <c r="O558">
        <v>22.39</v>
      </c>
      <c r="P558">
        <v>33.270000000000003</v>
      </c>
      <c r="Q558">
        <v>61.28</v>
      </c>
      <c r="R558">
        <v>35.93</v>
      </c>
      <c r="S558">
        <v>32.86</v>
      </c>
      <c r="T558">
        <v>47.29</v>
      </c>
      <c r="U558">
        <v>50.47</v>
      </c>
      <c r="V558" s="6">
        <v>24.91</v>
      </c>
    </row>
    <row r="559" spans="1:22" x14ac:dyDescent="0.2">
      <c r="A559" s="4">
        <v>45378</v>
      </c>
      <c r="B559" s="3">
        <v>106.81</v>
      </c>
      <c r="C559">
        <v>54.53</v>
      </c>
      <c r="D559">
        <v>29.3</v>
      </c>
      <c r="E559">
        <v>28.72</v>
      </c>
      <c r="F559">
        <v>30.38</v>
      </c>
      <c r="G559">
        <v>37.630000000000003</v>
      </c>
      <c r="H559">
        <v>25.31</v>
      </c>
      <c r="I559">
        <v>38</v>
      </c>
      <c r="J559">
        <v>83.29</v>
      </c>
      <c r="K559">
        <v>12.66</v>
      </c>
      <c r="L559">
        <v>11.61</v>
      </c>
      <c r="M559">
        <v>11.5</v>
      </c>
      <c r="N559">
        <v>8.93</v>
      </c>
      <c r="O559">
        <v>21.9</v>
      </c>
      <c r="P559">
        <v>33.119999999999997</v>
      </c>
      <c r="Q559">
        <v>62.09</v>
      </c>
      <c r="R559">
        <v>35.74</v>
      </c>
      <c r="S559">
        <v>32.840000000000003</v>
      </c>
      <c r="T559">
        <v>47.08</v>
      </c>
      <c r="U559">
        <v>50.46</v>
      </c>
      <c r="V559" s="6">
        <v>24.92</v>
      </c>
    </row>
    <row r="560" spans="1:22" x14ac:dyDescent="0.2">
      <c r="A560" s="4">
        <v>45379</v>
      </c>
      <c r="B560" s="3">
        <v>105.92</v>
      </c>
      <c r="C560">
        <v>54.74</v>
      </c>
      <c r="D560">
        <v>29.95</v>
      </c>
      <c r="E560">
        <v>28.76</v>
      </c>
      <c r="F560">
        <v>31.13</v>
      </c>
      <c r="G560">
        <v>37.28</v>
      </c>
      <c r="H560">
        <v>25.61</v>
      </c>
      <c r="I560">
        <v>37.85</v>
      </c>
      <c r="J560">
        <v>84.7</v>
      </c>
      <c r="K560">
        <v>12.58</v>
      </c>
      <c r="L560">
        <v>11.58</v>
      </c>
      <c r="M560">
        <v>11.54</v>
      </c>
      <c r="N560">
        <v>8.9499999999999993</v>
      </c>
      <c r="O560">
        <v>21.5</v>
      </c>
      <c r="P560">
        <v>33.28</v>
      </c>
      <c r="Q560">
        <v>62.26</v>
      </c>
      <c r="R560">
        <v>35.1</v>
      </c>
      <c r="S560">
        <v>32.549999999999997</v>
      </c>
      <c r="T560">
        <v>48.74</v>
      </c>
      <c r="U560">
        <v>51.17</v>
      </c>
      <c r="V560" s="6">
        <v>24.55</v>
      </c>
    </row>
    <row r="561" spans="1:22" x14ac:dyDescent="0.2">
      <c r="A561" s="4">
        <v>45383</v>
      </c>
      <c r="B561" s="3">
        <v>106.45</v>
      </c>
      <c r="C561">
        <v>55.09</v>
      </c>
      <c r="D561">
        <v>30.19</v>
      </c>
      <c r="E561">
        <v>27.78</v>
      </c>
      <c r="F561">
        <v>31.36</v>
      </c>
      <c r="G561">
        <v>37.08</v>
      </c>
      <c r="H561">
        <v>25.36</v>
      </c>
      <c r="I561">
        <v>37.130000000000003</v>
      </c>
      <c r="J561">
        <v>83.9</v>
      </c>
      <c r="K561">
        <v>12.46</v>
      </c>
      <c r="L561">
        <v>11.37</v>
      </c>
      <c r="M561">
        <v>11.39</v>
      </c>
      <c r="N561">
        <v>8.7100000000000009</v>
      </c>
      <c r="O561">
        <v>20.86</v>
      </c>
      <c r="P561">
        <v>32.36</v>
      </c>
      <c r="Q561">
        <v>63.15</v>
      </c>
      <c r="R561">
        <v>34.21</v>
      </c>
      <c r="S561">
        <v>31.97</v>
      </c>
      <c r="T561">
        <v>48.39</v>
      </c>
      <c r="U561">
        <v>49.27</v>
      </c>
      <c r="V561" s="6">
        <v>24.52</v>
      </c>
    </row>
    <row r="562" spans="1:22" x14ac:dyDescent="0.2">
      <c r="A562" s="4">
        <v>45384</v>
      </c>
      <c r="B562" s="3">
        <v>106.07</v>
      </c>
      <c r="C562">
        <v>55.74</v>
      </c>
      <c r="D562">
        <v>30.96</v>
      </c>
      <c r="E562">
        <v>27.81</v>
      </c>
      <c r="F562">
        <v>32.21</v>
      </c>
      <c r="G562">
        <v>37.25</v>
      </c>
      <c r="H562">
        <v>25.4</v>
      </c>
      <c r="I562">
        <v>37</v>
      </c>
      <c r="J562">
        <v>82.04</v>
      </c>
      <c r="K562">
        <v>12.53</v>
      </c>
      <c r="L562">
        <v>11.33</v>
      </c>
      <c r="M562">
        <v>11.34</v>
      </c>
      <c r="N562">
        <v>8.67</v>
      </c>
      <c r="O562">
        <v>20.86</v>
      </c>
      <c r="P562">
        <v>32.72</v>
      </c>
      <c r="Q562">
        <v>63.48</v>
      </c>
      <c r="R562">
        <v>34.18</v>
      </c>
      <c r="S562">
        <v>32.25</v>
      </c>
      <c r="T562">
        <v>49.05</v>
      </c>
      <c r="U562">
        <v>49.38</v>
      </c>
      <c r="V562" s="6">
        <v>24.34</v>
      </c>
    </row>
    <row r="563" spans="1:22" x14ac:dyDescent="0.2">
      <c r="A563" s="4">
        <v>45385</v>
      </c>
      <c r="B563" s="3">
        <v>106.28</v>
      </c>
      <c r="C563">
        <v>54.94</v>
      </c>
      <c r="D563">
        <v>30.8</v>
      </c>
      <c r="E563">
        <v>27.61</v>
      </c>
      <c r="F563">
        <v>31.96</v>
      </c>
      <c r="G563">
        <v>36.979999999999997</v>
      </c>
      <c r="H563">
        <v>25.5</v>
      </c>
      <c r="I563">
        <v>37.119999999999997</v>
      </c>
      <c r="J563">
        <v>83.48</v>
      </c>
      <c r="K563">
        <v>12.78</v>
      </c>
      <c r="L563">
        <v>11.3</v>
      </c>
      <c r="M563">
        <v>11.5</v>
      </c>
      <c r="N563">
        <v>8.67</v>
      </c>
      <c r="O563">
        <v>20.99</v>
      </c>
      <c r="P563">
        <v>33.07</v>
      </c>
      <c r="Q563">
        <v>62.87</v>
      </c>
      <c r="R563">
        <v>34.17</v>
      </c>
      <c r="S563">
        <v>32.299999999999997</v>
      </c>
      <c r="T563">
        <v>49.39</v>
      </c>
      <c r="U563">
        <v>48.83</v>
      </c>
      <c r="V563" s="6">
        <v>24.81</v>
      </c>
    </row>
    <row r="564" spans="1:22" x14ac:dyDescent="0.2">
      <c r="A564" s="4">
        <v>45386</v>
      </c>
      <c r="B564" s="3">
        <v>105.71</v>
      </c>
      <c r="C564">
        <v>54.33</v>
      </c>
      <c r="D564">
        <v>30.37</v>
      </c>
      <c r="E564">
        <v>27.24</v>
      </c>
      <c r="F564">
        <v>31.81</v>
      </c>
      <c r="G564">
        <v>37.19</v>
      </c>
      <c r="H564">
        <v>25.68</v>
      </c>
      <c r="I564">
        <v>37.299999999999997</v>
      </c>
      <c r="J564">
        <v>84.35</v>
      </c>
      <c r="K564">
        <v>12.85</v>
      </c>
      <c r="L564">
        <v>11.56</v>
      </c>
      <c r="M564">
        <v>11.52</v>
      </c>
      <c r="N564">
        <v>8.56</v>
      </c>
      <c r="O564">
        <v>21.43</v>
      </c>
      <c r="P564">
        <v>32.549999999999997</v>
      </c>
      <c r="Q564">
        <v>62.16</v>
      </c>
      <c r="R564">
        <v>34.479999999999997</v>
      </c>
      <c r="S564">
        <v>32.380000000000003</v>
      </c>
      <c r="T564">
        <v>50.05</v>
      </c>
      <c r="U564">
        <v>50.3</v>
      </c>
      <c r="V564" s="6">
        <v>25.3</v>
      </c>
    </row>
    <row r="565" spans="1:22" x14ac:dyDescent="0.2">
      <c r="A565" s="4">
        <v>45387</v>
      </c>
      <c r="B565" s="3">
        <v>107.66</v>
      </c>
      <c r="C565">
        <v>53.73</v>
      </c>
      <c r="D565">
        <v>30.55</v>
      </c>
      <c r="E565">
        <v>27.19</v>
      </c>
      <c r="F565">
        <v>31.75</v>
      </c>
      <c r="G565">
        <v>37.08</v>
      </c>
      <c r="H565">
        <v>25.78</v>
      </c>
      <c r="I565">
        <v>37.270000000000003</v>
      </c>
      <c r="J565">
        <v>84.16</v>
      </c>
      <c r="K565">
        <v>12.82</v>
      </c>
      <c r="L565">
        <v>11.59</v>
      </c>
      <c r="M565">
        <v>11.3</v>
      </c>
      <c r="N565">
        <v>8.51</v>
      </c>
      <c r="O565">
        <v>21.25</v>
      </c>
      <c r="P565">
        <v>32.35</v>
      </c>
      <c r="Q565">
        <v>61.12</v>
      </c>
      <c r="R565">
        <v>34.11</v>
      </c>
      <c r="S565">
        <v>31.89</v>
      </c>
      <c r="T565">
        <v>50.45</v>
      </c>
      <c r="U565">
        <v>50.08</v>
      </c>
      <c r="V565" s="6">
        <v>24.49</v>
      </c>
    </row>
    <row r="566" spans="1:22" x14ac:dyDescent="0.2">
      <c r="A566" s="4">
        <v>45390</v>
      </c>
      <c r="B566" s="3">
        <v>108.19</v>
      </c>
      <c r="C566">
        <v>56.67</v>
      </c>
      <c r="D566">
        <v>30.97</v>
      </c>
      <c r="E566">
        <v>27.6</v>
      </c>
      <c r="F566">
        <v>32.200000000000003</v>
      </c>
      <c r="G566">
        <v>37.28</v>
      </c>
      <c r="H566">
        <v>26.19</v>
      </c>
      <c r="I566">
        <v>37.61</v>
      </c>
      <c r="J566">
        <v>84.5</v>
      </c>
      <c r="K566">
        <v>12.91</v>
      </c>
      <c r="L566">
        <v>11.72</v>
      </c>
      <c r="M566">
        <v>11.24</v>
      </c>
      <c r="N566">
        <v>8.61</v>
      </c>
      <c r="O566">
        <v>21.55</v>
      </c>
      <c r="P566">
        <v>32.46</v>
      </c>
      <c r="Q566">
        <v>60.92</v>
      </c>
      <c r="R566">
        <v>34.99</v>
      </c>
      <c r="S566">
        <v>32.17</v>
      </c>
      <c r="T566">
        <v>49.66</v>
      </c>
      <c r="U566">
        <v>50.76</v>
      </c>
      <c r="V566" s="6">
        <v>24.35</v>
      </c>
    </row>
    <row r="567" spans="1:22" x14ac:dyDescent="0.2">
      <c r="A567" s="4">
        <v>45391</v>
      </c>
      <c r="B567" s="3">
        <v>106.92</v>
      </c>
      <c r="C567">
        <v>56.29</v>
      </c>
      <c r="D567">
        <v>31.05</v>
      </c>
      <c r="E567">
        <v>27.89</v>
      </c>
      <c r="F567">
        <v>32.369999999999997</v>
      </c>
      <c r="G567">
        <v>37.869999999999997</v>
      </c>
      <c r="H567">
        <v>26.41</v>
      </c>
      <c r="I567">
        <v>37.75</v>
      </c>
      <c r="J567">
        <v>84.96</v>
      </c>
      <c r="K567">
        <v>12.99</v>
      </c>
      <c r="L567">
        <v>11.97</v>
      </c>
      <c r="M567">
        <v>11.42</v>
      </c>
      <c r="N567">
        <v>8.6999999999999993</v>
      </c>
      <c r="O567">
        <v>22.41</v>
      </c>
      <c r="P567">
        <v>32.520000000000003</v>
      </c>
      <c r="Q567">
        <v>60.62</v>
      </c>
      <c r="R567">
        <v>35</v>
      </c>
      <c r="S567">
        <v>32.700000000000003</v>
      </c>
      <c r="T567">
        <v>49.84</v>
      </c>
      <c r="U567">
        <v>52.1</v>
      </c>
      <c r="V567" s="6">
        <v>24.67</v>
      </c>
    </row>
    <row r="568" spans="1:22" x14ac:dyDescent="0.2">
      <c r="A568" s="4">
        <v>45392</v>
      </c>
      <c r="B568" s="3">
        <v>106.48</v>
      </c>
      <c r="C568">
        <v>55.43</v>
      </c>
      <c r="D568">
        <v>31.74</v>
      </c>
      <c r="E568">
        <v>27.3</v>
      </c>
      <c r="F568">
        <v>33.340000000000003</v>
      </c>
      <c r="G568">
        <v>37.479999999999997</v>
      </c>
      <c r="H568">
        <v>26.05</v>
      </c>
      <c r="I568">
        <v>36.96</v>
      </c>
      <c r="J568">
        <v>83.8</v>
      </c>
      <c r="K568">
        <v>12.71</v>
      </c>
      <c r="L568">
        <v>11.56</v>
      </c>
      <c r="M568">
        <v>11.18</v>
      </c>
      <c r="N568">
        <v>8.5299999999999994</v>
      </c>
      <c r="O568">
        <v>22.35</v>
      </c>
      <c r="P568">
        <v>32.81</v>
      </c>
      <c r="Q568">
        <v>60.1</v>
      </c>
      <c r="R568">
        <v>33.72</v>
      </c>
      <c r="S568">
        <v>32</v>
      </c>
      <c r="T568">
        <v>50.19</v>
      </c>
      <c r="U568">
        <v>50.47</v>
      </c>
      <c r="V568" s="6">
        <v>23.97</v>
      </c>
    </row>
    <row r="569" spans="1:22" x14ac:dyDescent="0.2">
      <c r="A569" s="4">
        <v>45393</v>
      </c>
      <c r="B569" s="3">
        <v>104.99</v>
      </c>
      <c r="C569">
        <v>55.67</v>
      </c>
      <c r="D569">
        <v>31.51</v>
      </c>
      <c r="E569">
        <v>27.25</v>
      </c>
      <c r="F569">
        <v>33.04</v>
      </c>
      <c r="G569">
        <v>37.32</v>
      </c>
      <c r="H569">
        <v>26.11</v>
      </c>
      <c r="I569">
        <v>35.25</v>
      </c>
      <c r="J569">
        <v>82.37</v>
      </c>
      <c r="K569">
        <v>12.7</v>
      </c>
      <c r="L569">
        <v>11.58</v>
      </c>
      <c r="M569">
        <v>11.27</v>
      </c>
      <c r="N569">
        <v>8.5299999999999994</v>
      </c>
      <c r="O569">
        <v>22.3</v>
      </c>
      <c r="P569">
        <v>32.590000000000003</v>
      </c>
      <c r="Q569">
        <v>59.57</v>
      </c>
      <c r="R569">
        <v>33.450000000000003</v>
      </c>
      <c r="S569">
        <v>31.82</v>
      </c>
      <c r="T569">
        <v>49.8</v>
      </c>
      <c r="U569">
        <v>50.17</v>
      </c>
      <c r="V569" s="6">
        <v>23.81</v>
      </c>
    </row>
    <row r="570" spans="1:22" x14ac:dyDescent="0.2">
      <c r="A570" s="4">
        <v>45394</v>
      </c>
      <c r="B570" s="3">
        <v>104.55</v>
      </c>
      <c r="C570">
        <v>55.46</v>
      </c>
      <c r="D570">
        <v>31.22</v>
      </c>
      <c r="E570">
        <v>26.97</v>
      </c>
      <c r="F570">
        <v>32.770000000000003</v>
      </c>
      <c r="G570">
        <v>37.07</v>
      </c>
      <c r="H570">
        <v>25.78</v>
      </c>
      <c r="I570">
        <v>35.42</v>
      </c>
      <c r="J570">
        <v>80.849999999999994</v>
      </c>
      <c r="K570">
        <v>12.55</v>
      </c>
      <c r="L570">
        <v>11.31</v>
      </c>
      <c r="M570">
        <v>11.2</v>
      </c>
      <c r="N570">
        <v>8.44</v>
      </c>
      <c r="O570">
        <v>22.1</v>
      </c>
      <c r="P570">
        <v>31.73</v>
      </c>
      <c r="Q570">
        <v>59.56</v>
      </c>
      <c r="R570">
        <v>33.049999999999997</v>
      </c>
      <c r="S570">
        <v>31.64</v>
      </c>
      <c r="T570">
        <v>50.86</v>
      </c>
      <c r="U570">
        <v>48.83</v>
      </c>
      <c r="V570" s="6">
        <v>23.8</v>
      </c>
    </row>
    <row r="571" spans="1:22" x14ac:dyDescent="0.2">
      <c r="A571" s="4">
        <v>45397</v>
      </c>
      <c r="B571" s="3">
        <v>104.02</v>
      </c>
      <c r="C571">
        <v>55.78</v>
      </c>
      <c r="D571">
        <v>31.52</v>
      </c>
      <c r="E571">
        <v>26.51</v>
      </c>
      <c r="F571">
        <v>33.25</v>
      </c>
      <c r="G571">
        <v>36.74</v>
      </c>
      <c r="H571">
        <v>25.54</v>
      </c>
      <c r="I571">
        <v>34.94</v>
      </c>
      <c r="J571">
        <v>80.650000000000006</v>
      </c>
      <c r="K571">
        <v>12.36</v>
      </c>
      <c r="L571">
        <v>11.09</v>
      </c>
      <c r="M571">
        <v>11.15</v>
      </c>
      <c r="N571">
        <v>8.2899999999999991</v>
      </c>
      <c r="O571">
        <v>23.03</v>
      </c>
      <c r="P571">
        <v>31.39</v>
      </c>
      <c r="Q571">
        <v>59.41</v>
      </c>
      <c r="R571">
        <v>32.409999999999997</v>
      </c>
      <c r="S571">
        <v>31.49</v>
      </c>
      <c r="T571">
        <v>50.1</v>
      </c>
      <c r="U571">
        <v>47.63</v>
      </c>
      <c r="V571" s="6">
        <v>23.25</v>
      </c>
    </row>
    <row r="572" spans="1:22" x14ac:dyDescent="0.2">
      <c r="A572" s="4">
        <v>45398</v>
      </c>
      <c r="B572" s="3">
        <v>103.65</v>
      </c>
      <c r="C572">
        <v>55.29</v>
      </c>
      <c r="D572">
        <v>31.66</v>
      </c>
      <c r="E572">
        <v>26.31</v>
      </c>
      <c r="F572">
        <v>33.42</v>
      </c>
      <c r="G572">
        <v>37.840000000000003</v>
      </c>
      <c r="H572">
        <v>25.25</v>
      </c>
      <c r="I572">
        <v>34.76</v>
      </c>
      <c r="J572">
        <v>80.03</v>
      </c>
      <c r="K572">
        <v>12.27</v>
      </c>
      <c r="L572">
        <v>10.95</v>
      </c>
      <c r="M572">
        <v>11.03</v>
      </c>
      <c r="N572">
        <v>8.17</v>
      </c>
      <c r="O572">
        <v>22.62</v>
      </c>
      <c r="P572">
        <v>31.73</v>
      </c>
      <c r="Q572">
        <v>59.7</v>
      </c>
      <c r="R572">
        <v>32.08</v>
      </c>
      <c r="S572">
        <v>31.33</v>
      </c>
      <c r="T572">
        <v>49.8</v>
      </c>
      <c r="U572">
        <v>47.15</v>
      </c>
      <c r="V572" s="6">
        <v>22.8</v>
      </c>
    </row>
    <row r="573" spans="1:22" x14ac:dyDescent="0.2">
      <c r="A573" s="4">
        <v>45399</v>
      </c>
      <c r="B573" s="3">
        <v>103.36</v>
      </c>
      <c r="C573">
        <v>55.89</v>
      </c>
      <c r="D573">
        <v>31.89</v>
      </c>
      <c r="E573">
        <v>26.33</v>
      </c>
      <c r="F573">
        <v>33.46</v>
      </c>
      <c r="G573">
        <v>37.299999999999997</v>
      </c>
      <c r="H573">
        <v>25.3</v>
      </c>
      <c r="I573">
        <v>34.56</v>
      </c>
      <c r="J573">
        <v>81.44</v>
      </c>
      <c r="K573">
        <v>12.21</v>
      </c>
      <c r="L573">
        <v>10.86</v>
      </c>
      <c r="M573">
        <v>11</v>
      </c>
      <c r="N573">
        <v>8.14</v>
      </c>
      <c r="O573">
        <v>22.4</v>
      </c>
      <c r="P573">
        <v>31.91</v>
      </c>
      <c r="Q573">
        <v>59.18</v>
      </c>
      <c r="R573">
        <v>31.54</v>
      </c>
      <c r="S573">
        <v>31.14</v>
      </c>
      <c r="T573">
        <v>48.73</v>
      </c>
      <c r="U573">
        <v>47.09</v>
      </c>
      <c r="V573" s="6">
        <v>22.67</v>
      </c>
    </row>
    <row r="574" spans="1:22" x14ac:dyDescent="0.2">
      <c r="A574" s="4">
        <v>45400</v>
      </c>
      <c r="B574" s="3">
        <v>104.5</v>
      </c>
      <c r="C574">
        <v>56.1</v>
      </c>
      <c r="D574">
        <v>31.95</v>
      </c>
      <c r="E574">
        <v>26.36</v>
      </c>
      <c r="F574">
        <v>33.380000000000003</v>
      </c>
      <c r="G574">
        <v>37.67</v>
      </c>
      <c r="H574">
        <v>25.26</v>
      </c>
      <c r="I574">
        <v>34.42</v>
      </c>
      <c r="J574">
        <v>82.77</v>
      </c>
      <c r="K574">
        <v>12.16</v>
      </c>
      <c r="L574">
        <v>10.76</v>
      </c>
      <c r="M574">
        <v>11.05</v>
      </c>
      <c r="N574">
        <v>8.1300000000000008</v>
      </c>
      <c r="O574">
        <v>22.43</v>
      </c>
      <c r="P574">
        <v>31.8</v>
      </c>
      <c r="Q574">
        <v>59.12</v>
      </c>
      <c r="R574">
        <v>31.34</v>
      </c>
      <c r="S574">
        <v>31.06</v>
      </c>
      <c r="T574">
        <v>49.24</v>
      </c>
      <c r="U574">
        <v>47.94</v>
      </c>
      <c r="V574" s="6">
        <v>22.62</v>
      </c>
    </row>
    <row r="575" spans="1:22" x14ac:dyDescent="0.2">
      <c r="A575" s="4">
        <v>45401</v>
      </c>
      <c r="B575" s="3">
        <v>104.88</v>
      </c>
      <c r="C575">
        <v>57.02</v>
      </c>
      <c r="D575">
        <v>32.5</v>
      </c>
      <c r="E575">
        <v>26.21</v>
      </c>
      <c r="F575">
        <v>34.74</v>
      </c>
      <c r="G575">
        <v>37.630000000000003</v>
      </c>
      <c r="H575">
        <v>25.07</v>
      </c>
      <c r="I575">
        <v>34.31</v>
      </c>
      <c r="J575">
        <v>84.49</v>
      </c>
      <c r="K575">
        <v>12.04</v>
      </c>
      <c r="L575">
        <v>10.8</v>
      </c>
      <c r="M575">
        <v>11.04</v>
      </c>
      <c r="N575">
        <v>8.1199999999999992</v>
      </c>
      <c r="O575">
        <v>22.12</v>
      </c>
      <c r="P575">
        <v>30.89</v>
      </c>
      <c r="Q575">
        <v>59.57</v>
      </c>
      <c r="R575">
        <v>31.43</v>
      </c>
      <c r="S575">
        <v>31.15</v>
      </c>
      <c r="T575">
        <v>48.8</v>
      </c>
      <c r="U575">
        <v>47.34</v>
      </c>
      <c r="V575" s="6">
        <v>23.72</v>
      </c>
    </row>
    <row r="576" spans="1:22" x14ac:dyDescent="0.2">
      <c r="A576" s="4">
        <v>45404</v>
      </c>
      <c r="B576" s="3">
        <v>104.95</v>
      </c>
      <c r="C576">
        <v>56.99</v>
      </c>
      <c r="D576">
        <v>33.270000000000003</v>
      </c>
      <c r="E576">
        <v>26.19</v>
      </c>
      <c r="F576">
        <v>35.590000000000003</v>
      </c>
      <c r="G576">
        <v>37.35</v>
      </c>
      <c r="H576">
        <v>24.78</v>
      </c>
      <c r="I576">
        <v>34.21</v>
      </c>
      <c r="J576">
        <v>82.79</v>
      </c>
      <c r="K576">
        <v>11.99</v>
      </c>
      <c r="L576">
        <v>10.89</v>
      </c>
      <c r="M576">
        <v>11.04</v>
      </c>
      <c r="N576">
        <v>8.11</v>
      </c>
      <c r="O576">
        <v>22.12</v>
      </c>
      <c r="P576">
        <v>31.33</v>
      </c>
      <c r="Q576">
        <v>58.92</v>
      </c>
      <c r="R576">
        <v>32.1</v>
      </c>
      <c r="S576">
        <v>31.24</v>
      </c>
      <c r="T576">
        <v>48</v>
      </c>
      <c r="U576">
        <v>46.65</v>
      </c>
      <c r="V576" s="6">
        <v>24.06</v>
      </c>
    </row>
    <row r="577" spans="1:22" x14ac:dyDescent="0.2">
      <c r="A577" s="4">
        <v>45405</v>
      </c>
      <c r="B577" s="3">
        <v>104.51</v>
      </c>
      <c r="C577">
        <v>56.49</v>
      </c>
      <c r="D577">
        <v>33.21</v>
      </c>
      <c r="E577">
        <v>26.58</v>
      </c>
      <c r="F577">
        <v>35.340000000000003</v>
      </c>
      <c r="G577">
        <v>37.08</v>
      </c>
      <c r="H577">
        <v>24.97</v>
      </c>
      <c r="I577">
        <v>33.770000000000003</v>
      </c>
      <c r="J577">
        <v>83.1</v>
      </c>
      <c r="K577">
        <v>12.07</v>
      </c>
      <c r="L577">
        <v>10.72</v>
      </c>
      <c r="M577">
        <v>10.96</v>
      </c>
      <c r="N577">
        <v>8.17</v>
      </c>
      <c r="O577">
        <v>22.03</v>
      </c>
      <c r="P577">
        <v>31.04</v>
      </c>
      <c r="Q577">
        <v>58.51</v>
      </c>
      <c r="R577">
        <v>31.55</v>
      </c>
      <c r="S577">
        <v>31.4</v>
      </c>
      <c r="T577">
        <v>49.18</v>
      </c>
      <c r="U577">
        <v>47.31</v>
      </c>
      <c r="V577" s="6">
        <v>23.86</v>
      </c>
    </row>
    <row r="578" spans="1:22" x14ac:dyDescent="0.2">
      <c r="A578" s="4">
        <v>45406</v>
      </c>
      <c r="B578" s="3">
        <v>104.14</v>
      </c>
      <c r="C578">
        <v>57.2</v>
      </c>
      <c r="D578">
        <v>33.06</v>
      </c>
      <c r="E578">
        <v>26.47</v>
      </c>
      <c r="F578">
        <v>35.19</v>
      </c>
      <c r="G578">
        <v>37.31</v>
      </c>
      <c r="H578">
        <v>24.88</v>
      </c>
      <c r="I578">
        <v>33.369999999999997</v>
      </c>
      <c r="J578">
        <v>82.44</v>
      </c>
      <c r="K578">
        <v>12.07</v>
      </c>
      <c r="L578">
        <v>10.57</v>
      </c>
      <c r="M578">
        <v>11.12</v>
      </c>
      <c r="N578">
        <v>8.15</v>
      </c>
      <c r="O578">
        <v>22.01</v>
      </c>
      <c r="P578">
        <v>31.28</v>
      </c>
      <c r="Q578">
        <v>58.93</v>
      </c>
      <c r="R578">
        <v>31.55</v>
      </c>
      <c r="S578">
        <v>31.26</v>
      </c>
      <c r="T578">
        <v>48.43</v>
      </c>
      <c r="U578">
        <v>46.63</v>
      </c>
      <c r="V578" s="6">
        <v>23.64</v>
      </c>
    </row>
    <row r="579" spans="1:22" x14ac:dyDescent="0.2">
      <c r="A579" s="4">
        <v>45407</v>
      </c>
      <c r="B579" s="3">
        <v>105.83</v>
      </c>
      <c r="C579">
        <v>55.99</v>
      </c>
      <c r="D579">
        <v>33.85</v>
      </c>
      <c r="E579">
        <v>26.32</v>
      </c>
      <c r="F579">
        <v>35.979999999999997</v>
      </c>
      <c r="G579">
        <v>37.74</v>
      </c>
      <c r="H579">
        <v>24.77</v>
      </c>
      <c r="I579">
        <v>33.67</v>
      </c>
      <c r="J579">
        <v>82.57</v>
      </c>
      <c r="K579">
        <v>12.06</v>
      </c>
      <c r="L579">
        <v>10.46</v>
      </c>
      <c r="M579">
        <v>11.1</v>
      </c>
      <c r="N579">
        <v>8.11</v>
      </c>
      <c r="O579">
        <v>22.09</v>
      </c>
      <c r="P579">
        <v>32.119999999999997</v>
      </c>
      <c r="Q579">
        <v>58.29</v>
      </c>
      <c r="R579">
        <v>31.41</v>
      </c>
      <c r="S579">
        <v>30.87</v>
      </c>
      <c r="T579">
        <v>49.39</v>
      </c>
      <c r="U579">
        <v>45.9</v>
      </c>
      <c r="V579" s="6">
        <v>24.2</v>
      </c>
    </row>
    <row r="580" spans="1:22" x14ac:dyDescent="0.2">
      <c r="A580" s="4">
        <v>45408</v>
      </c>
      <c r="B580" s="3">
        <v>106.37</v>
      </c>
      <c r="C580">
        <v>56.46</v>
      </c>
      <c r="D580">
        <v>33.68</v>
      </c>
      <c r="E580">
        <v>26.76</v>
      </c>
      <c r="F580">
        <v>36.07</v>
      </c>
      <c r="G580">
        <v>38.28</v>
      </c>
      <c r="H580">
        <v>24.92</v>
      </c>
      <c r="I580">
        <v>34.22</v>
      </c>
      <c r="J580">
        <v>82.3</v>
      </c>
      <c r="K580">
        <v>12.25</v>
      </c>
      <c r="L580">
        <v>10.84</v>
      </c>
      <c r="M580">
        <v>11.1</v>
      </c>
      <c r="N580">
        <v>8.26</v>
      </c>
      <c r="O580">
        <v>22.91</v>
      </c>
      <c r="P580">
        <v>33.17</v>
      </c>
      <c r="Q580">
        <v>57.98</v>
      </c>
      <c r="R580">
        <v>32.85</v>
      </c>
      <c r="S580">
        <v>31.25</v>
      </c>
      <c r="T580">
        <v>49.25</v>
      </c>
      <c r="U580">
        <v>47.56</v>
      </c>
      <c r="V580" s="6">
        <v>25.07</v>
      </c>
    </row>
    <row r="581" spans="1:22" x14ac:dyDescent="0.2">
      <c r="A581" s="4">
        <v>45411</v>
      </c>
      <c r="B581" s="3">
        <v>105.43</v>
      </c>
      <c r="C581">
        <v>57.5</v>
      </c>
      <c r="D581">
        <v>34.28</v>
      </c>
      <c r="E581">
        <v>26.55</v>
      </c>
      <c r="F581">
        <v>36.72</v>
      </c>
      <c r="G581">
        <v>38.42</v>
      </c>
      <c r="H581">
        <v>24.92</v>
      </c>
      <c r="I581">
        <v>34.53</v>
      </c>
      <c r="J581">
        <v>82.36</v>
      </c>
      <c r="K581">
        <v>12.41</v>
      </c>
      <c r="L581">
        <v>10.76</v>
      </c>
      <c r="M581">
        <v>11.18</v>
      </c>
      <c r="N581">
        <v>8.23</v>
      </c>
      <c r="O581">
        <v>23.4</v>
      </c>
      <c r="P581">
        <v>33.270000000000003</v>
      </c>
      <c r="Q581">
        <v>57.32</v>
      </c>
      <c r="R581">
        <v>32.700000000000003</v>
      </c>
      <c r="S581">
        <v>31</v>
      </c>
      <c r="T581">
        <v>49.56</v>
      </c>
      <c r="U581">
        <v>47.6</v>
      </c>
      <c r="V581" s="6">
        <v>25.66</v>
      </c>
    </row>
    <row r="582" spans="1:22" x14ac:dyDescent="0.2">
      <c r="A582" s="4">
        <v>45412</v>
      </c>
      <c r="B582" s="3">
        <v>106.45</v>
      </c>
      <c r="C582">
        <v>56.95</v>
      </c>
      <c r="D582">
        <v>34.18</v>
      </c>
      <c r="E582">
        <v>26.05</v>
      </c>
      <c r="F582">
        <v>36.49</v>
      </c>
      <c r="G582">
        <v>38.6</v>
      </c>
      <c r="H582">
        <v>24.8</v>
      </c>
      <c r="I582">
        <v>34.74</v>
      </c>
      <c r="J582">
        <v>80.819999999999993</v>
      </c>
      <c r="K582">
        <v>12.36</v>
      </c>
      <c r="L582">
        <v>10.43</v>
      </c>
      <c r="M582">
        <v>11.22</v>
      </c>
      <c r="N582">
        <v>8.15</v>
      </c>
      <c r="O582">
        <v>23.44</v>
      </c>
      <c r="P582">
        <v>33.32</v>
      </c>
      <c r="Q582">
        <v>56.89</v>
      </c>
      <c r="R582">
        <v>32.18</v>
      </c>
      <c r="S582">
        <v>30.59</v>
      </c>
      <c r="T582">
        <v>48</v>
      </c>
      <c r="U582">
        <v>46.17</v>
      </c>
      <c r="V582" s="6">
        <v>25.22</v>
      </c>
    </row>
    <row r="583" spans="1:22" x14ac:dyDescent="0.2">
      <c r="A583" s="4">
        <v>45414</v>
      </c>
      <c r="B583" s="3">
        <v>107.5</v>
      </c>
      <c r="C583">
        <v>57.52</v>
      </c>
      <c r="D583">
        <v>34.31</v>
      </c>
      <c r="E583">
        <v>26.43</v>
      </c>
      <c r="F583">
        <v>36.630000000000003</v>
      </c>
      <c r="G583">
        <v>37.92</v>
      </c>
      <c r="H583">
        <v>25.07</v>
      </c>
      <c r="I583">
        <v>35.21</v>
      </c>
      <c r="J583">
        <v>80.290000000000006</v>
      </c>
      <c r="K583">
        <v>12.22</v>
      </c>
      <c r="L583">
        <v>10.69</v>
      </c>
      <c r="M583">
        <v>11.39</v>
      </c>
      <c r="N583">
        <v>8.27</v>
      </c>
      <c r="O583">
        <v>23.87</v>
      </c>
      <c r="P583">
        <v>32.69</v>
      </c>
      <c r="Q583">
        <v>57.43</v>
      </c>
      <c r="R583">
        <v>32.92</v>
      </c>
      <c r="S583">
        <v>30.2</v>
      </c>
      <c r="T583">
        <v>47.42</v>
      </c>
      <c r="U583">
        <v>45.68</v>
      </c>
      <c r="V583" s="6">
        <v>25.67</v>
      </c>
    </row>
    <row r="584" spans="1:22" x14ac:dyDescent="0.2">
      <c r="A584" s="4">
        <v>45415</v>
      </c>
      <c r="B584" s="3">
        <v>107.42</v>
      </c>
      <c r="C584">
        <v>57.58</v>
      </c>
      <c r="D584">
        <v>33.17</v>
      </c>
      <c r="E584">
        <v>26.76</v>
      </c>
      <c r="F584">
        <v>35.369999999999997</v>
      </c>
      <c r="G584">
        <v>37.840000000000003</v>
      </c>
      <c r="H584">
        <v>25.53</v>
      </c>
      <c r="I584">
        <v>35.74</v>
      </c>
      <c r="J584">
        <v>80.8</v>
      </c>
      <c r="K584">
        <v>12.18</v>
      </c>
      <c r="L584">
        <v>11.01</v>
      </c>
      <c r="M584">
        <v>11.43</v>
      </c>
      <c r="N584">
        <v>8.3699999999999992</v>
      </c>
      <c r="O584">
        <v>23.86</v>
      </c>
      <c r="P584">
        <v>34.21</v>
      </c>
      <c r="Q584">
        <v>57.58</v>
      </c>
      <c r="R584">
        <v>34.03</v>
      </c>
      <c r="S584">
        <v>31.61</v>
      </c>
      <c r="T584">
        <v>46.75</v>
      </c>
      <c r="U584">
        <v>46.97</v>
      </c>
      <c r="V584" s="6">
        <v>26.01</v>
      </c>
    </row>
    <row r="585" spans="1:22" x14ac:dyDescent="0.2">
      <c r="A585" s="4">
        <v>45418</v>
      </c>
      <c r="B585" s="3">
        <v>107.89</v>
      </c>
      <c r="C585">
        <v>57.75</v>
      </c>
      <c r="D585">
        <v>33.4</v>
      </c>
      <c r="E585">
        <v>26.93</v>
      </c>
      <c r="F585">
        <v>35.549999999999997</v>
      </c>
      <c r="G585">
        <v>37.700000000000003</v>
      </c>
      <c r="H585">
        <v>25.67</v>
      </c>
      <c r="I585">
        <v>35.950000000000003</v>
      </c>
      <c r="J585">
        <v>79.75</v>
      </c>
      <c r="K585">
        <v>12.17</v>
      </c>
      <c r="L585">
        <v>11.12</v>
      </c>
      <c r="M585">
        <v>11.5</v>
      </c>
      <c r="N585">
        <v>8.3800000000000008</v>
      </c>
      <c r="O585">
        <v>23.88</v>
      </c>
      <c r="P585">
        <v>34.31</v>
      </c>
      <c r="Q585">
        <v>57.88</v>
      </c>
      <c r="R585">
        <v>33.86</v>
      </c>
      <c r="S585">
        <v>31.21</v>
      </c>
      <c r="T585">
        <v>47.19</v>
      </c>
      <c r="U585">
        <v>46.03</v>
      </c>
      <c r="V585" s="6">
        <v>26.39</v>
      </c>
    </row>
    <row r="586" spans="1:22" x14ac:dyDescent="0.2">
      <c r="A586" s="4">
        <v>45419</v>
      </c>
      <c r="B586" s="3">
        <v>108.21</v>
      </c>
      <c r="C586">
        <v>58.11</v>
      </c>
      <c r="D586">
        <v>33.799999999999997</v>
      </c>
      <c r="E586">
        <v>27.49</v>
      </c>
      <c r="F586">
        <v>36.409999999999997</v>
      </c>
      <c r="G586">
        <v>37.97</v>
      </c>
      <c r="H586">
        <v>25.59</v>
      </c>
      <c r="I586">
        <v>36.15</v>
      </c>
      <c r="J586">
        <v>80.14</v>
      </c>
      <c r="K586">
        <v>12.17</v>
      </c>
      <c r="L586">
        <v>11.19</v>
      </c>
      <c r="M586">
        <v>11.64</v>
      </c>
      <c r="N586">
        <v>8.5</v>
      </c>
      <c r="O586">
        <v>24.31</v>
      </c>
      <c r="P586">
        <v>33.630000000000003</v>
      </c>
      <c r="Q586">
        <v>50.78</v>
      </c>
      <c r="R586">
        <v>34.03</v>
      </c>
      <c r="S586">
        <v>31.51</v>
      </c>
      <c r="T586">
        <v>47.17</v>
      </c>
      <c r="U586">
        <v>46.74</v>
      </c>
      <c r="V586" s="6">
        <v>28.86</v>
      </c>
    </row>
    <row r="587" spans="1:22" x14ac:dyDescent="0.2">
      <c r="A587" s="4">
        <v>45420</v>
      </c>
      <c r="B587" s="3">
        <v>107.25</v>
      </c>
      <c r="C587">
        <v>57.58</v>
      </c>
      <c r="D587">
        <v>34.32</v>
      </c>
      <c r="E587">
        <v>27.66</v>
      </c>
      <c r="F587">
        <v>36.79</v>
      </c>
      <c r="G587">
        <v>38.15</v>
      </c>
      <c r="H587">
        <v>25.67</v>
      </c>
      <c r="I587">
        <v>36.32</v>
      </c>
      <c r="J587">
        <v>80.17</v>
      </c>
      <c r="K587">
        <v>12.2</v>
      </c>
      <c r="L587">
        <v>11.28</v>
      </c>
      <c r="M587">
        <v>11.24</v>
      </c>
      <c r="N587">
        <v>8.6</v>
      </c>
      <c r="O587">
        <v>24.47</v>
      </c>
      <c r="P587">
        <v>33.549999999999997</v>
      </c>
      <c r="Q587">
        <v>50.92</v>
      </c>
      <c r="R587">
        <v>33.340000000000003</v>
      </c>
      <c r="S587">
        <v>31.43</v>
      </c>
      <c r="T587">
        <v>46.54</v>
      </c>
      <c r="U587">
        <v>47.25</v>
      </c>
      <c r="V587" s="6">
        <v>28.63</v>
      </c>
    </row>
    <row r="588" spans="1:22" x14ac:dyDescent="0.2">
      <c r="A588" s="4">
        <v>45421</v>
      </c>
      <c r="B588" s="3">
        <v>106.88</v>
      </c>
      <c r="C588">
        <v>58.05</v>
      </c>
      <c r="D588">
        <v>34.65</v>
      </c>
      <c r="E588">
        <v>26.83</v>
      </c>
      <c r="F588">
        <v>37.44</v>
      </c>
      <c r="G588">
        <v>37.97</v>
      </c>
      <c r="H588">
        <v>24.55</v>
      </c>
      <c r="I588">
        <v>34.97</v>
      </c>
      <c r="J588">
        <v>79.239999999999995</v>
      </c>
      <c r="K588">
        <v>11.89</v>
      </c>
      <c r="L588">
        <v>10.83</v>
      </c>
      <c r="M588">
        <v>11.13</v>
      </c>
      <c r="N588">
        <v>8.4600000000000009</v>
      </c>
      <c r="O588">
        <v>24.61</v>
      </c>
      <c r="P588">
        <v>33.96</v>
      </c>
      <c r="Q588">
        <v>51.29</v>
      </c>
      <c r="R588">
        <v>32</v>
      </c>
      <c r="S588">
        <v>30.93</v>
      </c>
      <c r="T588">
        <v>46.78</v>
      </c>
      <c r="U588">
        <v>46.66</v>
      </c>
      <c r="V588" s="6">
        <v>29.36</v>
      </c>
    </row>
    <row r="589" spans="1:22" x14ac:dyDescent="0.2">
      <c r="A589" s="4">
        <v>45422</v>
      </c>
      <c r="B589" s="3">
        <v>107.19</v>
      </c>
      <c r="C589">
        <v>57.85</v>
      </c>
      <c r="D589">
        <v>34.58</v>
      </c>
      <c r="E589">
        <v>27.14</v>
      </c>
      <c r="F589">
        <v>37.159999999999997</v>
      </c>
      <c r="G589">
        <v>38.04</v>
      </c>
      <c r="H589">
        <v>24.98</v>
      </c>
      <c r="I589">
        <v>34.75</v>
      </c>
      <c r="J589">
        <v>78.41</v>
      </c>
      <c r="K589">
        <v>11.82</v>
      </c>
      <c r="L589">
        <v>10.57</v>
      </c>
      <c r="M589">
        <v>11.12</v>
      </c>
      <c r="N589">
        <v>8.5500000000000007</v>
      </c>
      <c r="O589">
        <v>24.62</v>
      </c>
      <c r="P589">
        <v>33.47</v>
      </c>
      <c r="Q589">
        <v>50.31</v>
      </c>
      <c r="R589">
        <v>32.29</v>
      </c>
      <c r="S589">
        <v>30.6</v>
      </c>
      <c r="T589">
        <v>47</v>
      </c>
      <c r="U589">
        <v>44.26</v>
      </c>
      <c r="V589" s="6">
        <v>29.7</v>
      </c>
    </row>
    <row r="590" spans="1:22" x14ac:dyDescent="0.2">
      <c r="A590" s="4">
        <v>45425</v>
      </c>
      <c r="B590" s="3">
        <v>107.36</v>
      </c>
      <c r="C590">
        <v>58.2</v>
      </c>
      <c r="D590">
        <v>34.61</v>
      </c>
      <c r="E590">
        <v>27.47</v>
      </c>
      <c r="F590">
        <v>37.159999999999997</v>
      </c>
      <c r="G590">
        <v>38.14</v>
      </c>
      <c r="H590">
        <v>25.17</v>
      </c>
      <c r="I590">
        <v>34.81</v>
      </c>
      <c r="J590">
        <v>78.47</v>
      </c>
      <c r="K590">
        <v>11.87</v>
      </c>
      <c r="L590">
        <v>10.85</v>
      </c>
      <c r="M590">
        <v>11.14</v>
      </c>
      <c r="N590">
        <v>8.6199999999999992</v>
      </c>
      <c r="O590">
        <v>25.12</v>
      </c>
      <c r="P590">
        <v>34.229999999999997</v>
      </c>
      <c r="Q590">
        <v>49.34</v>
      </c>
      <c r="R590">
        <v>32.82</v>
      </c>
      <c r="S590">
        <v>30.55</v>
      </c>
      <c r="T590">
        <v>46.4</v>
      </c>
      <c r="U590">
        <v>43.6</v>
      </c>
      <c r="V590" s="6">
        <v>29.86</v>
      </c>
    </row>
    <row r="591" spans="1:22" x14ac:dyDescent="0.2">
      <c r="A591" s="4">
        <v>45426</v>
      </c>
      <c r="B591" s="3">
        <v>106.88</v>
      </c>
      <c r="C591">
        <v>58.16</v>
      </c>
      <c r="D591">
        <v>33.99</v>
      </c>
      <c r="E591">
        <v>27.77</v>
      </c>
      <c r="F591">
        <v>36.14</v>
      </c>
      <c r="G591">
        <v>38.659999999999997</v>
      </c>
      <c r="H591">
        <v>25.34</v>
      </c>
      <c r="I591">
        <v>35.090000000000003</v>
      </c>
      <c r="J591">
        <v>79.010000000000005</v>
      </c>
      <c r="K591">
        <v>11.86</v>
      </c>
      <c r="L591">
        <v>11.08</v>
      </c>
      <c r="M591">
        <v>11.23</v>
      </c>
      <c r="N591">
        <v>8.76</v>
      </c>
      <c r="O591">
        <v>25.15</v>
      </c>
      <c r="P591">
        <v>36.85</v>
      </c>
      <c r="Q591">
        <v>48.52</v>
      </c>
      <c r="R591">
        <v>33.42</v>
      </c>
      <c r="S591">
        <v>31.12</v>
      </c>
      <c r="T591">
        <v>45.91</v>
      </c>
      <c r="U591">
        <v>44.26</v>
      </c>
      <c r="V591" s="6">
        <v>29.79</v>
      </c>
    </row>
    <row r="592" spans="1:22" x14ac:dyDescent="0.2">
      <c r="A592" s="4">
        <v>45427</v>
      </c>
      <c r="B592" s="3">
        <v>106.92</v>
      </c>
      <c r="C592">
        <v>57.99</v>
      </c>
      <c r="D592">
        <v>31.93</v>
      </c>
      <c r="E592">
        <v>27.69</v>
      </c>
      <c r="F592">
        <v>33.69</v>
      </c>
      <c r="G592">
        <v>38.67</v>
      </c>
      <c r="H592">
        <v>25.01</v>
      </c>
      <c r="I592">
        <v>35.03</v>
      </c>
      <c r="J592">
        <v>79.22</v>
      </c>
      <c r="K592">
        <v>11.75</v>
      </c>
      <c r="L592">
        <v>11.12</v>
      </c>
      <c r="M592">
        <v>11.37</v>
      </c>
      <c r="N592">
        <v>8.75</v>
      </c>
      <c r="O592">
        <v>27.19</v>
      </c>
      <c r="P592">
        <v>38.93</v>
      </c>
      <c r="Q592">
        <v>49.18</v>
      </c>
      <c r="R592">
        <v>34.15</v>
      </c>
      <c r="S592">
        <v>31.55</v>
      </c>
      <c r="T592">
        <v>47</v>
      </c>
      <c r="U592">
        <v>45.09</v>
      </c>
      <c r="V592" s="6">
        <v>29.86</v>
      </c>
    </row>
    <row r="593" spans="1:22" x14ac:dyDescent="0.2">
      <c r="A593" s="4">
        <v>45428</v>
      </c>
      <c r="B593" s="3">
        <v>106.87</v>
      </c>
      <c r="C593">
        <v>58.41</v>
      </c>
      <c r="D593">
        <v>31.03</v>
      </c>
      <c r="E593">
        <v>27.61</v>
      </c>
      <c r="F593">
        <v>33.08</v>
      </c>
      <c r="G593">
        <v>38.65</v>
      </c>
      <c r="H593">
        <v>25.04</v>
      </c>
      <c r="I593">
        <v>35.26</v>
      </c>
      <c r="J593">
        <v>79.739999999999995</v>
      </c>
      <c r="K593">
        <v>11.81</v>
      </c>
      <c r="L593">
        <v>11.21</v>
      </c>
      <c r="M593">
        <v>11.44</v>
      </c>
      <c r="N593">
        <v>8.7899999999999991</v>
      </c>
      <c r="O593">
        <v>28.45</v>
      </c>
      <c r="P593">
        <v>38.630000000000003</v>
      </c>
      <c r="Q593">
        <v>49.99</v>
      </c>
      <c r="R593">
        <v>34.32</v>
      </c>
      <c r="S593">
        <v>31.29</v>
      </c>
      <c r="T593">
        <v>47.38</v>
      </c>
      <c r="U593">
        <v>45.8</v>
      </c>
      <c r="V593" s="6">
        <v>29.88</v>
      </c>
    </row>
    <row r="594" spans="1:22" x14ac:dyDescent="0.2">
      <c r="A594" s="4">
        <v>45429</v>
      </c>
      <c r="B594" s="3">
        <v>106.49</v>
      </c>
      <c r="C594">
        <v>59.55</v>
      </c>
      <c r="D594">
        <v>30.51</v>
      </c>
      <c r="E594">
        <v>27.62</v>
      </c>
      <c r="F594">
        <v>32.47</v>
      </c>
      <c r="G594">
        <v>38.69</v>
      </c>
      <c r="H594">
        <v>25.05</v>
      </c>
      <c r="I594">
        <v>35.049999999999997</v>
      </c>
      <c r="J594">
        <v>78.56</v>
      </c>
      <c r="K594">
        <v>11.87</v>
      </c>
      <c r="L594">
        <v>11.03</v>
      </c>
      <c r="M594">
        <v>11.44</v>
      </c>
      <c r="N594">
        <v>8.74</v>
      </c>
      <c r="O594">
        <v>29.19</v>
      </c>
      <c r="P594">
        <v>39.520000000000003</v>
      </c>
      <c r="Q594">
        <v>50.07</v>
      </c>
      <c r="R594">
        <v>33.770000000000003</v>
      </c>
      <c r="S594">
        <v>30.74</v>
      </c>
      <c r="T594">
        <v>48.12</v>
      </c>
      <c r="U594">
        <v>45.58</v>
      </c>
      <c r="V594" s="6">
        <v>30.17</v>
      </c>
    </row>
    <row r="595" spans="1:22" x14ac:dyDescent="0.2">
      <c r="A595" s="4">
        <v>45432</v>
      </c>
      <c r="B595" s="3">
        <v>106.36</v>
      </c>
      <c r="C595">
        <v>59.53</v>
      </c>
      <c r="D595">
        <v>30.56</v>
      </c>
      <c r="E595">
        <v>27.54</v>
      </c>
      <c r="F595">
        <v>32.58</v>
      </c>
      <c r="G595">
        <v>38.89</v>
      </c>
      <c r="H595">
        <v>25.26</v>
      </c>
      <c r="I595">
        <v>33.81</v>
      </c>
      <c r="J595">
        <v>77.81</v>
      </c>
      <c r="K595">
        <v>11.78</v>
      </c>
      <c r="L595">
        <v>11.04</v>
      </c>
      <c r="M595">
        <v>11.18</v>
      </c>
      <c r="N595">
        <v>8.6999999999999993</v>
      </c>
      <c r="O595">
        <v>29.4</v>
      </c>
      <c r="P595">
        <v>38.840000000000003</v>
      </c>
      <c r="Q595">
        <v>49.68</v>
      </c>
      <c r="R595">
        <v>33.18</v>
      </c>
      <c r="S595">
        <v>30.57</v>
      </c>
      <c r="T595">
        <v>47.5</v>
      </c>
      <c r="U595">
        <v>45.13</v>
      </c>
      <c r="V595" s="6">
        <v>30.4</v>
      </c>
    </row>
    <row r="596" spans="1:22" x14ac:dyDescent="0.2">
      <c r="A596" s="4">
        <v>45433</v>
      </c>
      <c r="B596" s="3">
        <v>104.83</v>
      </c>
      <c r="C596">
        <v>59.36</v>
      </c>
      <c r="D596">
        <v>30.5</v>
      </c>
      <c r="E596">
        <v>27.39</v>
      </c>
      <c r="F596">
        <v>32.340000000000003</v>
      </c>
      <c r="G596">
        <v>38.81</v>
      </c>
      <c r="H596">
        <v>25.24</v>
      </c>
      <c r="I596">
        <v>34.450000000000003</v>
      </c>
      <c r="J596">
        <v>76.98</v>
      </c>
      <c r="K596">
        <v>11.84</v>
      </c>
      <c r="L596">
        <v>11.02</v>
      </c>
      <c r="M596">
        <v>11.1</v>
      </c>
      <c r="N596">
        <v>8.69</v>
      </c>
      <c r="O596">
        <v>29.49</v>
      </c>
      <c r="P596">
        <v>39.46</v>
      </c>
      <c r="Q596">
        <v>47.83</v>
      </c>
      <c r="R596">
        <v>32.86</v>
      </c>
      <c r="S596">
        <v>30.59</v>
      </c>
      <c r="T596">
        <v>45.85</v>
      </c>
      <c r="U596">
        <v>43.9</v>
      </c>
      <c r="V596" s="6">
        <v>30.06</v>
      </c>
    </row>
    <row r="597" spans="1:22" x14ac:dyDescent="0.2">
      <c r="A597" s="4">
        <v>45434</v>
      </c>
      <c r="B597" s="3">
        <v>104.1</v>
      </c>
      <c r="C597">
        <v>58.89</v>
      </c>
      <c r="D597">
        <v>30.92</v>
      </c>
      <c r="E597">
        <v>26.97</v>
      </c>
      <c r="F597">
        <v>32.64</v>
      </c>
      <c r="G597">
        <v>38.340000000000003</v>
      </c>
      <c r="H597">
        <v>24.88</v>
      </c>
      <c r="I597">
        <v>33.25</v>
      </c>
      <c r="J597">
        <v>74.95</v>
      </c>
      <c r="K597">
        <v>11.58</v>
      </c>
      <c r="L597">
        <v>10.69</v>
      </c>
      <c r="M597">
        <v>11.06</v>
      </c>
      <c r="N597">
        <v>8.6199999999999992</v>
      </c>
      <c r="O597">
        <v>29.35</v>
      </c>
      <c r="P597">
        <v>38.65</v>
      </c>
      <c r="Q597">
        <v>47.02</v>
      </c>
      <c r="R597">
        <v>31.9</v>
      </c>
      <c r="S597">
        <v>29.95</v>
      </c>
      <c r="T597">
        <v>44.21</v>
      </c>
      <c r="U597">
        <v>43.13</v>
      </c>
      <c r="V597" s="6">
        <v>28.24</v>
      </c>
    </row>
    <row r="598" spans="1:22" x14ac:dyDescent="0.2">
      <c r="A598" s="4">
        <v>45435</v>
      </c>
      <c r="B598" s="3">
        <v>103.83</v>
      </c>
      <c r="C598">
        <v>58.54</v>
      </c>
      <c r="D598">
        <v>30.61</v>
      </c>
      <c r="E598">
        <v>26.73</v>
      </c>
      <c r="F598">
        <v>32.36</v>
      </c>
      <c r="G598">
        <v>38.090000000000003</v>
      </c>
      <c r="H598">
        <v>24.37</v>
      </c>
      <c r="I598">
        <v>33.159999999999997</v>
      </c>
      <c r="J598">
        <v>75.36</v>
      </c>
      <c r="K598">
        <v>11.38</v>
      </c>
      <c r="L598">
        <v>10.73</v>
      </c>
      <c r="M598">
        <v>11.05</v>
      </c>
      <c r="N598">
        <v>8.5500000000000007</v>
      </c>
      <c r="O598">
        <v>29.48</v>
      </c>
      <c r="P598">
        <v>37.93</v>
      </c>
      <c r="Q598">
        <v>48.75</v>
      </c>
      <c r="R598">
        <v>31.35</v>
      </c>
      <c r="S598">
        <v>29.65</v>
      </c>
      <c r="T598">
        <v>44.47</v>
      </c>
      <c r="U598">
        <v>43.04</v>
      </c>
      <c r="V598" s="6">
        <v>28.32</v>
      </c>
    </row>
    <row r="599" spans="1:22" x14ac:dyDescent="0.2">
      <c r="A599" s="4">
        <v>45436</v>
      </c>
      <c r="B599" s="3">
        <v>103.81</v>
      </c>
      <c r="C599">
        <v>58.56</v>
      </c>
      <c r="D599">
        <v>30.44</v>
      </c>
      <c r="E599">
        <v>26.47</v>
      </c>
      <c r="F599">
        <v>32.26</v>
      </c>
      <c r="G599">
        <v>37.42</v>
      </c>
      <c r="H599">
        <v>24.5</v>
      </c>
      <c r="I599">
        <v>33.21</v>
      </c>
      <c r="J599">
        <v>75.61</v>
      </c>
      <c r="K599">
        <v>11.46</v>
      </c>
      <c r="L599">
        <v>10.76</v>
      </c>
      <c r="M599">
        <v>10.97</v>
      </c>
      <c r="N599">
        <v>8.49</v>
      </c>
      <c r="O599">
        <v>29.36</v>
      </c>
      <c r="P599">
        <v>37.64</v>
      </c>
      <c r="Q599">
        <v>47.63</v>
      </c>
      <c r="R599">
        <v>30.93</v>
      </c>
      <c r="S599">
        <v>30.15</v>
      </c>
      <c r="T599">
        <v>43.45</v>
      </c>
      <c r="U599">
        <v>42.75</v>
      </c>
      <c r="V599" s="6">
        <v>28.11</v>
      </c>
    </row>
    <row r="600" spans="1:22" x14ac:dyDescent="0.2">
      <c r="A600" s="4">
        <v>45439</v>
      </c>
      <c r="B600" s="3">
        <v>103.19</v>
      </c>
      <c r="C600">
        <v>58.76</v>
      </c>
      <c r="D600">
        <v>30.78</v>
      </c>
      <c r="E600">
        <v>26.38</v>
      </c>
      <c r="F600">
        <v>32.58</v>
      </c>
      <c r="G600">
        <v>37.43</v>
      </c>
      <c r="H600">
        <v>24.79</v>
      </c>
      <c r="I600">
        <v>33.21</v>
      </c>
      <c r="J600">
        <v>75.069999999999993</v>
      </c>
      <c r="K600">
        <v>11.43</v>
      </c>
      <c r="L600">
        <v>10.72</v>
      </c>
      <c r="M600">
        <v>10.91</v>
      </c>
      <c r="N600">
        <v>8.49</v>
      </c>
      <c r="O600">
        <v>28.96</v>
      </c>
      <c r="P600">
        <v>38.11</v>
      </c>
      <c r="Q600">
        <v>47.68</v>
      </c>
      <c r="R600">
        <v>31.05</v>
      </c>
      <c r="S600">
        <v>30.43</v>
      </c>
      <c r="T600">
        <v>43.67</v>
      </c>
      <c r="U600">
        <v>42.32</v>
      </c>
      <c r="V600" s="6">
        <v>27.68</v>
      </c>
    </row>
    <row r="601" spans="1:22" x14ac:dyDescent="0.2">
      <c r="A601" s="4">
        <v>45440</v>
      </c>
      <c r="B601" s="3">
        <v>102.55</v>
      </c>
      <c r="C601">
        <v>57.49</v>
      </c>
      <c r="D601">
        <v>31.43</v>
      </c>
      <c r="E601">
        <v>26.24</v>
      </c>
      <c r="F601">
        <v>33.159999999999997</v>
      </c>
      <c r="G601">
        <v>37.31</v>
      </c>
      <c r="H601">
        <v>24.71</v>
      </c>
      <c r="I601">
        <v>32.9</v>
      </c>
      <c r="J601">
        <v>74.63</v>
      </c>
      <c r="K601">
        <v>11.42</v>
      </c>
      <c r="L601">
        <v>10.7</v>
      </c>
      <c r="M601">
        <v>10.71</v>
      </c>
      <c r="N601">
        <v>8.49</v>
      </c>
      <c r="O601">
        <v>28.95</v>
      </c>
      <c r="P601">
        <v>37.130000000000003</v>
      </c>
      <c r="Q601">
        <v>47.76</v>
      </c>
      <c r="R601">
        <v>31.06</v>
      </c>
      <c r="S601">
        <v>29.93</v>
      </c>
      <c r="T601">
        <v>43.16</v>
      </c>
      <c r="U601">
        <v>41.96</v>
      </c>
      <c r="V601" s="6">
        <v>27.33</v>
      </c>
    </row>
    <row r="602" spans="1:22" x14ac:dyDescent="0.2">
      <c r="A602" s="4">
        <v>45441</v>
      </c>
      <c r="B602" s="3">
        <v>102</v>
      </c>
      <c r="C602">
        <v>56.91</v>
      </c>
      <c r="D602">
        <v>31.39</v>
      </c>
      <c r="E602">
        <v>26.06</v>
      </c>
      <c r="F602">
        <v>33.229999999999997</v>
      </c>
      <c r="G602">
        <v>36.82</v>
      </c>
      <c r="H602">
        <v>24.71</v>
      </c>
      <c r="I602">
        <v>32.39</v>
      </c>
      <c r="J602">
        <v>74.69</v>
      </c>
      <c r="K602">
        <v>11.3</v>
      </c>
      <c r="L602">
        <v>10.51</v>
      </c>
      <c r="M602">
        <v>10.64</v>
      </c>
      <c r="N602">
        <v>8.41</v>
      </c>
      <c r="O602">
        <v>28.91</v>
      </c>
      <c r="P602">
        <v>36.61</v>
      </c>
      <c r="Q602">
        <v>47.96</v>
      </c>
      <c r="R602">
        <v>30.76</v>
      </c>
      <c r="S602">
        <v>29.41</v>
      </c>
      <c r="T602">
        <v>42.43</v>
      </c>
      <c r="U602">
        <v>41.44</v>
      </c>
      <c r="V602" s="6">
        <v>26.98</v>
      </c>
    </row>
    <row r="603" spans="1:22" x14ac:dyDescent="0.2">
      <c r="A603" s="4">
        <v>45443</v>
      </c>
      <c r="B603" s="3">
        <v>101.9</v>
      </c>
      <c r="C603">
        <v>56.87</v>
      </c>
      <c r="D603">
        <v>32.26</v>
      </c>
      <c r="E603">
        <v>25.79</v>
      </c>
      <c r="F603">
        <v>34.270000000000003</v>
      </c>
      <c r="G603">
        <v>36.65</v>
      </c>
      <c r="H603">
        <v>24.53</v>
      </c>
      <c r="I603">
        <v>31.92</v>
      </c>
      <c r="J603">
        <v>73.86</v>
      </c>
      <c r="K603">
        <v>11.2</v>
      </c>
      <c r="L603">
        <v>10.34</v>
      </c>
      <c r="M603">
        <v>10.68</v>
      </c>
      <c r="N603">
        <v>8.2899999999999991</v>
      </c>
      <c r="O603">
        <v>28.84</v>
      </c>
      <c r="P603">
        <v>36.19</v>
      </c>
      <c r="Q603">
        <v>47.39</v>
      </c>
      <c r="R603">
        <v>30.44</v>
      </c>
      <c r="S603">
        <v>29.23</v>
      </c>
      <c r="T603">
        <v>41.61</v>
      </c>
      <c r="U603">
        <v>40.24</v>
      </c>
      <c r="V603" s="6">
        <v>26.63</v>
      </c>
    </row>
    <row r="604" spans="1:22" x14ac:dyDescent="0.2">
      <c r="A604" s="4">
        <v>45446</v>
      </c>
      <c r="B604" s="3">
        <v>101.65</v>
      </c>
      <c r="C604">
        <v>55.68</v>
      </c>
      <c r="D604">
        <v>32.08</v>
      </c>
      <c r="E604">
        <v>26.15</v>
      </c>
      <c r="F604">
        <v>33.89</v>
      </c>
      <c r="G604">
        <v>36.44</v>
      </c>
      <c r="H604">
        <v>24.56</v>
      </c>
      <c r="I604">
        <v>32.53</v>
      </c>
      <c r="J604">
        <v>73.55</v>
      </c>
      <c r="K604">
        <v>11.27</v>
      </c>
      <c r="L604">
        <v>10.33</v>
      </c>
      <c r="M604">
        <v>10.67</v>
      </c>
      <c r="N604">
        <v>8.35</v>
      </c>
      <c r="O604">
        <v>28.78</v>
      </c>
      <c r="P604">
        <v>36.69</v>
      </c>
      <c r="Q604">
        <v>45.85</v>
      </c>
      <c r="R604">
        <v>31.37</v>
      </c>
      <c r="S604">
        <v>29.64</v>
      </c>
      <c r="T604">
        <v>41.17</v>
      </c>
      <c r="U604">
        <v>40.159999999999997</v>
      </c>
      <c r="V604" s="6">
        <v>26.49</v>
      </c>
    </row>
    <row r="605" spans="1:22" x14ac:dyDescent="0.2">
      <c r="A605" s="4">
        <v>45447</v>
      </c>
      <c r="B605" s="3">
        <v>101.6</v>
      </c>
      <c r="C605">
        <v>55.11</v>
      </c>
      <c r="D605">
        <v>31.73</v>
      </c>
      <c r="E605">
        <v>26.24</v>
      </c>
      <c r="F605">
        <v>33.69</v>
      </c>
      <c r="G605">
        <v>36.89</v>
      </c>
      <c r="H605">
        <v>24.63</v>
      </c>
      <c r="I605">
        <v>32.81</v>
      </c>
      <c r="J605">
        <v>74.67</v>
      </c>
      <c r="K605">
        <v>11.37</v>
      </c>
      <c r="L605">
        <v>10.35</v>
      </c>
      <c r="M605">
        <v>10.8</v>
      </c>
      <c r="N605">
        <v>8.39</v>
      </c>
      <c r="O605">
        <v>28.45</v>
      </c>
      <c r="P605">
        <v>37.64</v>
      </c>
      <c r="Q605">
        <v>45.64</v>
      </c>
      <c r="R605">
        <v>31.09</v>
      </c>
      <c r="S605">
        <v>29.78</v>
      </c>
      <c r="T605">
        <v>40.89</v>
      </c>
      <c r="U605">
        <v>40.340000000000003</v>
      </c>
      <c r="V605" s="6">
        <v>26.33</v>
      </c>
    </row>
    <row r="606" spans="1:22" x14ac:dyDescent="0.2">
      <c r="A606" s="4">
        <v>45448</v>
      </c>
      <c r="B606" s="3">
        <v>102.6</v>
      </c>
      <c r="C606">
        <v>54.33</v>
      </c>
      <c r="D606">
        <v>31.77</v>
      </c>
      <c r="E606">
        <v>26.19</v>
      </c>
      <c r="F606">
        <v>33.64</v>
      </c>
      <c r="G606">
        <v>36.64</v>
      </c>
      <c r="H606">
        <v>24.69</v>
      </c>
      <c r="I606">
        <v>33.119999999999997</v>
      </c>
      <c r="J606">
        <v>78.010000000000005</v>
      </c>
      <c r="K606">
        <v>11.31</v>
      </c>
      <c r="L606">
        <v>10.38</v>
      </c>
      <c r="M606">
        <v>10.69</v>
      </c>
      <c r="N606">
        <v>8.44</v>
      </c>
      <c r="O606">
        <v>28.57</v>
      </c>
      <c r="P606">
        <v>36.56</v>
      </c>
      <c r="Q606">
        <v>45.39</v>
      </c>
      <c r="R606">
        <v>31.3</v>
      </c>
      <c r="S606">
        <v>30.06</v>
      </c>
      <c r="T606">
        <v>40.14</v>
      </c>
      <c r="U606">
        <v>40.51</v>
      </c>
      <c r="V606" s="6">
        <v>26.09</v>
      </c>
    </row>
    <row r="607" spans="1:22" x14ac:dyDescent="0.2">
      <c r="A607" s="4">
        <v>45449</v>
      </c>
      <c r="B607" s="3">
        <v>100.87</v>
      </c>
      <c r="C607">
        <v>55.08</v>
      </c>
      <c r="D607">
        <v>31.92</v>
      </c>
      <c r="E607">
        <v>26.53</v>
      </c>
      <c r="F607">
        <v>33.630000000000003</v>
      </c>
      <c r="G607">
        <v>36.9</v>
      </c>
      <c r="H607">
        <v>25.01</v>
      </c>
      <c r="I607">
        <v>33.53</v>
      </c>
      <c r="J607">
        <v>77.319999999999993</v>
      </c>
      <c r="K607">
        <v>11.55</v>
      </c>
      <c r="L607">
        <v>10.71</v>
      </c>
      <c r="M607">
        <v>10.92</v>
      </c>
      <c r="N607">
        <v>8.49</v>
      </c>
      <c r="O607">
        <v>29.17</v>
      </c>
      <c r="P607">
        <v>36.869999999999997</v>
      </c>
      <c r="Q607">
        <v>47.05</v>
      </c>
      <c r="R607">
        <v>32.08</v>
      </c>
      <c r="S607">
        <v>29.91</v>
      </c>
      <c r="T607">
        <v>40.17</v>
      </c>
      <c r="U607">
        <v>41.15</v>
      </c>
      <c r="V607" s="6">
        <v>26.55</v>
      </c>
    </row>
    <row r="608" spans="1:22" x14ac:dyDescent="0.2">
      <c r="A608" s="4">
        <v>45450</v>
      </c>
      <c r="B608" s="3">
        <v>100.95</v>
      </c>
      <c r="C608">
        <v>54.36</v>
      </c>
      <c r="D608">
        <v>30.72</v>
      </c>
      <c r="E608">
        <v>26.15</v>
      </c>
      <c r="F608">
        <v>32.49</v>
      </c>
      <c r="G608">
        <v>36.94</v>
      </c>
      <c r="H608">
        <v>24.59</v>
      </c>
      <c r="I608">
        <v>32.78</v>
      </c>
      <c r="J608">
        <v>74.25</v>
      </c>
      <c r="K608">
        <v>11.46</v>
      </c>
      <c r="L608">
        <v>10.39</v>
      </c>
      <c r="M608">
        <v>10.68</v>
      </c>
      <c r="N608">
        <v>8.2799999999999994</v>
      </c>
      <c r="O608">
        <v>29.24</v>
      </c>
      <c r="P608">
        <v>38.36</v>
      </c>
      <c r="Q608">
        <v>47.34</v>
      </c>
      <c r="R608">
        <v>31.49</v>
      </c>
      <c r="S608">
        <v>29.48</v>
      </c>
      <c r="T608">
        <v>39.92</v>
      </c>
      <c r="U608">
        <v>40.26</v>
      </c>
      <c r="V608" s="6">
        <v>26.1</v>
      </c>
    </row>
    <row r="609" spans="1:22" x14ac:dyDescent="0.2">
      <c r="A609" s="4">
        <v>45453</v>
      </c>
      <c r="B609" s="3">
        <v>101.64</v>
      </c>
      <c r="C609">
        <v>54.96</v>
      </c>
      <c r="D609">
        <v>31.18</v>
      </c>
      <c r="E609">
        <v>25.94</v>
      </c>
      <c r="F609">
        <v>33.090000000000003</v>
      </c>
      <c r="G609">
        <v>36.9</v>
      </c>
      <c r="H609">
        <v>24.61</v>
      </c>
      <c r="I609">
        <v>33.01</v>
      </c>
      <c r="J609">
        <v>75.099999999999994</v>
      </c>
      <c r="K609">
        <v>11.38</v>
      </c>
      <c r="L609">
        <v>10.14</v>
      </c>
      <c r="M609">
        <v>10.59</v>
      </c>
      <c r="N609">
        <v>8.2100000000000009</v>
      </c>
      <c r="O609">
        <v>29.25</v>
      </c>
      <c r="P609">
        <v>38.99</v>
      </c>
      <c r="Q609">
        <v>48.36</v>
      </c>
      <c r="R609">
        <v>30.44</v>
      </c>
      <c r="S609">
        <v>29.18</v>
      </c>
      <c r="T609">
        <v>40.799999999999997</v>
      </c>
      <c r="U609">
        <v>39.42</v>
      </c>
      <c r="V609" s="6">
        <v>25.75</v>
      </c>
    </row>
    <row r="610" spans="1:22" x14ac:dyDescent="0.2">
      <c r="A610" s="4">
        <v>45454</v>
      </c>
      <c r="B610" s="3">
        <v>100.11</v>
      </c>
      <c r="C610">
        <v>54.87</v>
      </c>
      <c r="D610">
        <v>31.32</v>
      </c>
      <c r="E610">
        <v>26.24</v>
      </c>
      <c r="F610">
        <v>33.06</v>
      </c>
      <c r="G610">
        <v>36.89</v>
      </c>
      <c r="H610">
        <v>24.88</v>
      </c>
      <c r="I610">
        <v>33.229999999999997</v>
      </c>
      <c r="J610">
        <v>75.599999999999994</v>
      </c>
      <c r="K610">
        <v>11.44</v>
      </c>
      <c r="L610">
        <v>10.19</v>
      </c>
      <c r="M610">
        <v>10.53</v>
      </c>
      <c r="N610">
        <v>8.33</v>
      </c>
      <c r="O610">
        <v>29.51</v>
      </c>
      <c r="P610">
        <v>38.770000000000003</v>
      </c>
      <c r="Q610">
        <v>47.61</v>
      </c>
      <c r="R610">
        <v>31.05</v>
      </c>
      <c r="S610">
        <v>29.25</v>
      </c>
      <c r="T610">
        <v>42.55</v>
      </c>
      <c r="U610">
        <v>39.130000000000003</v>
      </c>
      <c r="V610" s="6">
        <v>26.34</v>
      </c>
    </row>
    <row r="611" spans="1:22" x14ac:dyDescent="0.2">
      <c r="A611" s="4">
        <v>45455</v>
      </c>
      <c r="B611" s="3">
        <v>99.85</v>
      </c>
      <c r="C611">
        <v>54.12</v>
      </c>
      <c r="D611">
        <v>30.56</v>
      </c>
      <c r="E611">
        <v>26.19</v>
      </c>
      <c r="F611">
        <v>32.369999999999997</v>
      </c>
      <c r="G611">
        <v>37.159999999999997</v>
      </c>
      <c r="H611">
        <v>24.37</v>
      </c>
      <c r="I611">
        <v>32.65</v>
      </c>
      <c r="J611">
        <v>73.16</v>
      </c>
      <c r="K611">
        <v>11.23</v>
      </c>
      <c r="L611">
        <v>10.050000000000001</v>
      </c>
      <c r="M611">
        <v>10.41</v>
      </c>
      <c r="N611">
        <v>8.26</v>
      </c>
      <c r="O611">
        <v>29.19</v>
      </c>
      <c r="P611">
        <v>39.93</v>
      </c>
      <c r="Q611">
        <v>47.68</v>
      </c>
      <c r="R611">
        <v>30.53</v>
      </c>
      <c r="S611">
        <v>29.03</v>
      </c>
      <c r="T611">
        <v>42.69</v>
      </c>
      <c r="U611">
        <v>38.630000000000003</v>
      </c>
      <c r="V611" s="6">
        <v>25.98</v>
      </c>
    </row>
    <row r="612" spans="1:22" x14ac:dyDescent="0.2">
      <c r="A612" s="4">
        <v>45456</v>
      </c>
      <c r="B612" s="3">
        <v>99.9</v>
      </c>
      <c r="C612">
        <v>54.74</v>
      </c>
      <c r="D612">
        <v>30.25</v>
      </c>
      <c r="E612">
        <v>25.92</v>
      </c>
      <c r="F612">
        <v>31.94</v>
      </c>
      <c r="G612">
        <v>37.5</v>
      </c>
      <c r="H612">
        <v>24.54</v>
      </c>
      <c r="I612">
        <v>32.64</v>
      </c>
      <c r="J612">
        <v>74.47</v>
      </c>
      <c r="K612">
        <v>11.24</v>
      </c>
      <c r="L612">
        <v>9.74</v>
      </c>
      <c r="M612">
        <v>10.25</v>
      </c>
      <c r="N612">
        <v>8.17</v>
      </c>
      <c r="O612">
        <v>29.06</v>
      </c>
      <c r="P612">
        <v>39.4</v>
      </c>
      <c r="Q612">
        <v>47.46</v>
      </c>
      <c r="R612">
        <v>30.71</v>
      </c>
      <c r="S612">
        <v>29.05</v>
      </c>
      <c r="T612">
        <v>41.86</v>
      </c>
      <c r="U612">
        <v>37.840000000000003</v>
      </c>
      <c r="V612" s="6">
        <v>25.95</v>
      </c>
    </row>
    <row r="613" spans="1:22" x14ac:dyDescent="0.2">
      <c r="A613" s="4">
        <v>45457</v>
      </c>
      <c r="B613" s="3">
        <v>99.56</v>
      </c>
      <c r="C613">
        <v>54.55</v>
      </c>
      <c r="D613">
        <v>29.59</v>
      </c>
      <c r="E613">
        <v>25.89</v>
      </c>
      <c r="F613">
        <v>31.61</v>
      </c>
      <c r="G613">
        <v>37.840000000000003</v>
      </c>
      <c r="H613">
        <v>24.45</v>
      </c>
      <c r="I613">
        <v>32.75</v>
      </c>
      <c r="J613">
        <v>75</v>
      </c>
      <c r="K613">
        <v>11.35</v>
      </c>
      <c r="L613">
        <v>10.02</v>
      </c>
      <c r="M613">
        <v>10.38</v>
      </c>
      <c r="N613">
        <v>8.17</v>
      </c>
      <c r="O613">
        <v>28.61</v>
      </c>
      <c r="P613">
        <v>37.29</v>
      </c>
      <c r="Q613">
        <v>47.66</v>
      </c>
      <c r="R613">
        <v>30.73</v>
      </c>
      <c r="S613">
        <v>29.78</v>
      </c>
      <c r="T613">
        <v>42.01</v>
      </c>
      <c r="U613">
        <v>38.06</v>
      </c>
      <c r="V613" s="6">
        <v>26.12</v>
      </c>
    </row>
    <row r="614" spans="1:22" x14ac:dyDescent="0.2">
      <c r="A614" s="4">
        <v>45460</v>
      </c>
      <c r="B614" s="3">
        <v>99.97</v>
      </c>
      <c r="C614">
        <v>54.34</v>
      </c>
      <c r="D614">
        <v>29.7</v>
      </c>
      <c r="E614">
        <v>26.53</v>
      </c>
      <c r="F614">
        <v>31.63</v>
      </c>
      <c r="G614">
        <v>37.840000000000003</v>
      </c>
      <c r="H614">
        <v>24.45</v>
      </c>
      <c r="I614">
        <v>32.24</v>
      </c>
      <c r="J614">
        <v>74.319999999999993</v>
      </c>
      <c r="K614">
        <v>11.48</v>
      </c>
      <c r="L614">
        <v>10.199999999999999</v>
      </c>
      <c r="M614">
        <v>10.38</v>
      </c>
      <c r="N614">
        <v>8.23</v>
      </c>
      <c r="O614">
        <v>27.83</v>
      </c>
      <c r="P614">
        <v>37.64</v>
      </c>
      <c r="Q614">
        <v>47.21</v>
      </c>
      <c r="R614">
        <v>30.51</v>
      </c>
      <c r="S614">
        <v>29.25</v>
      </c>
      <c r="T614">
        <v>41.72</v>
      </c>
      <c r="U614">
        <v>37.1</v>
      </c>
      <c r="V614" s="6">
        <v>24.77</v>
      </c>
    </row>
    <row r="615" spans="1:22" x14ac:dyDescent="0.2">
      <c r="A615" s="4">
        <v>45461</v>
      </c>
      <c r="B615" s="3">
        <v>100.25</v>
      </c>
      <c r="C615">
        <v>54.59</v>
      </c>
      <c r="D615">
        <v>30.63</v>
      </c>
      <c r="E615">
        <v>26.51</v>
      </c>
      <c r="F615">
        <v>32.69</v>
      </c>
      <c r="G615">
        <v>37.93</v>
      </c>
      <c r="H615">
        <v>24.11</v>
      </c>
      <c r="I615">
        <v>32.14</v>
      </c>
      <c r="J615">
        <v>72.11</v>
      </c>
      <c r="K615">
        <v>11.25</v>
      </c>
      <c r="L615">
        <v>10.25</v>
      </c>
      <c r="M615">
        <v>10.39</v>
      </c>
      <c r="N615">
        <v>8.2899999999999991</v>
      </c>
      <c r="O615">
        <v>28.9</v>
      </c>
      <c r="P615">
        <v>36.76</v>
      </c>
      <c r="Q615">
        <v>47</v>
      </c>
      <c r="R615">
        <v>30.77</v>
      </c>
      <c r="S615">
        <v>29.22</v>
      </c>
      <c r="T615">
        <v>41.25</v>
      </c>
      <c r="U615">
        <v>36.869999999999997</v>
      </c>
      <c r="V615" s="6">
        <v>25.41</v>
      </c>
    </row>
    <row r="616" spans="1:22" x14ac:dyDescent="0.2">
      <c r="A616" s="4">
        <v>45462</v>
      </c>
      <c r="B616" s="3">
        <v>100.76</v>
      </c>
      <c r="C616">
        <v>54.76</v>
      </c>
      <c r="D616">
        <v>30.66</v>
      </c>
      <c r="E616">
        <v>26.72</v>
      </c>
      <c r="F616">
        <v>32.479999999999997</v>
      </c>
      <c r="G616">
        <v>38.85</v>
      </c>
      <c r="H616">
        <v>24.28</v>
      </c>
      <c r="I616">
        <v>32.159999999999997</v>
      </c>
      <c r="J616">
        <v>72.12</v>
      </c>
      <c r="K616">
        <v>11.3</v>
      </c>
      <c r="L616">
        <v>10.18</v>
      </c>
      <c r="M616">
        <v>10.35</v>
      </c>
      <c r="N616">
        <v>8.3800000000000008</v>
      </c>
      <c r="O616">
        <v>29.41</v>
      </c>
      <c r="P616">
        <v>37.17</v>
      </c>
      <c r="Q616">
        <v>47.42</v>
      </c>
      <c r="R616">
        <v>31.07</v>
      </c>
      <c r="S616">
        <v>28.95</v>
      </c>
      <c r="T616">
        <v>41.31</v>
      </c>
      <c r="U616">
        <v>37.68</v>
      </c>
      <c r="V616" s="6">
        <v>25.36</v>
      </c>
    </row>
    <row r="617" spans="1:22" x14ac:dyDescent="0.2">
      <c r="A617" s="4">
        <v>45463</v>
      </c>
      <c r="B617" s="3">
        <v>101.55</v>
      </c>
      <c r="C617">
        <v>55.25</v>
      </c>
      <c r="D617">
        <v>31.14</v>
      </c>
      <c r="E617">
        <v>26.53</v>
      </c>
      <c r="F617">
        <v>33.14</v>
      </c>
      <c r="G617">
        <v>39.799999999999997</v>
      </c>
      <c r="H617">
        <v>24.39</v>
      </c>
      <c r="I617">
        <v>31.64</v>
      </c>
      <c r="J617">
        <v>72.06</v>
      </c>
      <c r="K617">
        <v>11.27</v>
      </c>
      <c r="L617">
        <v>10.050000000000001</v>
      </c>
      <c r="M617">
        <v>10.42</v>
      </c>
      <c r="N617">
        <v>8.3699999999999992</v>
      </c>
      <c r="O617">
        <v>29.53</v>
      </c>
      <c r="P617">
        <v>36.31</v>
      </c>
      <c r="Q617">
        <v>46.86</v>
      </c>
      <c r="R617">
        <v>30.67</v>
      </c>
      <c r="S617">
        <v>28.8</v>
      </c>
      <c r="T617">
        <v>40.950000000000003</v>
      </c>
      <c r="U617">
        <v>37.32</v>
      </c>
      <c r="V617" s="6">
        <v>24.97</v>
      </c>
    </row>
    <row r="618" spans="1:22" x14ac:dyDescent="0.2">
      <c r="A618" s="4">
        <v>45464</v>
      </c>
      <c r="B618" s="3">
        <v>102.41</v>
      </c>
      <c r="C618">
        <v>54.74</v>
      </c>
      <c r="D618">
        <v>31.33</v>
      </c>
      <c r="E618">
        <v>26.69</v>
      </c>
      <c r="F618">
        <v>33.06</v>
      </c>
      <c r="G618">
        <v>40.090000000000003</v>
      </c>
      <c r="H618">
        <v>24.6</v>
      </c>
      <c r="I618">
        <v>31.83</v>
      </c>
      <c r="J618">
        <v>74.849999999999994</v>
      </c>
      <c r="K618">
        <v>11.27</v>
      </c>
      <c r="L618">
        <v>10.11</v>
      </c>
      <c r="M618">
        <v>10.42</v>
      </c>
      <c r="N618">
        <v>8.33</v>
      </c>
      <c r="O618">
        <v>30.67</v>
      </c>
      <c r="P618">
        <v>37.83</v>
      </c>
      <c r="Q618">
        <v>47.54</v>
      </c>
      <c r="R618">
        <v>31.29</v>
      </c>
      <c r="S618">
        <v>29.27</v>
      </c>
      <c r="T618">
        <v>41.33</v>
      </c>
      <c r="U618">
        <v>39.270000000000003</v>
      </c>
      <c r="V618" s="6">
        <v>25.56</v>
      </c>
    </row>
    <row r="619" spans="1:22" x14ac:dyDescent="0.2">
      <c r="A619" s="4">
        <v>45467</v>
      </c>
      <c r="B619" s="3">
        <v>102.15</v>
      </c>
      <c r="C619">
        <v>54.8</v>
      </c>
      <c r="D619">
        <v>31.62</v>
      </c>
      <c r="E619">
        <v>27.07</v>
      </c>
      <c r="F619">
        <v>33.69</v>
      </c>
      <c r="G619">
        <v>39.89</v>
      </c>
      <c r="H619">
        <v>24.78</v>
      </c>
      <c r="I619">
        <v>32.1</v>
      </c>
      <c r="J619">
        <v>77.930000000000007</v>
      </c>
      <c r="K619">
        <v>11.3</v>
      </c>
      <c r="L619">
        <v>10.23</v>
      </c>
      <c r="M619">
        <v>10.46</v>
      </c>
      <c r="N619">
        <v>8.51</v>
      </c>
      <c r="O619">
        <v>31</v>
      </c>
      <c r="P619">
        <v>37.44</v>
      </c>
      <c r="Q619">
        <v>48.3</v>
      </c>
      <c r="R619">
        <v>31.68</v>
      </c>
      <c r="S619">
        <v>29.75</v>
      </c>
      <c r="T619">
        <v>42.08</v>
      </c>
      <c r="U619">
        <v>39.72</v>
      </c>
      <c r="V619" s="6">
        <v>25.81</v>
      </c>
    </row>
    <row r="620" spans="1:22" x14ac:dyDescent="0.2">
      <c r="A620" s="4">
        <v>45468</v>
      </c>
      <c r="B620" s="3">
        <v>102.32</v>
      </c>
      <c r="C620">
        <v>54.58</v>
      </c>
      <c r="D620">
        <v>31.59</v>
      </c>
      <c r="E620">
        <v>27.16</v>
      </c>
      <c r="F620">
        <v>33.57</v>
      </c>
      <c r="G620">
        <v>40.57</v>
      </c>
      <c r="H620">
        <v>24.86</v>
      </c>
      <c r="I620">
        <v>31.96</v>
      </c>
      <c r="J620">
        <v>77.61</v>
      </c>
      <c r="K620">
        <v>11.21</v>
      </c>
      <c r="L620">
        <v>10.050000000000001</v>
      </c>
      <c r="M620">
        <v>10.51</v>
      </c>
      <c r="N620">
        <v>8.52</v>
      </c>
      <c r="O620">
        <v>31.54</v>
      </c>
      <c r="P620">
        <v>37.71</v>
      </c>
      <c r="Q620">
        <v>48.37</v>
      </c>
      <c r="R620">
        <v>31.53</v>
      </c>
      <c r="S620">
        <v>29.21</v>
      </c>
      <c r="T620">
        <v>42.02</v>
      </c>
      <c r="U620">
        <v>39.770000000000003</v>
      </c>
      <c r="V620" s="6">
        <v>25.34</v>
      </c>
    </row>
    <row r="621" spans="1:22" x14ac:dyDescent="0.2">
      <c r="A621" s="4">
        <v>45469</v>
      </c>
      <c r="B621" s="3">
        <v>103.73</v>
      </c>
      <c r="C621">
        <v>55.25</v>
      </c>
      <c r="D621">
        <v>31.65</v>
      </c>
      <c r="E621">
        <v>27.11</v>
      </c>
      <c r="F621">
        <v>33.74</v>
      </c>
      <c r="G621">
        <v>40.94</v>
      </c>
      <c r="H621">
        <v>24.69</v>
      </c>
      <c r="I621">
        <v>31.79</v>
      </c>
      <c r="J621">
        <v>76.25</v>
      </c>
      <c r="K621">
        <v>11.24</v>
      </c>
      <c r="L621">
        <v>9.9499999999999993</v>
      </c>
      <c r="M621">
        <v>10.58</v>
      </c>
      <c r="N621">
        <v>8.48</v>
      </c>
      <c r="O621">
        <v>31.89</v>
      </c>
      <c r="P621">
        <v>37.979999999999997</v>
      </c>
      <c r="Q621">
        <v>49.45</v>
      </c>
      <c r="R621">
        <v>31.25</v>
      </c>
      <c r="S621">
        <v>29.1</v>
      </c>
      <c r="T621">
        <v>43.02</v>
      </c>
      <c r="U621">
        <v>39.93</v>
      </c>
      <c r="V621" s="6">
        <v>25.6</v>
      </c>
    </row>
    <row r="622" spans="1:22" x14ac:dyDescent="0.2">
      <c r="A622" s="4">
        <v>45470</v>
      </c>
      <c r="B622" s="3">
        <v>103.64</v>
      </c>
      <c r="C622">
        <v>55.4</v>
      </c>
      <c r="D622">
        <v>32.17</v>
      </c>
      <c r="E622">
        <v>27.16</v>
      </c>
      <c r="F622">
        <v>34.42</v>
      </c>
      <c r="G622">
        <v>40.700000000000003</v>
      </c>
      <c r="H622">
        <v>24.68</v>
      </c>
      <c r="I622">
        <v>32.72</v>
      </c>
      <c r="J622">
        <v>74.11</v>
      </c>
      <c r="K622">
        <v>11.28</v>
      </c>
      <c r="L622">
        <v>10.119999999999999</v>
      </c>
      <c r="M622">
        <v>10.59</v>
      </c>
      <c r="N622">
        <v>8.4700000000000006</v>
      </c>
      <c r="O622">
        <v>32.659999999999997</v>
      </c>
      <c r="P622">
        <v>38.18</v>
      </c>
      <c r="Q622">
        <v>55.47</v>
      </c>
      <c r="R622">
        <v>31.01</v>
      </c>
      <c r="S622">
        <v>30.93</v>
      </c>
      <c r="T622">
        <v>43.18</v>
      </c>
      <c r="U622">
        <v>40.68</v>
      </c>
      <c r="V622" s="6">
        <v>26.57</v>
      </c>
    </row>
    <row r="623" spans="1:22" x14ac:dyDescent="0.2">
      <c r="A623" s="4">
        <v>45471</v>
      </c>
      <c r="B623" s="3">
        <v>104.28</v>
      </c>
      <c r="C623">
        <v>55.99</v>
      </c>
      <c r="D623">
        <v>32.46</v>
      </c>
      <c r="E623">
        <v>27.13</v>
      </c>
      <c r="F623">
        <v>34.840000000000003</v>
      </c>
      <c r="G623">
        <v>41.18</v>
      </c>
      <c r="H623">
        <v>24.69</v>
      </c>
      <c r="I623">
        <v>32.89</v>
      </c>
      <c r="J623">
        <v>74.97</v>
      </c>
      <c r="K623">
        <v>11.25</v>
      </c>
      <c r="L623">
        <v>9.9700000000000006</v>
      </c>
      <c r="M623">
        <v>10.54</v>
      </c>
      <c r="N623">
        <v>8.4499999999999993</v>
      </c>
      <c r="O623">
        <v>32.270000000000003</v>
      </c>
      <c r="P623">
        <v>36.11</v>
      </c>
      <c r="Q623">
        <v>55.48</v>
      </c>
      <c r="R623">
        <v>29.78</v>
      </c>
      <c r="S623">
        <v>30.69</v>
      </c>
      <c r="T623">
        <v>43.76</v>
      </c>
      <c r="U623">
        <v>39.869999999999997</v>
      </c>
      <c r="V623" s="6">
        <v>26.38</v>
      </c>
    </row>
    <row r="624" spans="1:22" x14ac:dyDescent="0.2">
      <c r="A624" s="4">
        <v>45474</v>
      </c>
      <c r="B624" s="3">
        <v>104.44</v>
      </c>
      <c r="C624">
        <v>56.82</v>
      </c>
      <c r="D624">
        <v>32.96</v>
      </c>
      <c r="E624">
        <v>27</v>
      </c>
      <c r="F624">
        <v>35.270000000000003</v>
      </c>
      <c r="G624">
        <v>41.01</v>
      </c>
      <c r="H624">
        <v>24.37</v>
      </c>
      <c r="I624">
        <v>33.5</v>
      </c>
      <c r="J624">
        <v>78.150000000000006</v>
      </c>
      <c r="K624">
        <v>11.15</v>
      </c>
      <c r="L624">
        <v>10.19</v>
      </c>
      <c r="M624">
        <v>10.58</v>
      </c>
      <c r="N624">
        <v>8.39</v>
      </c>
      <c r="O624">
        <v>32.67</v>
      </c>
      <c r="P624">
        <v>36.659999999999997</v>
      </c>
      <c r="Q624">
        <v>56.1</v>
      </c>
      <c r="R624">
        <v>30.06</v>
      </c>
      <c r="S624">
        <v>32.03</v>
      </c>
      <c r="T624">
        <v>45.1</v>
      </c>
      <c r="U624">
        <v>39.65</v>
      </c>
      <c r="V624" s="6">
        <v>26.02</v>
      </c>
    </row>
    <row r="625" spans="1:22" x14ac:dyDescent="0.2">
      <c r="A625" s="4">
        <v>45475</v>
      </c>
      <c r="B625" s="3">
        <v>105.19</v>
      </c>
      <c r="C625">
        <v>56.63</v>
      </c>
      <c r="D625">
        <v>32.86</v>
      </c>
      <c r="E625">
        <v>27.35</v>
      </c>
      <c r="F625">
        <v>35.36</v>
      </c>
      <c r="G625">
        <v>41.07</v>
      </c>
      <c r="H625">
        <v>24.45</v>
      </c>
      <c r="I625">
        <v>34.11</v>
      </c>
      <c r="J625">
        <v>77.849999999999994</v>
      </c>
      <c r="K625">
        <v>11.13</v>
      </c>
      <c r="L625">
        <v>10.17</v>
      </c>
      <c r="M625">
        <v>10.59</v>
      </c>
      <c r="N625">
        <v>8.4600000000000009</v>
      </c>
      <c r="O625">
        <v>32.799999999999997</v>
      </c>
      <c r="P625">
        <v>36.520000000000003</v>
      </c>
      <c r="Q625">
        <v>56.05</v>
      </c>
      <c r="R625">
        <v>30.17</v>
      </c>
      <c r="S625">
        <v>31.5</v>
      </c>
      <c r="T625">
        <v>45.74</v>
      </c>
      <c r="U625">
        <v>39.590000000000003</v>
      </c>
      <c r="V625" s="6">
        <v>26.23</v>
      </c>
    </row>
    <row r="626" spans="1:22" x14ac:dyDescent="0.2">
      <c r="A626" s="4">
        <v>45476</v>
      </c>
      <c r="B626" s="3">
        <v>105.52</v>
      </c>
      <c r="C626">
        <v>57.75</v>
      </c>
      <c r="D626">
        <v>32.29</v>
      </c>
      <c r="E626">
        <v>27.52</v>
      </c>
      <c r="F626">
        <v>34.630000000000003</v>
      </c>
      <c r="G626">
        <v>41.15</v>
      </c>
      <c r="H626">
        <v>24.69</v>
      </c>
      <c r="I626">
        <v>34.270000000000003</v>
      </c>
      <c r="J626">
        <v>80.650000000000006</v>
      </c>
      <c r="K626">
        <v>11.16</v>
      </c>
      <c r="L626">
        <v>10.15</v>
      </c>
      <c r="M626">
        <v>10.51</v>
      </c>
      <c r="N626">
        <v>8.58</v>
      </c>
      <c r="O626">
        <v>31.21</v>
      </c>
      <c r="P626">
        <v>37.46</v>
      </c>
      <c r="Q626">
        <v>55.8</v>
      </c>
      <c r="R626">
        <v>31.11</v>
      </c>
      <c r="S626">
        <v>32.020000000000003</v>
      </c>
      <c r="T626">
        <v>46.09</v>
      </c>
      <c r="U626">
        <v>40.01</v>
      </c>
      <c r="V626" s="6">
        <v>26.76</v>
      </c>
    </row>
    <row r="627" spans="1:22" x14ac:dyDescent="0.2">
      <c r="A627" s="4">
        <v>45477</v>
      </c>
      <c r="B627" s="3">
        <v>105.62</v>
      </c>
      <c r="C627">
        <v>57.47</v>
      </c>
      <c r="D627">
        <v>31.84</v>
      </c>
      <c r="E627">
        <v>27.56</v>
      </c>
      <c r="F627">
        <v>34.159999999999997</v>
      </c>
      <c r="G627">
        <v>40.94</v>
      </c>
      <c r="H627">
        <v>24.82</v>
      </c>
      <c r="I627">
        <v>35.049999999999997</v>
      </c>
      <c r="J627">
        <v>81.7</v>
      </c>
      <c r="K627">
        <v>11.21</v>
      </c>
      <c r="L627">
        <v>10.3</v>
      </c>
      <c r="M627">
        <v>10.58</v>
      </c>
      <c r="N627">
        <v>8.61</v>
      </c>
      <c r="O627">
        <v>31.36</v>
      </c>
      <c r="P627">
        <v>37.47</v>
      </c>
      <c r="Q627">
        <v>55.47</v>
      </c>
      <c r="R627">
        <v>31.53</v>
      </c>
      <c r="S627">
        <v>32.5</v>
      </c>
      <c r="T627">
        <v>46.4</v>
      </c>
      <c r="U627">
        <v>41.39</v>
      </c>
      <c r="V627" s="6">
        <v>27.02</v>
      </c>
    </row>
    <row r="628" spans="1:22" x14ac:dyDescent="0.2">
      <c r="A628" s="4">
        <v>45478</v>
      </c>
      <c r="B628" s="3">
        <v>105.81</v>
      </c>
      <c r="C628">
        <v>57.23</v>
      </c>
      <c r="D628">
        <v>32.01</v>
      </c>
      <c r="E628">
        <v>27.58</v>
      </c>
      <c r="F628">
        <v>34.76</v>
      </c>
      <c r="G628">
        <v>41.23</v>
      </c>
      <c r="H628">
        <v>24.71</v>
      </c>
      <c r="I628">
        <v>34.81</v>
      </c>
      <c r="J628">
        <v>82.08</v>
      </c>
      <c r="K628">
        <v>11.34</v>
      </c>
      <c r="L628">
        <v>10.24</v>
      </c>
      <c r="M628">
        <v>10.46</v>
      </c>
      <c r="N628">
        <v>8.57</v>
      </c>
      <c r="O628">
        <v>31.2</v>
      </c>
      <c r="P628">
        <v>35.78</v>
      </c>
      <c r="Q628">
        <v>53.28</v>
      </c>
      <c r="R628">
        <v>31.72</v>
      </c>
      <c r="S628">
        <v>32.58</v>
      </c>
      <c r="T628">
        <v>46.55</v>
      </c>
      <c r="U628">
        <v>41.52</v>
      </c>
      <c r="V628" s="6">
        <v>27</v>
      </c>
    </row>
    <row r="629" spans="1:22" x14ac:dyDescent="0.2">
      <c r="A629" s="4">
        <v>45481</v>
      </c>
      <c r="B629" s="3">
        <v>106.28</v>
      </c>
      <c r="C629">
        <v>56.78</v>
      </c>
      <c r="D629">
        <v>32.799999999999997</v>
      </c>
      <c r="E629">
        <v>27.53</v>
      </c>
      <c r="F629">
        <v>35.57</v>
      </c>
      <c r="G629">
        <v>43.46</v>
      </c>
      <c r="H629">
        <v>24.3</v>
      </c>
      <c r="I629">
        <v>34.76</v>
      </c>
      <c r="J629">
        <v>83.11</v>
      </c>
      <c r="K629">
        <v>11.34</v>
      </c>
      <c r="L629">
        <v>10.41</v>
      </c>
      <c r="M629">
        <v>10.39</v>
      </c>
      <c r="N629">
        <v>8.5299999999999994</v>
      </c>
      <c r="O629">
        <v>31.19</v>
      </c>
      <c r="P629">
        <v>36.6</v>
      </c>
      <c r="Q629">
        <v>51.79</v>
      </c>
      <c r="R629">
        <v>31.54</v>
      </c>
      <c r="S629">
        <v>32.75</v>
      </c>
      <c r="T629">
        <v>45.35</v>
      </c>
      <c r="U629">
        <v>41.43</v>
      </c>
      <c r="V629" s="6">
        <v>27.06</v>
      </c>
    </row>
    <row r="630" spans="1:22" x14ac:dyDescent="0.2">
      <c r="A630" s="4">
        <v>45482</v>
      </c>
      <c r="B630" s="3">
        <v>106.45</v>
      </c>
      <c r="C630">
        <v>56.71</v>
      </c>
      <c r="D630">
        <v>32.79</v>
      </c>
      <c r="E630">
        <v>27.72</v>
      </c>
      <c r="F630">
        <v>35.28</v>
      </c>
      <c r="G630">
        <v>43.54</v>
      </c>
      <c r="H630">
        <v>24.22</v>
      </c>
      <c r="I630">
        <v>35.369999999999997</v>
      </c>
      <c r="J630">
        <v>84.27</v>
      </c>
      <c r="K630">
        <v>11.34</v>
      </c>
      <c r="L630">
        <v>10.34</v>
      </c>
      <c r="M630">
        <v>10.39</v>
      </c>
      <c r="N630">
        <v>8.58</v>
      </c>
      <c r="O630">
        <v>30.92</v>
      </c>
      <c r="P630">
        <v>38.76</v>
      </c>
      <c r="Q630">
        <v>51.41</v>
      </c>
      <c r="R630">
        <v>31.14</v>
      </c>
      <c r="S630">
        <v>33.46</v>
      </c>
      <c r="T630">
        <v>45.41</v>
      </c>
      <c r="U630">
        <v>42.17</v>
      </c>
      <c r="V630" s="6">
        <v>27.87</v>
      </c>
    </row>
    <row r="631" spans="1:22" x14ac:dyDescent="0.2">
      <c r="A631" s="4">
        <v>45483</v>
      </c>
      <c r="B631" s="3">
        <v>107.19</v>
      </c>
      <c r="C631">
        <v>55.95</v>
      </c>
      <c r="D631">
        <v>32.479999999999997</v>
      </c>
      <c r="E631">
        <v>28.02</v>
      </c>
      <c r="F631">
        <v>35.18</v>
      </c>
      <c r="G631">
        <v>43.05</v>
      </c>
      <c r="H631">
        <v>24.6</v>
      </c>
      <c r="I631">
        <v>35.08</v>
      </c>
      <c r="J631">
        <v>85.1</v>
      </c>
      <c r="K631">
        <v>11.53</v>
      </c>
      <c r="L631">
        <v>10.44</v>
      </c>
      <c r="M631">
        <v>10.53</v>
      </c>
      <c r="N631">
        <v>8.6999999999999993</v>
      </c>
      <c r="O631">
        <v>30.82</v>
      </c>
      <c r="P631">
        <v>39.68</v>
      </c>
      <c r="Q631">
        <v>51.04</v>
      </c>
      <c r="R631">
        <v>30.88</v>
      </c>
      <c r="S631">
        <v>33.630000000000003</v>
      </c>
      <c r="T631">
        <v>45.47</v>
      </c>
      <c r="U631">
        <v>42.96</v>
      </c>
      <c r="V631" s="6">
        <v>27.93</v>
      </c>
    </row>
    <row r="632" spans="1:22" x14ac:dyDescent="0.2">
      <c r="A632" s="4">
        <v>45484</v>
      </c>
      <c r="B632" s="3">
        <v>107.76</v>
      </c>
      <c r="C632">
        <v>55.8</v>
      </c>
      <c r="D632">
        <v>32.700000000000003</v>
      </c>
      <c r="E632">
        <v>28.18</v>
      </c>
      <c r="F632">
        <v>35.47</v>
      </c>
      <c r="G632">
        <v>43.94</v>
      </c>
      <c r="H632">
        <v>24.48</v>
      </c>
      <c r="I632">
        <v>35.42</v>
      </c>
      <c r="J632">
        <v>84.33</v>
      </c>
      <c r="K632">
        <v>11.53</v>
      </c>
      <c r="L632">
        <v>10.76</v>
      </c>
      <c r="M632">
        <v>10.65</v>
      </c>
      <c r="N632">
        <v>8.75</v>
      </c>
      <c r="O632">
        <v>31.8</v>
      </c>
      <c r="P632">
        <v>40.46</v>
      </c>
      <c r="Q632">
        <v>51.59</v>
      </c>
      <c r="R632">
        <v>30.97</v>
      </c>
      <c r="S632">
        <v>33.93</v>
      </c>
      <c r="T632">
        <v>45.36</v>
      </c>
      <c r="U632">
        <v>44.24</v>
      </c>
      <c r="V632" s="6">
        <v>27.93</v>
      </c>
    </row>
    <row r="633" spans="1:22" x14ac:dyDescent="0.2">
      <c r="A633" s="4">
        <v>45485</v>
      </c>
      <c r="B633" s="3">
        <v>108.18</v>
      </c>
      <c r="C633">
        <v>56.62</v>
      </c>
      <c r="D633">
        <v>32.549999999999997</v>
      </c>
      <c r="E633">
        <v>28.02</v>
      </c>
      <c r="F633">
        <v>35.28</v>
      </c>
      <c r="G633">
        <v>44.84</v>
      </c>
      <c r="H633">
        <v>24.8</v>
      </c>
      <c r="I633">
        <v>35.869999999999997</v>
      </c>
      <c r="J633">
        <v>83.15</v>
      </c>
      <c r="K633">
        <v>11.5</v>
      </c>
      <c r="L633">
        <v>11.2</v>
      </c>
      <c r="M633">
        <v>10.75</v>
      </c>
      <c r="N633">
        <v>8.7899999999999991</v>
      </c>
      <c r="O633">
        <v>32.1</v>
      </c>
      <c r="P633">
        <v>40.21</v>
      </c>
      <c r="Q633">
        <v>50.9</v>
      </c>
      <c r="R633">
        <v>31.67</v>
      </c>
      <c r="S633">
        <v>34.159999999999997</v>
      </c>
      <c r="T633">
        <v>45.59</v>
      </c>
      <c r="U633">
        <v>44.33</v>
      </c>
      <c r="V633" s="6">
        <v>28.21</v>
      </c>
    </row>
    <row r="634" spans="1:22" x14ac:dyDescent="0.2">
      <c r="A634" s="4">
        <v>45488</v>
      </c>
      <c r="B634" s="3">
        <v>107.79</v>
      </c>
      <c r="C634">
        <v>56.68</v>
      </c>
      <c r="D634">
        <v>32.85</v>
      </c>
      <c r="E634">
        <v>28.13</v>
      </c>
      <c r="F634">
        <v>35.78</v>
      </c>
      <c r="G634">
        <v>45.45</v>
      </c>
      <c r="H634">
        <v>24.91</v>
      </c>
      <c r="I634">
        <v>35.549999999999997</v>
      </c>
      <c r="J634">
        <v>81.67</v>
      </c>
      <c r="K634">
        <v>11.47</v>
      </c>
      <c r="L634">
        <v>11.16</v>
      </c>
      <c r="M634">
        <v>10.75</v>
      </c>
      <c r="N634">
        <v>8.8000000000000007</v>
      </c>
      <c r="O634">
        <v>32.020000000000003</v>
      </c>
      <c r="P634">
        <v>40.89</v>
      </c>
      <c r="Q634">
        <v>52.74</v>
      </c>
      <c r="R634">
        <v>31.33</v>
      </c>
      <c r="S634">
        <v>33.74</v>
      </c>
      <c r="T634">
        <v>46.52</v>
      </c>
      <c r="U634">
        <v>44.08</v>
      </c>
      <c r="V634" s="6">
        <v>28.72</v>
      </c>
    </row>
    <row r="635" spans="1:22" x14ac:dyDescent="0.2">
      <c r="A635" s="4">
        <v>45489</v>
      </c>
      <c r="B635" s="3">
        <v>108.3</v>
      </c>
      <c r="C635">
        <v>56.09</v>
      </c>
      <c r="D635">
        <v>32.76</v>
      </c>
      <c r="E635">
        <v>28.3</v>
      </c>
      <c r="F635">
        <v>35.6</v>
      </c>
      <c r="G635">
        <v>45.62</v>
      </c>
      <c r="H635">
        <v>25</v>
      </c>
      <c r="I635">
        <v>35.78</v>
      </c>
      <c r="J635">
        <v>81.55</v>
      </c>
      <c r="K635">
        <v>11.51</v>
      </c>
      <c r="L635">
        <v>11.17</v>
      </c>
      <c r="M635">
        <v>10.81</v>
      </c>
      <c r="N635">
        <v>8.82</v>
      </c>
      <c r="O635">
        <v>31.72</v>
      </c>
      <c r="P635">
        <v>40.64</v>
      </c>
      <c r="Q635">
        <v>52.71</v>
      </c>
      <c r="R635">
        <v>31.21</v>
      </c>
      <c r="S635">
        <v>33.68</v>
      </c>
      <c r="T635">
        <v>45.45</v>
      </c>
      <c r="U635">
        <v>43.53</v>
      </c>
      <c r="V635" s="6">
        <v>28.75</v>
      </c>
    </row>
    <row r="636" spans="1:22" x14ac:dyDescent="0.2">
      <c r="A636" s="4">
        <v>45490</v>
      </c>
      <c r="B636" s="3">
        <v>106.73</v>
      </c>
      <c r="C636">
        <v>55.57</v>
      </c>
      <c r="D636">
        <v>32.93</v>
      </c>
      <c r="E636">
        <v>28.61</v>
      </c>
      <c r="F636">
        <v>35.85</v>
      </c>
      <c r="G636">
        <v>45.98</v>
      </c>
      <c r="H636">
        <v>25.25</v>
      </c>
      <c r="I636">
        <v>35.4</v>
      </c>
      <c r="J636">
        <v>83.2</v>
      </c>
      <c r="K636">
        <v>11.64</v>
      </c>
      <c r="L636">
        <v>11.18</v>
      </c>
      <c r="M636">
        <v>10.92</v>
      </c>
      <c r="N636">
        <v>8.92</v>
      </c>
      <c r="O636">
        <v>32.24</v>
      </c>
      <c r="P636">
        <v>40.409999999999997</v>
      </c>
      <c r="Q636">
        <v>52.72</v>
      </c>
      <c r="R636">
        <v>31.63</v>
      </c>
      <c r="S636">
        <v>33.369999999999997</v>
      </c>
      <c r="T636">
        <v>46.17</v>
      </c>
      <c r="U636">
        <v>42.84</v>
      </c>
      <c r="V636" s="6">
        <v>28.44</v>
      </c>
    </row>
    <row r="637" spans="1:22" x14ac:dyDescent="0.2">
      <c r="A637" s="4">
        <v>45491</v>
      </c>
      <c r="B637" s="3">
        <v>106.74</v>
      </c>
      <c r="C637">
        <v>55.05</v>
      </c>
      <c r="D637">
        <v>32.869999999999997</v>
      </c>
      <c r="E637">
        <v>28.48</v>
      </c>
      <c r="F637">
        <v>35.9</v>
      </c>
      <c r="G637">
        <v>46.32</v>
      </c>
      <c r="H637">
        <v>25.13</v>
      </c>
      <c r="I637">
        <v>34.51</v>
      </c>
      <c r="J637">
        <v>82.02</v>
      </c>
      <c r="K637">
        <v>11.43</v>
      </c>
      <c r="L637">
        <v>10.87</v>
      </c>
      <c r="M637">
        <v>10.78</v>
      </c>
      <c r="N637">
        <v>8.83</v>
      </c>
      <c r="O637">
        <v>31.45</v>
      </c>
      <c r="P637">
        <v>41.01</v>
      </c>
      <c r="Q637">
        <v>52.43</v>
      </c>
      <c r="R637">
        <v>30.85</v>
      </c>
      <c r="S637">
        <v>32.799999999999997</v>
      </c>
      <c r="T637">
        <v>45.47</v>
      </c>
      <c r="U637">
        <v>41.27</v>
      </c>
      <c r="V637" s="6">
        <v>27.62</v>
      </c>
    </row>
    <row r="638" spans="1:22" x14ac:dyDescent="0.2">
      <c r="A638" s="4">
        <v>45492</v>
      </c>
      <c r="B638" s="3">
        <v>106.92</v>
      </c>
      <c r="C638">
        <v>55</v>
      </c>
      <c r="D638">
        <v>33.01</v>
      </c>
      <c r="E638">
        <v>28.69</v>
      </c>
      <c r="F638">
        <v>35.99</v>
      </c>
      <c r="G638">
        <v>46.21</v>
      </c>
      <c r="H638">
        <v>25.06</v>
      </c>
      <c r="I638">
        <v>34.03</v>
      </c>
      <c r="J638">
        <v>84.9</v>
      </c>
      <c r="K638">
        <v>11.36</v>
      </c>
      <c r="L638">
        <v>10.87</v>
      </c>
      <c r="M638">
        <v>10.84</v>
      </c>
      <c r="N638">
        <v>8.92</v>
      </c>
      <c r="O638">
        <v>31.22</v>
      </c>
      <c r="P638">
        <v>41.48</v>
      </c>
      <c r="Q638">
        <v>52.16</v>
      </c>
      <c r="R638">
        <v>30.92</v>
      </c>
      <c r="S638">
        <v>32.49</v>
      </c>
      <c r="T638">
        <v>45.29</v>
      </c>
      <c r="U638">
        <v>41.21</v>
      </c>
      <c r="V638" s="6">
        <v>27.39</v>
      </c>
    </row>
    <row r="639" spans="1:22" x14ac:dyDescent="0.2">
      <c r="A639" s="4">
        <v>45495</v>
      </c>
      <c r="B639" s="3">
        <v>105.87</v>
      </c>
      <c r="C639">
        <v>54.94</v>
      </c>
      <c r="D639">
        <v>32.35</v>
      </c>
      <c r="E639">
        <v>28.68</v>
      </c>
      <c r="F639">
        <v>35.44</v>
      </c>
      <c r="G639">
        <v>46.1</v>
      </c>
      <c r="H639">
        <v>25.09</v>
      </c>
      <c r="I639">
        <v>34.72</v>
      </c>
      <c r="J639">
        <v>87</v>
      </c>
      <c r="K639">
        <v>11.49</v>
      </c>
      <c r="L639">
        <v>10.99</v>
      </c>
      <c r="M639">
        <v>10.91</v>
      </c>
      <c r="N639">
        <v>8.94</v>
      </c>
      <c r="O639">
        <v>31.35</v>
      </c>
      <c r="P639">
        <v>38.56</v>
      </c>
      <c r="Q639">
        <v>51.85</v>
      </c>
      <c r="R639">
        <v>31.31</v>
      </c>
      <c r="S639">
        <v>33.15</v>
      </c>
      <c r="T639">
        <v>44.69</v>
      </c>
      <c r="U639">
        <v>40.770000000000003</v>
      </c>
      <c r="V639" s="6">
        <v>27.45</v>
      </c>
    </row>
    <row r="640" spans="1:22" x14ac:dyDescent="0.2">
      <c r="A640" s="4">
        <v>45496</v>
      </c>
      <c r="B640" s="3">
        <v>105.74</v>
      </c>
      <c r="C640">
        <v>54.2</v>
      </c>
      <c r="D640">
        <v>31.94</v>
      </c>
      <c r="E640">
        <v>28.64</v>
      </c>
      <c r="F640">
        <v>34.94</v>
      </c>
      <c r="G640">
        <v>45.98</v>
      </c>
      <c r="H640">
        <v>24.94</v>
      </c>
      <c r="I640">
        <v>34.18</v>
      </c>
      <c r="J640">
        <v>88.64</v>
      </c>
      <c r="K640">
        <v>11.41</v>
      </c>
      <c r="L640">
        <v>10.88</v>
      </c>
      <c r="M640">
        <v>10.88</v>
      </c>
      <c r="N640">
        <v>8.84</v>
      </c>
      <c r="O640">
        <v>30.58</v>
      </c>
      <c r="P640">
        <v>41.83</v>
      </c>
      <c r="Q640">
        <v>51.68</v>
      </c>
      <c r="R640">
        <v>31.36</v>
      </c>
      <c r="S640">
        <v>32.74</v>
      </c>
      <c r="T640">
        <v>43.8</v>
      </c>
      <c r="U640">
        <v>41.18</v>
      </c>
      <c r="V640" s="6">
        <v>27.1</v>
      </c>
    </row>
    <row r="641" spans="1:22" x14ac:dyDescent="0.2">
      <c r="A641" s="4">
        <v>45497</v>
      </c>
      <c r="B641" s="3">
        <v>105.42</v>
      </c>
      <c r="C641">
        <v>54.53</v>
      </c>
      <c r="D641">
        <v>32.19</v>
      </c>
      <c r="E641">
        <v>28.59</v>
      </c>
      <c r="F641">
        <v>35.29</v>
      </c>
      <c r="G641">
        <v>45.59</v>
      </c>
      <c r="H641">
        <v>24.84</v>
      </c>
      <c r="I641">
        <v>34.22</v>
      </c>
      <c r="J641">
        <v>89.2</v>
      </c>
      <c r="K641">
        <v>11.42</v>
      </c>
      <c r="L641">
        <v>10.74</v>
      </c>
      <c r="M641">
        <v>10.89</v>
      </c>
      <c r="N641">
        <v>8.82</v>
      </c>
      <c r="O641">
        <v>30.87</v>
      </c>
      <c r="P641">
        <v>40.92</v>
      </c>
      <c r="Q641">
        <v>51.61</v>
      </c>
      <c r="R641">
        <v>31.13</v>
      </c>
      <c r="S641">
        <v>32.159999999999997</v>
      </c>
      <c r="T641">
        <v>46</v>
      </c>
      <c r="U641">
        <v>41.1</v>
      </c>
      <c r="V641" s="6">
        <v>26.8</v>
      </c>
    </row>
    <row r="642" spans="1:22" x14ac:dyDescent="0.2">
      <c r="A642" s="4">
        <v>45498</v>
      </c>
      <c r="B642" s="3">
        <v>106.56</v>
      </c>
      <c r="C642">
        <v>54.51</v>
      </c>
      <c r="D642">
        <v>32.15</v>
      </c>
      <c r="E642">
        <v>28.47</v>
      </c>
      <c r="F642">
        <v>35.15</v>
      </c>
      <c r="G642">
        <v>44.9</v>
      </c>
      <c r="H642">
        <v>24.86</v>
      </c>
      <c r="I642">
        <v>34.520000000000003</v>
      </c>
      <c r="J642">
        <v>86.72</v>
      </c>
      <c r="K642">
        <v>11.24</v>
      </c>
      <c r="L642">
        <v>10.61</v>
      </c>
      <c r="M642">
        <v>10.95</v>
      </c>
      <c r="N642">
        <v>8.75</v>
      </c>
      <c r="O642">
        <v>30.94</v>
      </c>
      <c r="P642">
        <v>40.6</v>
      </c>
      <c r="Q642">
        <v>51.06</v>
      </c>
      <c r="R642">
        <v>31.22</v>
      </c>
      <c r="S642">
        <v>32.299999999999997</v>
      </c>
      <c r="T642">
        <v>45.82</v>
      </c>
      <c r="U642">
        <v>40.880000000000003</v>
      </c>
      <c r="V642" s="6">
        <v>26.38</v>
      </c>
    </row>
    <row r="643" spans="1:22" x14ac:dyDescent="0.2">
      <c r="A643" s="4">
        <v>45499</v>
      </c>
      <c r="B643" s="3">
        <v>106.2</v>
      </c>
      <c r="C643">
        <v>55.32</v>
      </c>
      <c r="D643">
        <v>32.11</v>
      </c>
      <c r="E643">
        <v>28.68</v>
      </c>
      <c r="F643">
        <v>35.25</v>
      </c>
      <c r="G643">
        <v>45.85</v>
      </c>
      <c r="H643">
        <v>25.07</v>
      </c>
      <c r="I643">
        <v>35.200000000000003</v>
      </c>
      <c r="J643">
        <v>86.8</v>
      </c>
      <c r="K643">
        <v>11.33</v>
      </c>
      <c r="L643">
        <v>10.66</v>
      </c>
      <c r="M643">
        <v>10.98</v>
      </c>
      <c r="N643">
        <v>8.86</v>
      </c>
      <c r="O643">
        <v>33.020000000000003</v>
      </c>
      <c r="P643">
        <v>41.48</v>
      </c>
      <c r="Q643">
        <v>50.4</v>
      </c>
      <c r="R643">
        <v>31.73</v>
      </c>
      <c r="S643">
        <v>32.67</v>
      </c>
      <c r="T643">
        <v>47.5</v>
      </c>
      <c r="U643">
        <v>41.7</v>
      </c>
      <c r="V643" s="6">
        <v>27.37</v>
      </c>
    </row>
    <row r="644" spans="1:22" x14ac:dyDescent="0.2">
      <c r="A644" s="4">
        <v>45502</v>
      </c>
      <c r="B644" s="3">
        <v>105.5</v>
      </c>
      <c r="C644">
        <v>55.41</v>
      </c>
      <c r="D644">
        <v>31.47</v>
      </c>
      <c r="E644">
        <v>28.89</v>
      </c>
      <c r="F644">
        <v>34.36</v>
      </c>
      <c r="G644">
        <v>45.42</v>
      </c>
      <c r="H644">
        <v>25.11</v>
      </c>
      <c r="I644">
        <v>35.04</v>
      </c>
      <c r="J644">
        <v>86.56</v>
      </c>
      <c r="K644">
        <v>11.37</v>
      </c>
      <c r="L644">
        <v>10.56</v>
      </c>
      <c r="M644">
        <v>10.92</v>
      </c>
      <c r="N644">
        <v>8.89</v>
      </c>
      <c r="O644">
        <v>33.58</v>
      </c>
      <c r="P644">
        <v>41.06</v>
      </c>
      <c r="Q644">
        <v>51.36</v>
      </c>
      <c r="R644">
        <v>31.46</v>
      </c>
      <c r="S644">
        <v>32.369999999999997</v>
      </c>
      <c r="T644">
        <v>47.18</v>
      </c>
      <c r="U644">
        <v>40.44</v>
      </c>
      <c r="V644" s="6">
        <v>27.54</v>
      </c>
    </row>
    <row r="645" spans="1:22" x14ac:dyDescent="0.2">
      <c r="A645" s="4">
        <v>45503</v>
      </c>
      <c r="B645" s="3">
        <v>106.44</v>
      </c>
      <c r="C645">
        <v>54.19</v>
      </c>
      <c r="D645">
        <v>31.27</v>
      </c>
      <c r="E645">
        <v>28.78</v>
      </c>
      <c r="F645">
        <v>34.11</v>
      </c>
      <c r="G645">
        <v>44.82</v>
      </c>
      <c r="H645">
        <v>24.91</v>
      </c>
      <c r="I645">
        <v>34.86</v>
      </c>
      <c r="J645">
        <v>87.35</v>
      </c>
      <c r="K645">
        <v>11.28</v>
      </c>
      <c r="L645">
        <v>10.47</v>
      </c>
      <c r="M645">
        <v>10.75</v>
      </c>
      <c r="N645">
        <v>8.82</v>
      </c>
      <c r="O645">
        <v>34.56</v>
      </c>
      <c r="P645">
        <v>42.81</v>
      </c>
      <c r="Q645">
        <v>51.99</v>
      </c>
      <c r="R645">
        <v>31.21</v>
      </c>
      <c r="S645">
        <v>32.33</v>
      </c>
      <c r="T645">
        <v>47.04</v>
      </c>
      <c r="U645">
        <v>39.909999999999997</v>
      </c>
      <c r="V645" s="6">
        <v>27.46</v>
      </c>
    </row>
    <row r="646" spans="1:22" x14ac:dyDescent="0.2">
      <c r="A646" s="4">
        <v>45504</v>
      </c>
      <c r="B646" s="3">
        <v>106.45</v>
      </c>
      <c r="C646">
        <v>55.46</v>
      </c>
      <c r="D646">
        <v>31.92</v>
      </c>
      <c r="E646">
        <v>28.38</v>
      </c>
      <c r="F646">
        <v>35.03</v>
      </c>
      <c r="G646">
        <v>49.51</v>
      </c>
      <c r="H646">
        <v>24.54</v>
      </c>
      <c r="I646">
        <v>36.31</v>
      </c>
      <c r="J646">
        <v>88.24</v>
      </c>
      <c r="K646">
        <v>11.31</v>
      </c>
      <c r="L646">
        <v>10.56</v>
      </c>
      <c r="M646">
        <v>10.7</v>
      </c>
      <c r="N646">
        <v>8.76</v>
      </c>
      <c r="O646">
        <v>33.72</v>
      </c>
      <c r="P646">
        <v>43.76</v>
      </c>
      <c r="Q646">
        <v>52.41</v>
      </c>
      <c r="R646">
        <v>31.76</v>
      </c>
      <c r="S646">
        <v>32.64</v>
      </c>
      <c r="T646">
        <v>48.05</v>
      </c>
      <c r="U646">
        <v>41.61</v>
      </c>
      <c r="V646" s="6">
        <v>26.89</v>
      </c>
    </row>
    <row r="647" spans="1:22" x14ac:dyDescent="0.2">
      <c r="A647" s="4">
        <v>45505</v>
      </c>
      <c r="B647" s="3">
        <v>105.07</v>
      </c>
      <c r="C647">
        <v>54.22</v>
      </c>
      <c r="D647">
        <v>31.43</v>
      </c>
      <c r="E647">
        <v>27.96</v>
      </c>
      <c r="F647">
        <v>34.39</v>
      </c>
      <c r="G647">
        <v>51.64</v>
      </c>
      <c r="H647">
        <v>24.38</v>
      </c>
      <c r="I647">
        <v>36.85</v>
      </c>
      <c r="J647">
        <v>89.63</v>
      </c>
      <c r="K647">
        <v>11.45</v>
      </c>
      <c r="L647">
        <v>10.58</v>
      </c>
      <c r="M647">
        <v>10.85</v>
      </c>
      <c r="N647">
        <v>8.59</v>
      </c>
      <c r="O647">
        <v>34.5</v>
      </c>
      <c r="P647">
        <v>41.98</v>
      </c>
      <c r="Q647">
        <v>52.36</v>
      </c>
      <c r="R647">
        <v>31.91</v>
      </c>
      <c r="S647">
        <v>32.9</v>
      </c>
      <c r="T647">
        <v>47.99</v>
      </c>
      <c r="U647">
        <v>41.54</v>
      </c>
      <c r="V647" s="6">
        <v>27.34</v>
      </c>
    </row>
    <row r="648" spans="1:22" x14ac:dyDescent="0.2">
      <c r="A648" s="4">
        <v>45506</v>
      </c>
      <c r="B648" s="3">
        <v>104.51</v>
      </c>
      <c r="C648">
        <v>53.46</v>
      </c>
      <c r="D648">
        <v>30.49</v>
      </c>
      <c r="E648">
        <v>27.61</v>
      </c>
      <c r="F648">
        <v>33.340000000000003</v>
      </c>
      <c r="G648">
        <v>48.69</v>
      </c>
      <c r="H648">
        <v>24.18</v>
      </c>
      <c r="I648">
        <v>35.19</v>
      </c>
      <c r="J648">
        <v>89.31</v>
      </c>
      <c r="K648">
        <v>11.52</v>
      </c>
      <c r="L648">
        <v>10.57</v>
      </c>
      <c r="M648">
        <v>10.97</v>
      </c>
      <c r="N648">
        <v>8.4700000000000006</v>
      </c>
      <c r="O648">
        <v>33.159999999999997</v>
      </c>
      <c r="P648">
        <v>39.21</v>
      </c>
      <c r="Q648">
        <v>51.58</v>
      </c>
      <c r="R648">
        <v>31.88</v>
      </c>
      <c r="S648">
        <v>33.06</v>
      </c>
      <c r="T648">
        <v>46.01</v>
      </c>
      <c r="U648">
        <v>42.79</v>
      </c>
      <c r="V648" s="6">
        <v>27.27</v>
      </c>
    </row>
    <row r="649" spans="1:22" x14ac:dyDescent="0.2">
      <c r="A649" s="4">
        <v>45509</v>
      </c>
      <c r="B649" s="3">
        <v>105.86</v>
      </c>
      <c r="C649">
        <v>52.9</v>
      </c>
      <c r="D649">
        <v>30.46</v>
      </c>
      <c r="E649">
        <v>27.61</v>
      </c>
      <c r="F649">
        <v>33.07</v>
      </c>
      <c r="G649">
        <v>47.93</v>
      </c>
      <c r="H649">
        <v>24.22</v>
      </c>
      <c r="I649">
        <v>34.58</v>
      </c>
      <c r="J649">
        <v>88.62</v>
      </c>
      <c r="K649">
        <v>12.4</v>
      </c>
      <c r="L649">
        <v>10.57</v>
      </c>
      <c r="M649">
        <v>10.95</v>
      </c>
      <c r="N649">
        <v>8.4499999999999993</v>
      </c>
      <c r="O649">
        <v>32.950000000000003</v>
      </c>
      <c r="P649">
        <v>38.69</v>
      </c>
      <c r="Q649">
        <v>51.61</v>
      </c>
      <c r="R649">
        <v>30.96</v>
      </c>
      <c r="S649">
        <v>32.619999999999997</v>
      </c>
      <c r="T649">
        <v>44.67</v>
      </c>
      <c r="U649">
        <v>41.71</v>
      </c>
      <c r="V649" s="6">
        <v>26.67</v>
      </c>
    </row>
    <row r="650" spans="1:22" x14ac:dyDescent="0.2">
      <c r="A650" s="4">
        <v>45510</v>
      </c>
      <c r="B650" s="3">
        <v>106.34</v>
      </c>
      <c r="C650">
        <v>53.17</v>
      </c>
      <c r="D650">
        <v>30.99</v>
      </c>
      <c r="E650">
        <v>28.22</v>
      </c>
      <c r="F650">
        <v>33.76</v>
      </c>
      <c r="G650">
        <v>48.04</v>
      </c>
      <c r="H650">
        <v>24.64</v>
      </c>
      <c r="I650">
        <v>34.44</v>
      </c>
      <c r="J650">
        <v>89.65</v>
      </c>
      <c r="K650">
        <v>12.81</v>
      </c>
      <c r="L650">
        <v>10.6</v>
      </c>
      <c r="M650">
        <v>11.1</v>
      </c>
      <c r="N650">
        <v>8.6300000000000008</v>
      </c>
      <c r="O650">
        <v>31.93</v>
      </c>
      <c r="P650">
        <v>38.36</v>
      </c>
      <c r="Q650">
        <v>50.5</v>
      </c>
      <c r="R650">
        <v>31.44</v>
      </c>
      <c r="S650">
        <v>32.549999999999997</v>
      </c>
      <c r="T650">
        <v>43.25</v>
      </c>
      <c r="U650">
        <v>42.28</v>
      </c>
      <c r="V650" s="6">
        <v>27.29</v>
      </c>
    </row>
    <row r="651" spans="1:22" x14ac:dyDescent="0.2">
      <c r="A651" s="4">
        <v>45511</v>
      </c>
      <c r="B651" s="3">
        <v>107.42</v>
      </c>
      <c r="C651">
        <v>53.06</v>
      </c>
      <c r="D651">
        <v>30.95</v>
      </c>
      <c r="E651">
        <v>28.3</v>
      </c>
      <c r="F651">
        <v>33.71</v>
      </c>
      <c r="G651">
        <v>47.4</v>
      </c>
      <c r="H651">
        <v>24.31</v>
      </c>
      <c r="I651">
        <v>34.700000000000003</v>
      </c>
      <c r="J651">
        <v>91.89</v>
      </c>
      <c r="K651">
        <v>12.83</v>
      </c>
      <c r="L651">
        <v>10.84</v>
      </c>
      <c r="M651">
        <v>11.56</v>
      </c>
      <c r="N651">
        <v>8.68</v>
      </c>
      <c r="O651">
        <v>31.79</v>
      </c>
      <c r="P651">
        <v>38.090000000000003</v>
      </c>
      <c r="Q651">
        <v>50.8</v>
      </c>
      <c r="R651">
        <v>32.67</v>
      </c>
      <c r="S651">
        <v>33.17</v>
      </c>
      <c r="T651">
        <v>45.07</v>
      </c>
      <c r="U651">
        <v>46.09</v>
      </c>
      <c r="V651" s="6">
        <v>28.31</v>
      </c>
    </row>
    <row r="652" spans="1:22" x14ac:dyDescent="0.2">
      <c r="A652" s="4">
        <v>45512</v>
      </c>
      <c r="B652" s="3">
        <v>109.04</v>
      </c>
      <c r="C652">
        <v>52.74</v>
      </c>
      <c r="D652">
        <v>31.44</v>
      </c>
      <c r="E652">
        <v>28.2</v>
      </c>
      <c r="F652">
        <v>34.26</v>
      </c>
      <c r="G652">
        <v>48.74</v>
      </c>
      <c r="H652">
        <v>24.21</v>
      </c>
      <c r="I652">
        <v>35.43</v>
      </c>
      <c r="J652">
        <v>92.65</v>
      </c>
      <c r="K652">
        <v>12.98</v>
      </c>
      <c r="L652">
        <v>11.05</v>
      </c>
      <c r="M652">
        <v>11.42</v>
      </c>
      <c r="N652">
        <v>8.68</v>
      </c>
      <c r="O652">
        <v>32.74</v>
      </c>
      <c r="P652">
        <v>41.9</v>
      </c>
      <c r="Q652">
        <v>52.16</v>
      </c>
      <c r="R652">
        <v>33.5</v>
      </c>
      <c r="S652">
        <v>33.44</v>
      </c>
      <c r="T652">
        <v>46.36</v>
      </c>
      <c r="U652">
        <v>46.01</v>
      </c>
      <c r="V652" s="6">
        <v>28.52</v>
      </c>
    </row>
    <row r="653" spans="1:22" x14ac:dyDescent="0.2">
      <c r="A653" s="4">
        <v>45513</v>
      </c>
      <c r="B653" s="3">
        <v>109.69</v>
      </c>
      <c r="C653">
        <v>52.93</v>
      </c>
      <c r="D653">
        <v>31.15</v>
      </c>
      <c r="E653">
        <v>28.96</v>
      </c>
      <c r="F653">
        <v>33.96</v>
      </c>
      <c r="G653">
        <v>48.75</v>
      </c>
      <c r="H653">
        <v>24.54</v>
      </c>
      <c r="I653">
        <v>36.57</v>
      </c>
      <c r="J653">
        <v>97.33</v>
      </c>
      <c r="K653">
        <v>13.3</v>
      </c>
      <c r="L653">
        <v>11.7</v>
      </c>
      <c r="M653">
        <v>11.5</v>
      </c>
      <c r="N653">
        <v>8.91</v>
      </c>
      <c r="O653">
        <v>33.31</v>
      </c>
      <c r="P653">
        <v>43.21</v>
      </c>
      <c r="Q653">
        <v>53.04</v>
      </c>
      <c r="R653">
        <v>33.619999999999997</v>
      </c>
      <c r="S653">
        <v>34.659999999999997</v>
      </c>
      <c r="T653">
        <v>47.83</v>
      </c>
      <c r="U653">
        <v>46.37</v>
      </c>
      <c r="V653" s="6">
        <v>28.93</v>
      </c>
    </row>
    <row r="654" spans="1:22" x14ac:dyDescent="0.2">
      <c r="A654" s="4">
        <v>45516</v>
      </c>
      <c r="B654" s="3">
        <v>110.48</v>
      </c>
      <c r="C654">
        <v>52.66</v>
      </c>
      <c r="D654">
        <v>31.86</v>
      </c>
      <c r="E654">
        <v>29</v>
      </c>
      <c r="F654">
        <v>34.909999999999997</v>
      </c>
      <c r="G654">
        <v>49.62</v>
      </c>
      <c r="H654">
        <v>25.07</v>
      </c>
      <c r="I654">
        <v>36.17</v>
      </c>
      <c r="J654">
        <v>97.16</v>
      </c>
      <c r="K654">
        <v>13.39</v>
      </c>
      <c r="L654">
        <v>11.88</v>
      </c>
      <c r="M654">
        <v>11.45</v>
      </c>
      <c r="N654">
        <v>8.9499999999999993</v>
      </c>
      <c r="O654">
        <v>33.49</v>
      </c>
      <c r="P654">
        <v>43.46</v>
      </c>
      <c r="Q654">
        <v>52.93</v>
      </c>
      <c r="R654">
        <v>34.14</v>
      </c>
      <c r="S654">
        <v>34.5</v>
      </c>
      <c r="T654">
        <v>48.6</v>
      </c>
      <c r="U654">
        <v>46.72</v>
      </c>
      <c r="V654" s="6">
        <v>28.61</v>
      </c>
    </row>
    <row r="655" spans="1:22" x14ac:dyDescent="0.2">
      <c r="A655" s="4">
        <v>45517</v>
      </c>
      <c r="B655" s="3">
        <v>111.35</v>
      </c>
      <c r="C655">
        <v>52.43</v>
      </c>
      <c r="D655">
        <v>31.66</v>
      </c>
      <c r="E655">
        <v>29.82</v>
      </c>
      <c r="F655">
        <v>34.729999999999997</v>
      </c>
      <c r="G655">
        <v>50.16</v>
      </c>
      <c r="H655">
        <v>25.39</v>
      </c>
      <c r="I655">
        <v>36.51</v>
      </c>
      <c r="J655">
        <v>98.11</v>
      </c>
      <c r="K655">
        <v>13.55</v>
      </c>
      <c r="L655">
        <v>12.3</v>
      </c>
      <c r="M655">
        <v>11.61</v>
      </c>
      <c r="N655">
        <v>9.16</v>
      </c>
      <c r="O655">
        <v>34.9</v>
      </c>
      <c r="P655">
        <v>43.85</v>
      </c>
      <c r="Q655">
        <v>53.08</v>
      </c>
      <c r="R655">
        <v>34.67</v>
      </c>
      <c r="S655">
        <v>35</v>
      </c>
      <c r="T655">
        <v>49.13</v>
      </c>
      <c r="U655">
        <v>45.66</v>
      </c>
      <c r="V655" s="6">
        <v>29.09</v>
      </c>
    </row>
    <row r="656" spans="1:22" x14ac:dyDescent="0.2">
      <c r="A656" s="4">
        <v>45518</v>
      </c>
      <c r="B656" s="3">
        <v>112.07</v>
      </c>
      <c r="C656">
        <v>51.95</v>
      </c>
      <c r="D656">
        <v>32.22</v>
      </c>
      <c r="E656">
        <v>30.56</v>
      </c>
      <c r="F656">
        <v>35.36</v>
      </c>
      <c r="G656">
        <v>50.56</v>
      </c>
      <c r="H656">
        <v>25.82</v>
      </c>
      <c r="I656">
        <v>36.840000000000003</v>
      </c>
      <c r="J656">
        <v>99.46</v>
      </c>
      <c r="K656">
        <v>13.67</v>
      </c>
      <c r="L656">
        <v>12.36</v>
      </c>
      <c r="M656">
        <v>11.6</v>
      </c>
      <c r="N656">
        <v>9.35</v>
      </c>
      <c r="O656">
        <v>37.340000000000003</v>
      </c>
      <c r="P656">
        <v>43.89</v>
      </c>
      <c r="Q656">
        <v>53.23</v>
      </c>
      <c r="R656">
        <v>34.090000000000003</v>
      </c>
      <c r="S656">
        <v>35.46</v>
      </c>
      <c r="T656">
        <v>49.6</v>
      </c>
      <c r="U656">
        <v>37.97</v>
      </c>
      <c r="V656" s="6">
        <v>29.95</v>
      </c>
    </row>
    <row r="657" spans="1:22" x14ac:dyDescent="0.2">
      <c r="A657" s="4">
        <v>45519</v>
      </c>
      <c r="B657" s="3">
        <v>111.9</v>
      </c>
      <c r="C657">
        <v>52.16</v>
      </c>
      <c r="D657">
        <v>32.71</v>
      </c>
      <c r="E657">
        <v>31.04</v>
      </c>
      <c r="F657">
        <v>35.72</v>
      </c>
      <c r="G657">
        <v>51.7</v>
      </c>
      <c r="H657">
        <v>26.02</v>
      </c>
      <c r="I657">
        <v>37.159999999999997</v>
      </c>
      <c r="J657">
        <v>98.64</v>
      </c>
      <c r="K657">
        <v>13.81</v>
      </c>
      <c r="L657">
        <v>12.37</v>
      </c>
      <c r="M657">
        <v>12.04</v>
      </c>
      <c r="N657">
        <v>9.4700000000000006</v>
      </c>
      <c r="O657">
        <v>37.92</v>
      </c>
      <c r="P657">
        <v>44.76</v>
      </c>
      <c r="Q657">
        <v>52.14</v>
      </c>
      <c r="R657">
        <v>35.24</v>
      </c>
      <c r="S657">
        <v>34.76</v>
      </c>
      <c r="T657">
        <v>48.92</v>
      </c>
      <c r="U657">
        <v>37.21</v>
      </c>
      <c r="V657" s="6">
        <v>30.68</v>
      </c>
    </row>
    <row r="658" spans="1:22" x14ac:dyDescent="0.2">
      <c r="A658" s="4">
        <v>45520</v>
      </c>
      <c r="B658" s="3">
        <v>113.43</v>
      </c>
      <c r="C658">
        <v>52.02</v>
      </c>
      <c r="D658">
        <v>32.85</v>
      </c>
      <c r="E658">
        <v>30.78</v>
      </c>
      <c r="F658">
        <v>35.86</v>
      </c>
      <c r="G658">
        <v>52.23</v>
      </c>
      <c r="H658">
        <v>26.22</v>
      </c>
      <c r="I658">
        <v>37.01</v>
      </c>
      <c r="J658">
        <v>98.7</v>
      </c>
      <c r="K658">
        <v>13.64</v>
      </c>
      <c r="L658">
        <v>12.16</v>
      </c>
      <c r="M658">
        <v>12.02</v>
      </c>
      <c r="N658">
        <v>9.42</v>
      </c>
      <c r="O658">
        <v>36.450000000000003</v>
      </c>
      <c r="P658">
        <v>44.39</v>
      </c>
      <c r="Q658">
        <v>52.95</v>
      </c>
      <c r="R658">
        <v>35.130000000000003</v>
      </c>
      <c r="S658">
        <v>34.86</v>
      </c>
      <c r="T658">
        <v>49.2</v>
      </c>
      <c r="U658">
        <v>40.44</v>
      </c>
      <c r="V658" s="6">
        <v>30.8</v>
      </c>
    </row>
    <row r="659" spans="1:22" x14ac:dyDescent="0.2">
      <c r="A659" s="4">
        <v>45523</v>
      </c>
      <c r="B659" s="3">
        <v>113.41</v>
      </c>
      <c r="C659">
        <v>52.86</v>
      </c>
      <c r="D659">
        <v>32.799999999999997</v>
      </c>
      <c r="E659">
        <v>30.97</v>
      </c>
      <c r="F659">
        <v>35.590000000000003</v>
      </c>
      <c r="G659">
        <v>50.8</v>
      </c>
      <c r="H659">
        <v>26.93</v>
      </c>
      <c r="I659">
        <v>38.1</v>
      </c>
      <c r="J659">
        <v>97.5</v>
      </c>
      <c r="K659">
        <v>14.25</v>
      </c>
      <c r="L659">
        <v>12.45</v>
      </c>
      <c r="M659">
        <v>12.02</v>
      </c>
      <c r="N659">
        <v>9.5</v>
      </c>
      <c r="O659">
        <v>38.159999999999997</v>
      </c>
      <c r="P659">
        <v>43.93</v>
      </c>
      <c r="Q659">
        <v>53.56</v>
      </c>
      <c r="R659">
        <v>35.36</v>
      </c>
      <c r="S659">
        <v>35.520000000000003</v>
      </c>
      <c r="T659">
        <v>47.89</v>
      </c>
      <c r="U659">
        <v>42.01</v>
      </c>
      <c r="V659" s="6">
        <v>31.24</v>
      </c>
    </row>
    <row r="660" spans="1:22" x14ac:dyDescent="0.2">
      <c r="A660" s="4">
        <v>45524</v>
      </c>
      <c r="B660" s="3">
        <v>113.82</v>
      </c>
      <c r="C660">
        <v>53.06</v>
      </c>
      <c r="D660">
        <v>32.67</v>
      </c>
      <c r="E660">
        <v>31.2</v>
      </c>
      <c r="F660">
        <v>35.46</v>
      </c>
      <c r="G660">
        <v>52.1</v>
      </c>
      <c r="H660">
        <v>27.05</v>
      </c>
      <c r="I660">
        <v>37.979999999999997</v>
      </c>
      <c r="J660">
        <v>99.58</v>
      </c>
      <c r="K660">
        <v>14.3</v>
      </c>
      <c r="L660">
        <v>12.56</v>
      </c>
      <c r="M660">
        <v>11.95</v>
      </c>
      <c r="N660">
        <v>9.5299999999999994</v>
      </c>
      <c r="O660">
        <v>36.130000000000003</v>
      </c>
      <c r="P660">
        <v>44.51</v>
      </c>
      <c r="Q660">
        <v>54.37</v>
      </c>
      <c r="R660">
        <v>35.5</v>
      </c>
      <c r="S660">
        <v>36.06</v>
      </c>
      <c r="T660">
        <v>47.83</v>
      </c>
      <c r="U660">
        <v>40.79</v>
      </c>
      <c r="V660" s="6">
        <v>32.130000000000003</v>
      </c>
    </row>
    <row r="661" spans="1:22" x14ac:dyDescent="0.2">
      <c r="A661" s="4">
        <v>45525</v>
      </c>
      <c r="B661" s="3">
        <v>112.64</v>
      </c>
      <c r="C661">
        <v>54.08</v>
      </c>
      <c r="D661">
        <v>32.47</v>
      </c>
      <c r="E661">
        <v>31.07</v>
      </c>
      <c r="F661">
        <v>35.15</v>
      </c>
      <c r="G661">
        <v>52.41</v>
      </c>
      <c r="H661">
        <v>26.93</v>
      </c>
      <c r="I661">
        <v>38.08</v>
      </c>
      <c r="J661">
        <v>99.45</v>
      </c>
      <c r="K661">
        <v>14.24</v>
      </c>
      <c r="L661">
        <v>12.62</v>
      </c>
      <c r="M661">
        <v>11.95</v>
      </c>
      <c r="N661">
        <v>9.49</v>
      </c>
      <c r="O661">
        <v>36.549999999999997</v>
      </c>
      <c r="P661">
        <v>44.98</v>
      </c>
      <c r="Q661">
        <v>54.94</v>
      </c>
      <c r="R661">
        <v>35.79</v>
      </c>
      <c r="S661">
        <v>35.64</v>
      </c>
      <c r="T661">
        <v>46.85</v>
      </c>
      <c r="U661">
        <v>41.48</v>
      </c>
      <c r="V661" s="6">
        <v>32.630000000000003</v>
      </c>
    </row>
    <row r="662" spans="1:22" x14ac:dyDescent="0.2">
      <c r="A662" s="4">
        <v>45526</v>
      </c>
      <c r="B662" s="3">
        <v>113.4</v>
      </c>
      <c r="C662">
        <v>54.16</v>
      </c>
      <c r="D662">
        <v>32.520000000000003</v>
      </c>
      <c r="E662">
        <v>30.78</v>
      </c>
      <c r="F662">
        <v>35.18</v>
      </c>
      <c r="G662">
        <v>53.17</v>
      </c>
      <c r="H662">
        <v>26.28</v>
      </c>
      <c r="I662">
        <v>37.53</v>
      </c>
      <c r="J662">
        <v>97.46</v>
      </c>
      <c r="K662">
        <v>14.14</v>
      </c>
      <c r="L662">
        <v>12.21</v>
      </c>
      <c r="M662">
        <v>12.01</v>
      </c>
      <c r="N662">
        <v>9.44</v>
      </c>
      <c r="O662">
        <v>36.21</v>
      </c>
      <c r="P662">
        <v>45.95</v>
      </c>
      <c r="Q662">
        <v>54.9</v>
      </c>
      <c r="R662">
        <v>35.17</v>
      </c>
      <c r="S662">
        <v>34.9</v>
      </c>
      <c r="T662">
        <v>46.86</v>
      </c>
      <c r="U662">
        <v>39.81</v>
      </c>
      <c r="V662" s="6">
        <v>31.49</v>
      </c>
    </row>
    <row r="663" spans="1:22" x14ac:dyDescent="0.2">
      <c r="A663" s="4">
        <v>45527</v>
      </c>
      <c r="B663" s="3">
        <v>114.19</v>
      </c>
      <c r="C663">
        <v>53.25</v>
      </c>
      <c r="D663">
        <v>32.32</v>
      </c>
      <c r="E663">
        <v>30.55</v>
      </c>
      <c r="F663">
        <v>34.840000000000003</v>
      </c>
      <c r="G663">
        <v>52.78</v>
      </c>
      <c r="H663">
        <v>26.47</v>
      </c>
      <c r="I663">
        <v>38.43</v>
      </c>
      <c r="J663">
        <v>96.8</v>
      </c>
      <c r="K663">
        <v>14.26</v>
      </c>
      <c r="L663">
        <v>12.4</v>
      </c>
      <c r="M663">
        <v>12.08</v>
      </c>
      <c r="N663">
        <v>9.44</v>
      </c>
      <c r="O663">
        <v>34.83</v>
      </c>
      <c r="P663">
        <v>45.98</v>
      </c>
      <c r="Q663">
        <v>54.57</v>
      </c>
      <c r="R663">
        <v>35.4</v>
      </c>
      <c r="S663">
        <v>35.31</v>
      </c>
      <c r="T663">
        <v>47.05</v>
      </c>
      <c r="U663">
        <v>40.15</v>
      </c>
      <c r="V663" s="6">
        <v>32.72</v>
      </c>
    </row>
    <row r="664" spans="1:22" x14ac:dyDescent="0.2">
      <c r="A664" s="4">
        <v>45530</v>
      </c>
      <c r="B664" s="3">
        <v>114.36</v>
      </c>
      <c r="C664">
        <v>53.85</v>
      </c>
      <c r="D664">
        <v>34.659999999999997</v>
      </c>
      <c r="E664">
        <v>30.62</v>
      </c>
      <c r="F664">
        <v>37.96</v>
      </c>
      <c r="G664">
        <v>53.05</v>
      </c>
      <c r="H664">
        <v>26.58</v>
      </c>
      <c r="I664">
        <v>38.43</v>
      </c>
      <c r="J664">
        <v>96.4</v>
      </c>
      <c r="K664">
        <v>14.22</v>
      </c>
      <c r="L664">
        <v>12.46</v>
      </c>
      <c r="M664">
        <v>12.08</v>
      </c>
      <c r="N664">
        <v>9.43</v>
      </c>
      <c r="O664">
        <v>35</v>
      </c>
      <c r="P664">
        <v>46.22</v>
      </c>
      <c r="Q664">
        <v>53.7</v>
      </c>
      <c r="R664">
        <v>35.340000000000003</v>
      </c>
      <c r="S664">
        <v>34.729999999999997</v>
      </c>
      <c r="T664">
        <v>47.25</v>
      </c>
      <c r="U664">
        <v>40.14</v>
      </c>
      <c r="V664" s="6">
        <v>32.68</v>
      </c>
    </row>
    <row r="665" spans="1:22" x14ac:dyDescent="0.2">
      <c r="A665" s="4">
        <v>45531</v>
      </c>
      <c r="B665" s="3">
        <v>114.61</v>
      </c>
      <c r="C665">
        <v>55.47</v>
      </c>
      <c r="D665">
        <v>34.200000000000003</v>
      </c>
      <c r="E665">
        <v>30.65</v>
      </c>
      <c r="F665">
        <v>37.44</v>
      </c>
      <c r="G665">
        <v>52.97</v>
      </c>
      <c r="H665">
        <v>26.28</v>
      </c>
      <c r="I665">
        <v>37.979999999999997</v>
      </c>
      <c r="J665">
        <v>96.2</v>
      </c>
      <c r="K665">
        <v>14.05</v>
      </c>
      <c r="L665">
        <v>12.31</v>
      </c>
      <c r="M665">
        <v>12.04</v>
      </c>
      <c r="N665">
        <v>9.43</v>
      </c>
      <c r="O665">
        <v>34.979999999999997</v>
      </c>
      <c r="P665">
        <v>45.64</v>
      </c>
      <c r="Q665">
        <v>54.13</v>
      </c>
      <c r="R665">
        <v>35.090000000000003</v>
      </c>
      <c r="S665">
        <v>34.880000000000003</v>
      </c>
      <c r="T665">
        <v>47.74</v>
      </c>
      <c r="U665">
        <v>40.72</v>
      </c>
      <c r="V665" s="6">
        <v>32.14</v>
      </c>
    </row>
    <row r="666" spans="1:22" x14ac:dyDescent="0.2">
      <c r="A666" s="4">
        <v>45532</v>
      </c>
      <c r="B666" s="3">
        <v>113.62</v>
      </c>
      <c r="C666">
        <v>55.08</v>
      </c>
      <c r="D666">
        <v>34.69</v>
      </c>
      <c r="E666">
        <v>31.31</v>
      </c>
      <c r="F666">
        <v>38.29</v>
      </c>
      <c r="G666">
        <v>52.97</v>
      </c>
      <c r="H666">
        <v>26.44</v>
      </c>
      <c r="I666">
        <v>38.57</v>
      </c>
      <c r="J666">
        <v>96.35</v>
      </c>
      <c r="K666">
        <v>14.27</v>
      </c>
      <c r="L666">
        <v>12.36</v>
      </c>
      <c r="M666">
        <v>11.96</v>
      </c>
      <c r="N666">
        <v>9.6</v>
      </c>
      <c r="O666">
        <v>35.04</v>
      </c>
      <c r="P666">
        <v>46.52</v>
      </c>
      <c r="Q666">
        <v>54.57</v>
      </c>
      <c r="R666">
        <v>35.409999999999997</v>
      </c>
      <c r="S666">
        <v>34.72</v>
      </c>
      <c r="T666">
        <v>47.36</v>
      </c>
      <c r="U666">
        <v>40.340000000000003</v>
      </c>
      <c r="V666" s="6">
        <v>32.020000000000003</v>
      </c>
    </row>
    <row r="667" spans="1:22" x14ac:dyDescent="0.2">
      <c r="A667" s="4">
        <v>45533</v>
      </c>
      <c r="B667" s="3">
        <v>113.14</v>
      </c>
      <c r="C667">
        <v>55.01</v>
      </c>
      <c r="D667">
        <v>34.450000000000003</v>
      </c>
      <c r="E667">
        <v>30.97</v>
      </c>
      <c r="F667">
        <v>37.840000000000003</v>
      </c>
      <c r="G667">
        <v>52.52</v>
      </c>
      <c r="H667">
        <v>26.55</v>
      </c>
      <c r="I667">
        <v>37.89</v>
      </c>
      <c r="J667">
        <v>95.39</v>
      </c>
      <c r="K667">
        <v>14.24</v>
      </c>
      <c r="L667">
        <v>12.21</v>
      </c>
      <c r="M667">
        <v>11.88</v>
      </c>
      <c r="N667">
        <v>9.48</v>
      </c>
      <c r="O667">
        <v>34.94</v>
      </c>
      <c r="P667">
        <v>46.29</v>
      </c>
      <c r="Q667">
        <v>54.01</v>
      </c>
      <c r="R667">
        <v>34.630000000000003</v>
      </c>
      <c r="S667">
        <v>34.270000000000003</v>
      </c>
      <c r="T667">
        <v>46.73</v>
      </c>
      <c r="U667">
        <v>39.630000000000003</v>
      </c>
      <c r="V667" s="6">
        <v>31.67</v>
      </c>
    </row>
    <row r="668" spans="1:22" x14ac:dyDescent="0.2">
      <c r="A668" s="4">
        <v>45534</v>
      </c>
      <c r="B668" s="3">
        <v>112.69</v>
      </c>
      <c r="C668">
        <v>55.27</v>
      </c>
      <c r="D668">
        <v>34.49</v>
      </c>
      <c r="E668">
        <v>30.75</v>
      </c>
      <c r="F668">
        <v>37.979999999999997</v>
      </c>
      <c r="G668">
        <v>53.12</v>
      </c>
      <c r="H668">
        <v>26.38</v>
      </c>
      <c r="I668">
        <v>38.31</v>
      </c>
      <c r="J668">
        <v>94.73</v>
      </c>
      <c r="K668">
        <v>14.25</v>
      </c>
      <c r="L668">
        <v>12.34</v>
      </c>
      <c r="M668">
        <v>11.88</v>
      </c>
      <c r="N668">
        <v>9.44</v>
      </c>
      <c r="O668">
        <v>35</v>
      </c>
      <c r="P668">
        <v>46.78</v>
      </c>
      <c r="Q668">
        <v>53.52</v>
      </c>
      <c r="R668">
        <v>34.630000000000003</v>
      </c>
      <c r="S668">
        <v>34.200000000000003</v>
      </c>
      <c r="T668">
        <v>46.84</v>
      </c>
      <c r="U668">
        <v>39.270000000000003</v>
      </c>
      <c r="V668" s="6">
        <v>31.12</v>
      </c>
    </row>
    <row r="669" spans="1:22" x14ac:dyDescent="0.2">
      <c r="A669" s="4">
        <v>45537</v>
      </c>
      <c r="B669" s="3">
        <v>112.22</v>
      </c>
      <c r="C669">
        <v>54.49</v>
      </c>
      <c r="D669">
        <v>34.159999999999997</v>
      </c>
      <c r="E669">
        <v>30.5</v>
      </c>
      <c r="F669">
        <v>37.82</v>
      </c>
      <c r="G669">
        <v>51.35</v>
      </c>
      <c r="H669">
        <v>26.66</v>
      </c>
      <c r="I669">
        <v>38.44</v>
      </c>
      <c r="J669">
        <v>94.36</v>
      </c>
      <c r="K669">
        <v>14.21</v>
      </c>
      <c r="L669">
        <v>12.1</v>
      </c>
      <c r="M669">
        <v>11.89</v>
      </c>
      <c r="N669">
        <v>9.3699999999999992</v>
      </c>
      <c r="O669">
        <v>34.28</v>
      </c>
      <c r="P669">
        <v>45.56</v>
      </c>
      <c r="Q669">
        <v>53.61</v>
      </c>
      <c r="R669">
        <v>34.380000000000003</v>
      </c>
      <c r="S669">
        <v>34.11</v>
      </c>
      <c r="T669">
        <v>46.71</v>
      </c>
      <c r="U669">
        <v>39.159999999999997</v>
      </c>
      <c r="V669" s="6">
        <v>30.87</v>
      </c>
    </row>
    <row r="670" spans="1:22" x14ac:dyDescent="0.2">
      <c r="A670" s="4">
        <v>45538</v>
      </c>
      <c r="B670" s="3">
        <v>114.05</v>
      </c>
      <c r="C670">
        <v>52.46</v>
      </c>
      <c r="D670">
        <v>33.75</v>
      </c>
      <c r="E670">
        <v>31</v>
      </c>
      <c r="F670">
        <v>37.42</v>
      </c>
      <c r="G670">
        <v>51.79</v>
      </c>
      <c r="H670">
        <v>26.91</v>
      </c>
      <c r="I670">
        <v>38.26</v>
      </c>
      <c r="J670">
        <v>94.7</v>
      </c>
      <c r="K670">
        <v>14.36</v>
      </c>
      <c r="L670">
        <v>11.83</v>
      </c>
      <c r="M670">
        <v>11.82</v>
      </c>
      <c r="N670">
        <v>9.52</v>
      </c>
      <c r="O670">
        <v>33.85</v>
      </c>
      <c r="P670">
        <v>46.37</v>
      </c>
      <c r="Q670">
        <v>53.12</v>
      </c>
      <c r="R670">
        <v>34.47</v>
      </c>
      <c r="S670">
        <v>34.22</v>
      </c>
      <c r="T670">
        <v>44.3</v>
      </c>
      <c r="U670">
        <v>38.64</v>
      </c>
      <c r="V670" s="6">
        <v>31.57</v>
      </c>
    </row>
    <row r="671" spans="1:22" x14ac:dyDescent="0.2">
      <c r="A671" s="4">
        <v>45539</v>
      </c>
      <c r="B671" s="3">
        <v>114.15</v>
      </c>
      <c r="C671">
        <v>52.87</v>
      </c>
      <c r="D671">
        <v>33.76</v>
      </c>
      <c r="E671">
        <v>31.22</v>
      </c>
      <c r="F671">
        <v>37.28</v>
      </c>
      <c r="G671">
        <v>52.37</v>
      </c>
      <c r="H671">
        <v>27.2</v>
      </c>
      <c r="I671">
        <v>39.17</v>
      </c>
      <c r="J671">
        <v>95.58</v>
      </c>
      <c r="K671">
        <v>14.47</v>
      </c>
      <c r="L671">
        <v>12.22</v>
      </c>
      <c r="M671">
        <v>12</v>
      </c>
      <c r="N671">
        <v>9.6</v>
      </c>
      <c r="O671">
        <v>34.369999999999997</v>
      </c>
      <c r="P671">
        <v>49.06</v>
      </c>
      <c r="Q671">
        <v>53.89</v>
      </c>
      <c r="R671">
        <v>34.549999999999997</v>
      </c>
      <c r="S671">
        <v>35.68</v>
      </c>
      <c r="T671">
        <v>43.72</v>
      </c>
      <c r="U671">
        <v>39.799999999999997</v>
      </c>
      <c r="V671" s="6">
        <v>32.56</v>
      </c>
    </row>
    <row r="672" spans="1:22" x14ac:dyDescent="0.2">
      <c r="A672" s="4">
        <v>45540</v>
      </c>
      <c r="B672" s="3">
        <v>112.5</v>
      </c>
      <c r="C672">
        <v>53.25</v>
      </c>
      <c r="D672">
        <v>33.549999999999997</v>
      </c>
      <c r="E672">
        <v>31.42</v>
      </c>
      <c r="F672">
        <v>37.06</v>
      </c>
      <c r="G672">
        <v>52.96</v>
      </c>
      <c r="H672">
        <v>27.44</v>
      </c>
      <c r="I672">
        <v>38.880000000000003</v>
      </c>
      <c r="J672">
        <v>95.38</v>
      </c>
      <c r="K672">
        <v>14.6</v>
      </c>
      <c r="L672">
        <v>12.26</v>
      </c>
      <c r="M672">
        <v>11.98</v>
      </c>
      <c r="N672">
        <v>9.69</v>
      </c>
      <c r="O672">
        <v>34.6</v>
      </c>
      <c r="P672">
        <v>49.74</v>
      </c>
      <c r="Q672">
        <v>53.8</v>
      </c>
      <c r="R672">
        <v>34.65</v>
      </c>
      <c r="S672">
        <v>35.04</v>
      </c>
      <c r="T672">
        <v>43.52</v>
      </c>
      <c r="U672">
        <v>40.33</v>
      </c>
      <c r="V672" s="6">
        <v>32.33</v>
      </c>
    </row>
    <row r="673" spans="1:22" x14ac:dyDescent="0.2">
      <c r="A673" s="4">
        <v>45541</v>
      </c>
      <c r="B673" s="3">
        <v>112.7</v>
      </c>
      <c r="C673">
        <v>52.58</v>
      </c>
      <c r="D673">
        <v>32.89</v>
      </c>
      <c r="E673">
        <v>30.97</v>
      </c>
      <c r="F673">
        <v>36.380000000000003</v>
      </c>
      <c r="G673">
        <v>51.87</v>
      </c>
      <c r="H673">
        <v>26.99</v>
      </c>
      <c r="I673">
        <v>38.31</v>
      </c>
      <c r="J673">
        <v>94.75</v>
      </c>
      <c r="K673">
        <v>14.32</v>
      </c>
      <c r="L673">
        <v>11.9</v>
      </c>
      <c r="M673">
        <v>12</v>
      </c>
      <c r="N673">
        <v>9.59</v>
      </c>
      <c r="O673">
        <v>34.340000000000003</v>
      </c>
      <c r="P673">
        <v>47.78</v>
      </c>
      <c r="Q673">
        <v>52.91</v>
      </c>
      <c r="R673">
        <v>34.08</v>
      </c>
      <c r="S673">
        <v>34.799999999999997</v>
      </c>
      <c r="T673">
        <v>42.46</v>
      </c>
      <c r="U673">
        <v>39.89</v>
      </c>
      <c r="V673" s="6">
        <v>32.51</v>
      </c>
    </row>
    <row r="674" spans="1:22" x14ac:dyDescent="0.2">
      <c r="A674" s="4">
        <v>45544</v>
      </c>
      <c r="B674" s="3">
        <v>112.2</v>
      </c>
      <c r="C674">
        <v>52.58</v>
      </c>
      <c r="D674">
        <v>33.25</v>
      </c>
      <c r="E674">
        <v>31.28</v>
      </c>
      <c r="F674">
        <v>36.86</v>
      </c>
      <c r="G674">
        <v>51.45</v>
      </c>
      <c r="H674">
        <v>27.33</v>
      </c>
      <c r="I674">
        <v>38.299999999999997</v>
      </c>
      <c r="J674">
        <v>94.79</v>
      </c>
      <c r="K674">
        <v>14.36</v>
      </c>
      <c r="L674">
        <v>11.97</v>
      </c>
      <c r="M674">
        <v>12.11</v>
      </c>
      <c r="N674">
        <v>9.69</v>
      </c>
      <c r="O674">
        <v>33.9</v>
      </c>
      <c r="P674">
        <v>47.99</v>
      </c>
      <c r="Q674">
        <v>52.67</v>
      </c>
      <c r="R674">
        <v>34.659999999999997</v>
      </c>
      <c r="S674">
        <v>34.64</v>
      </c>
      <c r="T674">
        <v>41.96</v>
      </c>
      <c r="U674">
        <v>39.44</v>
      </c>
      <c r="V674" s="6">
        <v>32.6</v>
      </c>
    </row>
    <row r="675" spans="1:22" x14ac:dyDescent="0.2">
      <c r="A675" s="4">
        <v>45545</v>
      </c>
      <c r="B675" s="3">
        <v>112.49</v>
      </c>
      <c r="C675">
        <v>51.95</v>
      </c>
      <c r="D675">
        <v>32.700000000000003</v>
      </c>
      <c r="E675">
        <v>31.28</v>
      </c>
      <c r="F675">
        <v>36.08</v>
      </c>
      <c r="G675">
        <v>51.88</v>
      </c>
      <c r="H675">
        <v>26.93</v>
      </c>
      <c r="I675">
        <v>38.200000000000003</v>
      </c>
      <c r="J675">
        <v>96.25</v>
      </c>
      <c r="K675">
        <v>14.41</v>
      </c>
      <c r="L675">
        <v>12.11</v>
      </c>
      <c r="M675">
        <v>12.23</v>
      </c>
      <c r="N675">
        <v>9.69</v>
      </c>
      <c r="O675">
        <v>34.21</v>
      </c>
      <c r="P675">
        <v>48.55</v>
      </c>
      <c r="Q675">
        <v>53.72</v>
      </c>
      <c r="R675">
        <v>34.380000000000003</v>
      </c>
      <c r="S675">
        <v>34.5</v>
      </c>
      <c r="T675">
        <v>42.2</v>
      </c>
      <c r="U675">
        <v>39.869999999999997</v>
      </c>
      <c r="V675" s="6">
        <v>32.68</v>
      </c>
    </row>
    <row r="676" spans="1:22" x14ac:dyDescent="0.2">
      <c r="A676" s="4">
        <v>45546</v>
      </c>
      <c r="B676" s="3">
        <v>112.13</v>
      </c>
      <c r="C676">
        <v>53.42</v>
      </c>
      <c r="D676">
        <v>32.67</v>
      </c>
      <c r="E676">
        <v>31.33</v>
      </c>
      <c r="F676">
        <v>36.24</v>
      </c>
      <c r="G676">
        <v>52.48</v>
      </c>
      <c r="H676">
        <v>26.93</v>
      </c>
      <c r="I676">
        <v>38.35</v>
      </c>
      <c r="J676">
        <v>94.73</v>
      </c>
      <c r="K676">
        <v>14.24</v>
      </c>
      <c r="L676">
        <v>11.81</v>
      </c>
      <c r="M676">
        <v>12.05</v>
      </c>
      <c r="N676">
        <v>9.69</v>
      </c>
      <c r="O676">
        <v>33.590000000000003</v>
      </c>
      <c r="P676">
        <v>49.75</v>
      </c>
      <c r="Q676">
        <v>53.64</v>
      </c>
      <c r="R676">
        <v>33.71</v>
      </c>
      <c r="S676">
        <v>34.299999999999997</v>
      </c>
      <c r="T676">
        <v>42.53</v>
      </c>
      <c r="U676">
        <v>40.21</v>
      </c>
      <c r="V676" s="6">
        <v>32.770000000000003</v>
      </c>
    </row>
    <row r="677" spans="1:22" x14ac:dyDescent="0.2">
      <c r="A677" s="4">
        <v>45547</v>
      </c>
      <c r="B677" s="3">
        <v>112.84</v>
      </c>
      <c r="C677">
        <v>53.91</v>
      </c>
      <c r="D677">
        <v>32.299999999999997</v>
      </c>
      <c r="E677">
        <v>30.99</v>
      </c>
      <c r="F677">
        <v>35.81</v>
      </c>
      <c r="G677">
        <v>52.29</v>
      </c>
      <c r="H677">
        <v>26.63</v>
      </c>
      <c r="I677">
        <v>37.89</v>
      </c>
      <c r="J677">
        <v>94.39</v>
      </c>
      <c r="K677">
        <v>14.18</v>
      </c>
      <c r="L677">
        <v>11.73</v>
      </c>
      <c r="M677">
        <v>11.93</v>
      </c>
      <c r="N677">
        <v>9.66</v>
      </c>
      <c r="O677">
        <v>33.49</v>
      </c>
      <c r="P677">
        <v>50.9</v>
      </c>
      <c r="Q677">
        <v>52.93</v>
      </c>
      <c r="R677">
        <v>33.17</v>
      </c>
      <c r="S677">
        <v>33.799999999999997</v>
      </c>
      <c r="T677">
        <v>42.28</v>
      </c>
      <c r="U677">
        <v>40.11</v>
      </c>
      <c r="V677" s="6">
        <v>32.92</v>
      </c>
    </row>
    <row r="678" spans="1:22" x14ac:dyDescent="0.2">
      <c r="A678" s="4">
        <v>45548</v>
      </c>
      <c r="B678" s="3">
        <v>112.9</v>
      </c>
      <c r="C678">
        <v>54.27</v>
      </c>
      <c r="D678">
        <v>32.15</v>
      </c>
      <c r="E678">
        <v>31.02</v>
      </c>
      <c r="F678">
        <v>35.700000000000003</v>
      </c>
      <c r="G678">
        <v>52.6</v>
      </c>
      <c r="H678">
        <v>26.81</v>
      </c>
      <c r="I678">
        <v>38.090000000000003</v>
      </c>
      <c r="J678">
        <v>94.53</v>
      </c>
      <c r="K678">
        <v>14.18</v>
      </c>
      <c r="L678">
        <v>11.81</v>
      </c>
      <c r="M678">
        <v>11.76</v>
      </c>
      <c r="N678">
        <v>9.66</v>
      </c>
      <c r="O678">
        <v>33.06</v>
      </c>
      <c r="P678">
        <v>51.88</v>
      </c>
      <c r="Q678">
        <v>52.83</v>
      </c>
      <c r="R678">
        <v>33.99</v>
      </c>
      <c r="S678">
        <v>34</v>
      </c>
      <c r="T678">
        <v>43.31</v>
      </c>
      <c r="U678">
        <v>41.96</v>
      </c>
      <c r="V678" s="6">
        <v>33.880000000000003</v>
      </c>
    </row>
    <row r="679" spans="1:22" x14ac:dyDescent="0.2">
      <c r="A679" s="4">
        <v>45551</v>
      </c>
      <c r="B679" s="3">
        <v>112.53</v>
      </c>
      <c r="C679">
        <v>54.27</v>
      </c>
      <c r="D679">
        <v>32.6</v>
      </c>
      <c r="E679">
        <v>31.02</v>
      </c>
      <c r="F679">
        <v>36.06</v>
      </c>
      <c r="G679">
        <v>51.99</v>
      </c>
      <c r="H679">
        <v>26.95</v>
      </c>
      <c r="I679">
        <v>38.54</v>
      </c>
      <c r="J679">
        <v>96.5</v>
      </c>
      <c r="K679">
        <v>14.07</v>
      </c>
      <c r="L679">
        <v>11.84</v>
      </c>
      <c r="M679">
        <v>11.88</v>
      </c>
      <c r="N679">
        <v>9.66</v>
      </c>
      <c r="O679">
        <v>33.590000000000003</v>
      </c>
      <c r="P679">
        <v>49.13</v>
      </c>
      <c r="Q679">
        <v>51.6</v>
      </c>
      <c r="R679">
        <v>34.369999999999997</v>
      </c>
      <c r="S679">
        <v>34.06</v>
      </c>
      <c r="T679">
        <v>42.74</v>
      </c>
      <c r="U679">
        <v>41.57</v>
      </c>
      <c r="V679" s="6">
        <v>33.57</v>
      </c>
    </row>
    <row r="680" spans="1:22" x14ac:dyDescent="0.2">
      <c r="A680" s="4">
        <v>45552</v>
      </c>
      <c r="B680" s="3">
        <v>112.06</v>
      </c>
      <c r="C680">
        <v>54.01</v>
      </c>
      <c r="D680">
        <v>32.450000000000003</v>
      </c>
      <c r="E680">
        <v>30.94</v>
      </c>
      <c r="F680">
        <v>35.840000000000003</v>
      </c>
      <c r="G680">
        <v>52.3</v>
      </c>
      <c r="H680">
        <v>26.78</v>
      </c>
      <c r="I680">
        <v>38.700000000000003</v>
      </c>
      <c r="J680">
        <v>96.19</v>
      </c>
      <c r="K680">
        <v>13.98</v>
      </c>
      <c r="L680">
        <v>11.93</v>
      </c>
      <c r="M680">
        <v>11.97</v>
      </c>
      <c r="N680">
        <v>9.6199999999999992</v>
      </c>
      <c r="O680">
        <v>34.130000000000003</v>
      </c>
      <c r="P680">
        <v>48.34</v>
      </c>
      <c r="Q680">
        <v>51.86</v>
      </c>
      <c r="R680">
        <v>34.340000000000003</v>
      </c>
      <c r="S680">
        <v>33.75</v>
      </c>
      <c r="T680">
        <v>43.36</v>
      </c>
      <c r="U680">
        <v>42.04</v>
      </c>
      <c r="V680" s="6">
        <v>33.22</v>
      </c>
    </row>
    <row r="681" spans="1:22" x14ac:dyDescent="0.2">
      <c r="A681" s="4">
        <v>45553</v>
      </c>
      <c r="B681" s="3">
        <v>111.4</v>
      </c>
      <c r="C681">
        <v>53.38</v>
      </c>
      <c r="D681">
        <v>31.67</v>
      </c>
      <c r="E681">
        <v>30.76</v>
      </c>
      <c r="F681">
        <v>35.22</v>
      </c>
      <c r="G681">
        <v>52.34</v>
      </c>
      <c r="H681">
        <v>26.65</v>
      </c>
      <c r="I681">
        <v>38.340000000000003</v>
      </c>
      <c r="J681">
        <v>96.07</v>
      </c>
      <c r="K681">
        <v>13.9</v>
      </c>
      <c r="L681">
        <v>11.81</v>
      </c>
      <c r="M681">
        <v>11.99</v>
      </c>
      <c r="N681">
        <v>9.57</v>
      </c>
      <c r="O681">
        <v>32.700000000000003</v>
      </c>
      <c r="P681">
        <v>47.4</v>
      </c>
      <c r="Q681">
        <v>51.19</v>
      </c>
      <c r="R681">
        <v>34.29</v>
      </c>
      <c r="S681">
        <v>33.71</v>
      </c>
      <c r="T681">
        <v>43.19</v>
      </c>
      <c r="U681">
        <v>42.55</v>
      </c>
      <c r="V681" s="6">
        <v>33.54</v>
      </c>
    </row>
    <row r="682" spans="1:22" x14ac:dyDescent="0.2">
      <c r="A682" s="4">
        <v>45554</v>
      </c>
      <c r="B682" s="3">
        <v>109.6</v>
      </c>
      <c r="C682">
        <v>54.02</v>
      </c>
      <c r="D682">
        <v>31.77</v>
      </c>
      <c r="E682">
        <v>30.68</v>
      </c>
      <c r="F682">
        <v>35.11</v>
      </c>
      <c r="G682">
        <v>52.24</v>
      </c>
      <c r="H682">
        <v>26.33</v>
      </c>
      <c r="I682">
        <v>37.799999999999997</v>
      </c>
      <c r="J682">
        <v>94.97</v>
      </c>
      <c r="K682">
        <v>13.7</v>
      </c>
      <c r="L682">
        <v>11.68</v>
      </c>
      <c r="M682">
        <v>11.96</v>
      </c>
      <c r="N682">
        <v>9.61</v>
      </c>
      <c r="O682">
        <v>32.840000000000003</v>
      </c>
      <c r="P682">
        <v>47.44</v>
      </c>
      <c r="Q682">
        <v>51.16</v>
      </c>
      <c r="R682">
        <v>33.799999999999997</v>
      </c>
      <c r="S682">
        <v>33.369999999999997</v>
      </c>
      <c r="T682">
        <v>44.01</v>
      </c>
      <c r="U682">
        <v>42.06</v>
      </c>
      <c r="V682" s="6">
        <v>32.619999999999997</v>
      </c>
    </row>
    <row r="683" spans="1:22" x14ac:dyDescent="0.2">
      <c r="A683" s="4">
        <v>45555</v>
      </c>
      <c r="B683" s="3">
        <v>109.3</v>
      </c>
      <c r="C683">
        <v>53.2</v>
      </c>
      <c r="D683">
        <v>31.76</v>
      </c>
      <c r="E683">
        <v>30.31</v>
      </c>
      <c r="F683">
        <v>35.11</v>
      </c>
      <c r="G683">
        <v>51.52</v>
      </c>
      <c r="H683">
        <v>25.94</v>
      </c>
      <c r="I683">
        <v>36.64</v>
      </c>
      <c r="J683">
        <v>94.66</v>
      </c>
      <c r="K683">
        <v>13.45</v>
      </c>
      <c r="L683">
        <v>11.29</v>
      </c>
      <c r="M683">
        <v>11.79</v>
      </c>
      <c r="N683">
        <v>9.5</v>
      </c>
      <c r="O683">
        <v>32.340000000000003</v>
      </c>
      <c r="P683">
        <v>48.2</v>
      </c>
      <c r="Q683">
        <v>50.93</v>
      </c>
      <c r="R683">
        <v>32.46</v>
      </c>
      <c r="S683">
        <v>32.65</v>
      </c>
      <c r="T683">
        <v>44.2</v>
      </c>
      <c r="U683">
        <v>40.82</v>
      </c>
      <c r="V683" s="6">
        <v>31.76</v>
      </c>
    </row>
    <row r="684" spans="1:22" x14ac:dyDescent="0.2">
      <c r="A684" s="4">
        <v>45558</v>
      </c>
      <c r="B684" s="3">
        <v>110.6</v>
      </c>
      <c r="C684">
        <v>53.37</v>
      </c>
      <c r="D684">
        <v>32.090000000000003</v>
      </c>
      <c r="E684">
        <v>30.13</v>
      </c>
      <c r="F684">
        <v>35.549999999999997</v>
      </c>
      <c r="G684">
        <v>53.28</v>
      </c>
      <c r="H684">
        <v>25.85</v>
      </c>
      <c r="I684">
        <v>36.29</v>
      </c>
      <c r="J684">
        <v>93.62</v>
      </c>
      <c r="K684">
        <v>13.1</v>
      </c>
      <c r="L684">
        <v>10.9</v>
      </c>
      <c r="M684">
        <v>11.78</v>
      </c>
      <c r="N684">
        <v>9.44</v>
      </c>
      <c r="O684">
        <v>31.81</v>
      </c>
      <c r="P684">
        <v>49.26</v>
      </c>
      <c r="Q684">
        <v>50.26</v>
      </c>
      <c r="R684">
        <v>31.93</v>
      </c>
      <c r="S684">
        <v>32.5</v>
      </c>
      <c r="T684">
        <v>44.58</v>
      </c>
      <c r="U684">
        <v>40.54</v>
      </c>
      <c r="V684" s="6">
        <v>30.99</v>
      </c>
    </row>
    <row r="685" spans="1:22" x14ac:dyDescent="0.2">
      <c r="A685" s="4">
        <v>45559</v>
      </c>
      <c r="B685" s="3">
        <v>110.12</v>
      </c>
      <c r="C685">
        <v>55.98</v>
      </c>
      <c r="D685">
        <v>32.22</v>
      </c>
      <c r="E685">
        <v>30.12</v>
      </c>
      <c r="F685">
        <v>35.82</v>
      </c>
      <c r="G685">
        <v>54.33</v>
      </c>
      <c r="H685">
        <v>25.83</v>
      </c>
      <c r="I685">
        <v>36.380000000000003</v>
      </c>
      <c r="J685">
        <v>92.71</v>
      </c>
      <c r="K685">
        <v>13.08</v>
      </c>
      <c r="L685">
        <v>10.95</v>
      </c>
      <c r="M685">
        <v>11.79</v>
      </c>
      <c r="N685">
        <v>9.44</v>
      </c>
      <c r="O685">
        <v>32.020000000000003</v>
      </c>
      <c r="P685">
        <v>49.96</v>
      </c>
      <c r="Q685">
        <v>51.59</v>
      </c>
      <c r="R685">
        <v>31.85</v>
      </c>
      <c r="S685">
        <v>32.58</v>
      </c>
      <c r="T685">
        <v>46.54</v>
      </c>
      <c r="U685">
        <v>40.9</v>
      </c>
      <c r="V685" s="6">
        <v>31.35</v>
      </c>
    </row>
    <row r="686" spans="1:22" x14ac:dyDescent="0.2">
      <c r="A686" s="4">
        <v>45560</v>
      </c>
      <c r="B686" s="3">
        <v>111.26</v>
      </c>
      <c r="C686">
        <v>56.23</v>
      </c>
      <c r="D686">
        <v>32.46</v>
      </c>
      <c r="E686">
        <v>30.5</v>
      </c>
      <c r="F686">
        <v>35.85</v>
      </c>
      <c r="G686">
        <v>54.62</v>
      </c>
      <c r="H686">
        <v>25.75</v>
      </c>
      <c r="I686">
        <v>35.93</v>
      </c>
      <c r="J686">
        <v>91.6</v>
      </c>
      <c r="K686">
        <v>13.17</v>
      </c>
      <c r="L686">
        <v>10.58</v>
      </c>
      <c r="M686">
        <v>11.71</v>
      </c>
      <c r="N686">
        <v>9.52</v>
      </c>
      <c r="O686">
        <v>31.23</v>
      </c>
      <c r="P686">
        <v>50.11</v>
      </c>
      <c r="Q686">
        <v>50.76</v>
      </c>
      <c r="R686">
        <v>31.99</v>
      </c>
      <c r="S686">
        <v>32.43</v>
      </c>
      <c r="T686">
        <v>44.81</v>
      </c>
      <c r="U686">
        <v>39.76</v>
      </c>
      <c r="V686" s="6">
        <v>30.91</v>
      </c>
    </row>
    <row r="687" spans="1:22" x14ac:dyDescent="0.2">
      <c r="A687" s="4">
        <v>45561</v>
      </c>
      <c r="B687" s="3">
        <v>111.14</v>
      </c>
      <c r="C687">
        <v>59.6</v>
      </c>
      <c r="D687">
        <v>31.76</v>
      </c>
      <c r="E687">
        <v>30.89</v>
      </c>
      <c r="F687">
        <v>35.090000000000003</v>
      </c>
      <c r="G687">
        <v>54.98</v>
      </c>
      <c r="H687">
        <v>25.92</v>
      </c>
      <c r="I687">
        <v>36.450000000000003</v>
      </c>
      <c r="J687">
        <v>91.35</v>
      </c>
      <c r="K687">
        <v>13.5</v>
      </c>
      <c r="L687">
        <v>10.64</v>
      </c>
      <c r="M687">
        <v>11.86</v>
      </c>
      <c r="N687">
        <v>9.68</v>
      </c>
      <c r="O687">
        <v>31.38</v>
      </c>
      <c r="P687">
        <v>50.08</v>
      </c>
      <c r="Q687">
        <v>52.78</v>
      </c>
      <c r="R687">
        <v>32.299999999999997</v>
      </c>
      <c r="S687">
        <v>32.549999999999997</v>
      </c>
      <c r="T687">
        <v>42.64</v>
      </c>
      <c r="U687">
        <v>40</v>
      </c>
      <c r="V687" s="6">
        <v>30.76</v>
      </c>
    </row>
    <row r="688" spans="1:22" x14ac:dyDescent="0.2">
      <c r="A688" s="4">
        <v>45562</v>
      </c>
      <c r="B688" s="3">
        <v>110.52</v>
      </c>
      <c r="C688">
        <v>59.33</v>
      </c>
      <c r="D688">
        <v>31.63</v>
      </c>
      <c r="E688">
        <v>31.01</v>
      </c>
      <c r="F688">
        <v>34.950000000000003</v>
      </c>
      <c r="G688">
        <v>54.96</v>
      </c>
      <c r="H688">
        <v>25.71</v>
      </c>
      <c r="I688">
        <v>36.229999999999997</v>
      </c>
      <c r="J688">
        <v>90.08</v>
      </c>
      <c r="K688">
        <v>13.62</v>
      </c>
      <c r="L688">
        <v>10.53</v>
      </c>
      <c r="M688">
        <v>11.94</v>
      </c>
      <c r="N688">
        <v>9.65</v>
      </c>
      <c r="O688">
        <v>31.11</v>
      </c>
      <c r="P688">
        <v>48.22</v>
      </c>
      <c r="Q688">
        <v>52.92</v>
      </c>
      <c r="R688">
        <v>33.21</v>
      </c>
      <c r="S688">
        <v>32.44</v>
      </c>
      <c r="T688">
        <v>43.58</v>
      </c>
      <c r="U688">
        <v>39.590000000000003</v>
      </c>
      <c r="V688" s="6">
        <v>30.84</v>
      </c>
    </row>
    <row r="689" spans="1:22" x14ac:dyDescent="0.2">
      <c r="A689" s="4">
        <v>45565</v>
      </c>
      <c r="B689" s="3">
        <v>111.02</v>
      </c>
      <c r="C689">
        <v>58.92</v>
      </c>
      <c r="D689">
        <v>31.55</v>
      </c>
      <c r="E689">
        <v>30.46</v>
      </c>
      <c r="F689">
        <v>34.729999999999997</v>
      </c>
      <c r="G689">
        <v>53.41</v>
      </c>
      <c r="H689">
        <v>25.64</v>
      </c>
      <c r="I689">
        <v>36.1</v>
      </c>
      <c r="J689">
        <v>90.4</v>
      </c>
      <c r="K689">
        <v>13.4</v>
      </c>
      <c r="L689">
        <v>10.51</v>
      </c>
      <c r="M689">
        <v>12.08</v>
      </c>
      <c r="N689">
        <v>9.58</v>
      </c>
      <c r="O689">
        <v>31.63</v>
      </c>
      <c r="P689">
        <v>47.92</v>
      </c>
      <c r="Q689">
        <v>52.98</v>
      </c>
      <c r="R689">
        <v>32.4</v>
      </c>
      <c r="S689">
        <v>32.5</v>
      </c>
      <c r="T689">
        <v>43.33</v>
      </c>
      <c r="U689">
        <v>39.24</v>
      </c>
      <c r="V689" s="6">
        <v>30.27</v>
      </c>
    </row>
    <row r="690" spans="1:22" x14ac:dyDescent="0.2">
      <c r="A690" s="4">
        <v>45566</v>
      </c>
      <c r="B690" s="3">
        <v>111.78</v>
      </c>
      <c r="C690">
        <v>59.2</v>
      </c>
      <c r="D690">
        <v>32.39</v>
      </c>
      <c r="E690">
        <v>29.96</v>
      </c>
      <c r="F690">
        <v>35.659999999999997</v>
      </c>
      <c r="G690">
        <v>54.87</v>
      </c>
      <c r="H690">
        <v>25.55</v>
      </c>
      <c r="I690">
        <v>36.04</v>
      </c>
      <c r="J690">
        <v>90.03</v>
      </c>
      <c r="K690">
        <v>13.55</v>
      </c>
      <c r="L690">
        <v>10.51</v>
      </c>
      <c r="M690">
        <v>12.56</v>
      </c>
      <c r="N690">
        <v>9.43</v>
      </c>
      <c r="O690">
        <v>32.42</v>
      </c>
      <c r="P690">
        <v>47.08</v>
      </c>
      <c r="Q690">
        <v>53.42</v>
      </c>
      <c r="R690">
        <v>32.049999999999997</v>
      </c>
      <c r="S690">
        <v>32.54</v>
      </c>
      <c r="T690">
        <v>44.26</v>
      </c>
      <c r="U690">
        <v>39.33</v>
      </c>
      <c r="V690" s="6">
        <v>29.8</v>
      </c>
    </row>
    <row r="691" spans="1:22" x14ac:dyDescent="0.2">
      <c r="A691" s="4">
        <v>45567</v>
      </c>
      <c r="B691" s="3">
        <v>110.27</v>
      </c>
      <c r="C691">
        <v>59.53</v>
      </c>
      <c r="D691">
        <v>32.83</v>
      </c>
      <c r="E691">
        <v>30.15</v>
      </c>
      <c r="F691">
        <v>36.08</v>
      </c>
      <c r="G691">
        <v>54.35</v>
      </c>
      <c r="H691">
        <v>25.61</v>
      </c>
      <c r="I691">
        <v>36.07</v>
      </c>
      <c r="J691">
        <v>90.11</v>
      </c>
      <c r="K691">
        <v>14.04</v>
      </c>
      <c r="L691">
        <v>10.73</v>
      </c>
      <c r="M691">
        <v>12.67</v>
      </c>
      <c r="N691">
        <v>9.4600000000000009</v>
      </c>
      <c r="O691">
        <v>33.049999999999997</v>
      </c>
      <c r="P691">
        <v>46.28</v>
      </c>
      <c r="Q691">
        <v>53.62</v>
      </c>
      <c r="R691">
        <v>31.6</v>
      </c>
      <c r="S691">
        <v>32.520000000000003</v>
      </c>
      <c r="T691">
        <v>44.12</v>
      </c>
      <c r="U691">
        <v>39.99</v>
      </c>
      <c r="V691" s="6">
        <v>29.79</v>
      </c>
    </row>
    <row r="692" spans="1:22" x14ac:dyDescent="0.2">
      <c r="A692" s="4">
        <v>45568</v>
      </c>
      <c r="B692" s="3">
        <v>110.46</v>
      </c>
      <c r="C692">
        <v>58.39</v>
      </c>
      <c r="D692">
        <v>33.24</v>
      </c>
      <c r="E692">
        <v>29.4</v>
      </c>
      <c r="F692">
        <v>36.56</v>
      </c>
      <c r="G692">
        <v>53.62</v>
      </c>
      <c r="H692">
        <v>25.38</v>
      </c>
      <c r="I692">
        <v>35.21</v>
      </c>
      <c r="J692">
        <v>88.72</v>
      </c>
      <c r="K692">
        <v>13.89</v>
      </c>
      <c r="L692">
        <v>10.52</v>
      </c>
      <c r="M692">
        <v>12.38</v>
      </c>
      <c r="N692">
        <v>9.18</v>
      </c>
      <c r="O692">
        <v>32.4</v>
      </c>
      <c r="P692">
        <v>45.13</v>
      </c>
      <c r="Q692">
        <v>53.38</v>
      </c>
      <c r="R692">
        <v>31.45</v>
      </c>
      <c r="S692">
        <v>32.32</v>
      </c>
      <c r="T692">
        <v>44.61</v>
      </c>
      <c r="U692">
        <v>38.76</v>
      </c>
      <c r="V692" s="6">
        <v>29.73</v>
      </c>
    </row>
    <row r="693" spans="1:22" x14ac:dyDescent="0.2">
      <c r="A693" s="4">
        <v>45569</v>
      </c>
      <c r="B693" s="3">
        <v>110.5</v>
      </c>
      <c r="C693">
        <v>57.96</v>
      </c>
      <c r="D693">
        <v>33.15</v>
      </c>
      <c r="E693">
        <v>29.46</v>
      </c>
      <c r="F693">
        <v>36.58</v>
      </c>
      <c r="G693">
        <v>53.52</v>
      </c>
      <c r="H693">
        <v>25.34</v>
      </c>
      <c r="I693">
        <v>35.01</v>
      </c>
      <c r="J693">
        <v>88.12</v>
      </c>
      <c r="K693">
        <v>13.91</v>
      </c>
      <c r="L693">
        <v>10.55</v>
      </c>
      <c r="M693">
        <v>12.27</v>
      </c>
      <c r="N693">
        <v>9.19</v>
      </c>
      <c r="O693">
        <v>32.44</v>
      </c>
      <c r="P693">
        <v>45.89</v>
      </c>
      <c r="Q693">
        <v>54.25</v>
      </c>
      <c r="R693">
        <v>31.65</v>
      </c>
      <c r="S693">
        <v>32.5</v>
      </c>
      <c r="T693">
        <v>44.81</v>
      </c>
      <c r="U693">
        <v>40.1</v>
      </c>
      <c r="V693" s="6">
        <v>29.91</v>
      </c>
    </row>
    <row r="694" spans="1:22" x14ac:dyDescent="0.2">
      <c r="A694" s="4">
        <v>45572</v>
      </c>
      <c r="B694" s="3">
        <v>110.21</v>
      </c>
      <c r="C694">
        <v>58.47</v>
      </c>
      <c r="D694">
        <v>33.61</v>
      </c>
      <c r="E694">
        <v>29.66</v>
      </c>
      <c r="F694">
        <v>37.200000000000003</v>
      </c>
      <c r="G694">
        <v>52.44</v>
      </c>
      <c r="H694">
        <v>25.46</v>
      </c>
      <c r="I694">
        <v>35</v>
      </c>
      <c r="J694">
        <v>89.49</v>
      </c>
      <c r="K694">
        <v>14.04</v>
      </c>
      <c r="L694">
        <v>10.35</v>
      </c>
      <c r="M694">
        <v>12.17</v>
      </c>
      <c r="N694">
        <v>9.23</v>
      </c>
      <c r="O694">
        <v>32.24</v>
      </c>
      <c r="P694">
        <v>45.81</v>
      </c>
      <c r="Q694">
        <v>54.29</v>
      </c>
      <c r="R694">
        <v>31.53</v>
      </c>
      <c r="S694">
        <v>32.21</v>
      </c>
      <c r="T694">
        <v>45.53</v>
      </c>
      <c r="U694">
        <v>39.64</v>
      </c>
      <c r="V694" s="6">
        <v>29.72</v>
      </c>
    </row>
    <row r="695" spans="1:22" x14ac:dyDescent="0.2">
      <c r="A695" s="4">
        <v>45573</v>
      </c>
      <c r="B695" s="3">
        <v>108.91</v>
      </c>
      <c r="C695">
        <v>56.7</v>
      </c>
      <c r="D695">
        <v>32.94</v>
      </c>
      <c r="E695">
        <v>29.83</v>
      </c>
      <c r="F695">
        <v>36.39</v>
      </c>
      <c r="G695">
        <v>53.33</v>
      </c>
      <c r="H695">
        <v>25.45</v>
      </c>
      <c r="I695">
        <v>35.51</v>
      </c>
      <c r="J695">
        <v>90.32</v>
      </c>
      <c r="K695">
        <v>14.05</v>
      </c>
      <c r="L695">
        <v>10.5</v>
      </c>
      <c r="M695">
        <v>12.08</v>
      </c>
      <c r="N695">
        <v>9.23</v>
      </c>
      <c r="O695">
        <v>32.35</v>
      </c>
      <c r="P695">
        <v>45.88</v>
      </c>
      <c r="Q695">
        <v>54.2</v>
      </c>
      <c r="R695">
        <v>31.76</v>
      </c>
      <c r="S695">
        <v>32.799999999999997</v>
      </c>
      <c r="T695">
        <v>44.11</v>
      </c>
      <c r="U695">
        <v>41.02</v>
      </c>
      <c r="V695" s="6">
        <v>29.96</v>
      </c>
    </row>
    <row r="696" spans="1:22" x14ac:dyDescent="0.2">
      <c r="A696" s="4">
        <v>45574</v>
      </c>
      <c r="B696" s="3">
        <v>109.24</v>
      </c>
      <c r="C696">
        <v>56.55</v>
      </c>
      <c r="D696">
        <v>32.61</v>
      </c>
      <c r="E696">
        <v>29.29</v>
      </c>
      <c r="F696">
        <v>36.11</v>
      </c>
      <c r="G696">
        <v>53.03</v>
      </c>
      <c r="H696">
        <v>24.93</v>
      </c>
      <c r="I696">
        <v>35.04</v>
      </c>
      <c r="J696">
        <v>88.95</v>
      </c>
      <c r="K696">
        <v>13.78</v>
      </c>
      <c r="L696">
        <v>10.48</v>
      </c>
      <c r="M696">
        <v>12.08</v>
      </c>
      <c r="N696">
        <v>9.06</v>
      </c>
      <c r="O696">
        <v>32.590000000000003</v>
      </c>
      <c r="P696">
        <v>45.93</v>
      </c>
      <c r="Q696">
        <v>52.92</v>
      </c>
      <c r="R696">
        <v>31.57</v>
      </c>
      <c r="S696">
        <v>32.450000000000003</v>
      </c>
      <c r="T696">
        <v>43.7</v>
      </c>
      <c r="U696">
        <v>39.700000000000003</v>
      </c>
      <c r="V696" s="6">
        <v>29.42</v>
      </c>
    </row>
    <row r="697" spans="1:22" x14ac:dyDescent="0.2">
      <c r="A697" s="4">
        <v>45575</v>
      </c>
      <c r="B697" s="3">
        <v>108.99</v>
      </c>
      <c r="C697">
        <v>56.82</v>
      </c>
      <c r="D697">
        <v>32.979999999999997</v>
      </c>
      <c r="E697">
        <v>29.45</v>
      </c>
      <c r="F697">
        <v>36.71</v>
      </c>
      <c r="G697">
        <v>53.2</v>
      </c>
      <c r="H697">
        <v>24.72</v>
      </c>
      <c r="I697">
        <v>34.99</v>
      </c>
      <c r="J697">
        <v>88.67</v>
      </c>
      <c r="K697">
        <v>13.85</v>
      </c>
      <c r="L697">
        <v>10.55</v>
      </c>
      <c r="M697">
        <v>12.11</v>
      </c>
      <c r="N697">
        <v>9.11</v>
      </c>
      <c r="O697">
        <v>32.380000000000003</v>
      </c>
      <c r="P697">
        <v>46.7</v>
      </c>
      <c r="Q697">
        <v>52.68</v>
      </c>
      <c r="R697">
        <v>31.15</v>
      </c>
      <c r="S697">
        <v>32.049999999999997</v>
      </c>
      <c r="T697">
        <v>44.88</v>
      </c>
      <c r="U697">
        <v>39.35</v>
      </c>
      <c r="V697" s="6">
        <v>29.6</v>
      </c>
    </row>
    <row r="698" spans="1:22" x14ac:dyDescent="0.2">
      <c r="A698" s="4">
        <v>45576</v>
      </c>
      <c r="B698" s="3">
        <v>109.75</v>
      </c>
      <c r="C698">
        <v>57.64</v>
      </c>
      <c r="D698">
        <v>32.96</v>
      </c>
      <c r="E698">
        <v>29.23</v>
      </c>
      <c r="F698">
        <v>36.65</v>
      </c>
      <c r="G698">
        <v>53.19</v>
      </c>
      <c r="H698">
        <v>24.84</v>
      </c>
      <c r="I698">
        <v>34.979999999999997</v>
      </c>
      <c r="J698">
        <v>88.1</v>
      </c>
      <c r="K698">
        <v>13.67</v>
      </c>
      <c r="L698">
        <v>10.49</v>
      </c>
      <c r="M698">
        <v>11.9</v>
      </c>
      <c r="N698">
        <v>9.06</v>
      </c>
      <c r="O698">
        <v>31.87</v>
      </c>
      <c r="P698">
        <v>45.32</v>
      </c>
      <c r="Q698">
        <v>52.74</v>
      </c>
      <c r="R698">
        <v>31.31</v>
      </c>
      <c r="S698">
        <v>31.84</v>
      </c>
      <c r="T698">
        <v>44.26</v>
      </c>
      <c r="U698">
        <v>39.79</v>
      </c>
      <c r="V698" s="6">
        <v>29.33</v>
      </c>
    </row>
    <row r="699" spans="1:22" x14ac:dyDescent="0.2">
      <c r="A699" s="4">
        <v>45579</v>
      </c>
      <c r="B699" s="3">
        <v>109.9</v>
      </c>
      <c r="C699">
        <v>57.45</v>
      </c>
      <c r="D699">
        <v>33.03</v>
      </c>
      <c r="E699">
        <v>29.41</v>
      </c>
      <c r="F699">
        <v>36.590000000000003</v>
      </c>
      <c r="G699">
        <v>54.05</v>
      </c>
      <c r="H699">
        <v>25.02</v>
      </c>
      <c r="I699">
        <v>35.71</v>
      </c>
      <c r="J699">
        <v>90.01</v>
      </c>
      <c r="K699">
        <v>13.87</v>
      </c>
      <c r="L699">
        <v>10.67</v>
      </c>
      <c r="M699">
        <v>11.94</v>
      </c>
      <c r="N699">
        <v>9.14</v>
      </c>
      <c r="O699">
        <v>32.74</v>
      </c>
      <c r="P699">
        <v>46.18</v>
      </c>
      <c r="Q699">
        <v>53.22</v>
      </c>
      <c r="R699">
        <v>31.77</v>
      </c>
      <c r="S699">
        <v>32.69</v>
      </c>
      <c r="T699">
        <v>43.43</v>
      </c>
      <c r="U699">
        <v>40.64</v>
      </c>
      <c r="V699" s="6">
        <v>29.34</v>
      </c>
    </row>
    <row r="700" spans="1:22" x14ac:dyDescent="0.2">
      <c r="A700" s="4">
        <v>45580</v>
      </c>
      <c r="B700" s="3">
        <v>110.5</v>
      </c>
      <c r="C700">
        <v>56.75</v>
      </c>
      <c r="D700">
        <v>32.76</v>
      </c>
      <c r="E700">
        <v>29.75</v>
      </c>
      <c r="F700">
        <v>36.17</v>
      </c>
      <c r="G700">
        <v>55.51</v>
      </c>
      <c r="H700">
        <v>24.97</v>
      </c>
      <c r="I700">
        <v>35.51</v>
      </c>
      <c r="J700">
        <v>91.1</v>
      </c>
      <c r="K700">
        <v>13.99</v>
      </c>
      <c r="L700">
        <v>10.63</v>
      </c>
      <c r="M700">
        <v>11.9</v>
      </c>
      <c r="N700">
        <v>9.18</v>
      </c>
      <c r="O700">
        <v>33.57</v>
      </c>
      <c r="P700">
        <v>45.64</v>
      </c>
      <c r="Q700">
        <v>53.25</v>
      </c>
      <c r="R700">
        <v>32.229999999999997</v>
      </c>
      <c r="S700">
        <v>32.68</v>
      </c>
      <c r="T700">
        <v>43.3</v>
      </c>
      <c r="U700">
        <v>40.79</v>
      </c>
      <c r="V700" s="6">
        <v>29.49</v>
      </c>
    </row>
    <row r="701" spans="1:22" x14ac:dyDescent="0.2">
      <c r="A701" s="4">
        <v>45581</v>
      </c>
      <c r="B701" s="3">
        <v>109.62</v>
      </c>
      <c r="C701">
        <v>57.83</v>
      </c>
      <c r="D701">
        <v>32.6</v>
      </c>
      <c r="E701">
        <v>29.57</v>
      </c>
      <c r="F701">
        <v>36.07</v>
      </c>
      <c r="G701">
        <v>56.16</v>
      </c>
      <c r="H701">
        <v>25.24</v>
      </c>
      <c r="I701">
        <v>34.979999999999997</v>
      </c>
      <c r="J701">
        <v>92</v>
      </c>
      <c r="K701">
        <v>13.94</v>
      </c>
      <c r="L701">
        <v>10.77</v>
      </c>
      <c r="M701">
        <v>11.95</v>
      </c>
      <c r="N701">
        <v>9.16</v>
      </c>
      <c r="O701">
        <v>34.090000000000003</v>
      </c>
      <c r="P701">
        <v>48.72</v>
      </c>
      <c r="Q701">
        <v>53</v>
      </c>
      <c r="R701">
        <v>32.35</v>
      </c>
      <c r="S701">
        <v>32.82</v>
      </c>
      <c r="T701">
        <v>42.77</v>
      </c>
      <c r="U701">
        <v>41.3</v>
      </c>
      <c r="V701" s="6">
        <v>29.89</v>
      </c>
    </row>
    <row r="702" spans="1:22" x14ac:dyDescent="0.2">
      <c r="A702" s="4">
        <v>45582</v>
      </c>
      <c r="B702" s="3">
        <v>109.25</v>
      </c>
      <c r="C702">
        <v>56.37</v>
      </c>
      <c r="D702">
        <v>32.35</v>
      </c>
      <c r="E702">
        <v>29.63</v>
      </c>
      <c r="F702">
        <v>35.9</v>
      </c>
      <c r="G702">
        <v>55.21</v>
      </c>
      <c r="H702">
        <v>25.21</v>
      </c>
      <c r="I702">
        <v>34.979999999999997</v>
      </c>
      <c r="J702">
        <v>92.59</v>
      </c>
      <c r="K702">
        <v>14.04</v>
      </c>
      <c r="L702">
        <v>10.52</v>
      </c>
      <c r="M702">
        <v>11.88</v>
      </c>
      <c r="N702">
        <v>9.16</v>
      </c>
      <c r="O702">
        <v>34.61</v>
      </c>
      <c r="P702">
        <v>48.05</v>
      </c>
      <c r="Q702">
        <v>53.53</v>
      </c>
      <c r="R702">
        <v>32.32</v>
      </c>
      <c r="S702">
        <v>32.69</v>
      </c>
      <c r="T702">
        <v>42.7</v>
      </c>
      <c r="U702">
        <v>40.82</v>
      </c>
      <c r="V702" s="6">
        <v>29.45</v>
      </c>
    </row>
    <row r="703" spans="1:22" x14ac:dyDescent="0.2">
      <c r="A703" s="4">
        <v>45583</v>
      </c>
      <c r="B703" s="3">
        <v>109.24</v>
      </c>
      <c r="C703">
        <v>56.17</v>
      </c>
      <c r="D703">
        <v>32.26</v>
      </c>
      <c r="E703">
        <v>29.77</v>
      </c>
      <c r="F703">
        <v>35.700000000000003</v>
      </c>
      <c r="G703">
        <v>54.23</v>
      </c>
      <c r="H703">
        <v>25.18</v>
      </c>
      <c r="I703">
        <v>34.65</v>
      </c>
      <c r="J703">
        <v>91.09</v>
      </c>
      <c r="K703">
        <v>14.15</v>
      </c>
      <c r="L703">
        <v>10.45</v>
      </c>
      <c r="M703">
        <v>11.9</v>
      </c>
      <c r="N703">
        <v>9.18</v>
      </c>
      <c r="O703">
        <v>34.71</v>
      </c>
      <c r="P703">
        <v>47.93</v>
      </c>
      <c r="Q703">
        <v>54.27</v>
      </c>
      <c r="R703">
        <v>32.26</v>
      </c>
      <c r="S703">
        <v>32.479999999999997</v>
      </c>
      <c r="T703">
        <v>42.18</v>
      </c>
      <c r="U703">
        <v>40.44</v>
      </c>
      <c r="V703" s="6">
        <v>29.31</v>
      </c>
    </row>
    <row r="704" spans="1:22" x14ac:dyDescent="0.2">
      <c r="A704" s="4">
        <v>45586</v>
      </c>
      <c r="B704" s="3">
        <v>108.95</v>
      </c>
      <c r="C704">
        <v>55.97</v>
      </c>
      <c r="D704">
        <v>31.76</v>
      </c>
      <c r="E704">
        <v>29.62</v>
      </c>
      <c r="F704">
        <v>35.049999999999997</v>
      </c>
      <c r="G704">
        <v>54.05</v>
      </c>
      <c r="H704">
        <v>25.11</v>
      </c>
      <c r="I704">
        <v>35.03</v>
      </c>
      <c r="J704">
        <v>92.14</v>
      </c>
      <c r="K704">
        <v>14.11</v>
      </c>
      <c r="L704">
        <v>10.64</v>
      </c>
      <c r="M704">
        <v>11.85</v>
      </c>
      <c r="N704">
        <v>9.19</v>
      </c>
      <c r="O704">
        <v>34.840000000000003</v>
      </c>
      <c r="P704">
        <v>49.93</v>
      </c>
      <c r="Q704">
        <v>54.76</v>
      </c>
      <c r="R704">
        <v>31.89</v>
      </c>
      <c r="S704">
        <v>32.590000000000003</v>
      </c>
      <c r="T704">
        <v>41.92</v>
      </c>
      <c r="U704">
        <v>40.69</v>
      </c>
      <c r="V704" s="6">
        <v>28.97</v>
      </c>
    </row>
    <row r="705" spans="1:22" x14ac:dyDescent="0.2">
      <c r="A705" s="4">
        <v>45587</v>
      </c>
      <c r="B705" s="3">
        <v>108.18</v>
      </c>
      <c r="C705">
        <v>56.04</v>
      </c>
      <c r="D705">
        <v>31.63</v>
      </c>
      <c r="E705">
        <v>29.67</v>
      </c>
      <c r="F705">
        <v>34.880000000000003</v>
      </c>
      <c r="G705">
        <v>54.94</v>
      </c>
      <c r="H705">
        <v>24.81</v>
      </c>
      <c r="I705">
        <v>35.32</v>
      </c>
      <c r="J705">
        <v>91.07</v>
      </c>
      <c r="K705">
        <v>14.02</v>
      </c>
      <c r="L705">
        <v>10.41</v>
      </c>
      <c r="M705">
        <v>11.84</v>
      </c>
      <c r="N705">
        <v>9.1999999999999993</v>
      </c>
      <c r="O705">
        <v>35.200000000000003</v>
      </c>
      <c r="P705">
        <v>49.58</v>
      </c>
      <c r="Q705">
        <v>56.03</v>
      </c>
      <c r="R705">
        <v>31.49</v>
      </c>
      <c r="S705">
        <v>32.32</v>
      </c>
      <c r="T705">
        <v>41.61</v>
      </c>
      <c r="U705">
        <v>40.72</v>
      </c>
      <c r="V705" s="6">
        <v>29.2</v>
      </c>
    </row>
    <row r="706" spans="1:22" x14ac:dyDescent="0.2">
      <c r="A706" s="4">
        <v>45588</v>
      </c>
      <c r="B706" s="3">
        <v>108.82</v>
      </c>
      <c r="C706">
        <v>55.06</v>
      </c>
      <c r="D706">
        <v>31.24</v>
      </c>
      <c r="E706">
        <v>29.86</v>
      </c>
      <c r="F706">
        <v>34.39</v>
      </c>
      <c r="G706">
        <v>55.19</v>
      </c>
      <c r="H706">
        <v>24.84</v>
      </c>
      <c r="I706">
        <v>34.9</v>
      </c>
      <c r="J706">
        <v>90.14</v>
      </c>
      <c r="K706">
        <v>13.96</v>
      </c>
      <c r="L706">
        <v>10.42</v>
      </c>
      <c r="M706">
        <v>11.78</v>
      </c>
      <c r="N706">
        <v>9.24</v>
      </c>
      <c r="O706">
        <v>35.15</v>
      </c>
      <c r="P706">
        <v>49.1</v>
      </c>
      <c r="Q706">
        <v>56</v>
      </c>
      <c r="R706">
        <v>31.43</v>
      </c>
      <c r="S706">
        <v>31.96</v>
      </c>
      <c r="T706">
        <v>41.2</v>
      </c>
      <c r="U706">
        <v>40.549999999999997</v>
      </c>
      <c r="V706" s="6">
        <v>28.74</v>
      </c>
    </row>
    <row r="707" spans="1:22" x14ac:dyDescent="0.2">
      <c r="A707" s="4">
        <v>45589</v>
      </c>
      <c r="B707" s="3">
        <v>108.84</v>
      </c>
      <c r="C707">
        <v>55.38</v>
      </c>
      <c r="D707">
        <v>31.45</v>
      </c>
      <c r="E707">
        <v>30.13</v>
      </c>
      <c r="F707">
        <v>34.5</v>
      </c>
      <c r="G707">
        <v>55.26</v>
      </c>
      <c r="H707">
        <v>24.87</v>
      </c>
      <c r="I707">
        <v>35.14</v>
      </c>
      <c r="J707">
        <v>90.71</v>
      </c>
      <c r="K707">
        <v>13.99</v>
      </c>
      <c r="L707">
        <v>10.57</v>
      </c>
      <c r="M707">
        <v>11.85</v>
      </c>
      <c r="N707">
        <v>9.31</v>
      </c>
      <c r="O707">
        <v>34.75</v>
      </c>
      <c r="P707">
        <v>49.47</v>
      </c>
      <c r="Q707">
        <v>55.86</v>
      </c>
      <c r="R707">
        <v>31.76</v>
      </c>
      <c r="S707">
        <v>32.24</v>
      </c>
      <c r="T707">
        <v>41.96</v>
      </c>
      <c r="U707">
        <v>41.63</v>
      </c>
      <c r="V707" s="6">
        <v>29.33</v>
      </c>
    </row>
    <row r="708" spans="1:22" x14ac:dyDescent="0.2">
      <c r="A708" s="4">
        <v>45590</v>
      </c>
      <c r="B708" s="3">
        <v>109.75</v>
      </c>
      <c r="C708">
        <v>57.27</v>
      </c>
      <c r="D708">
        <v>31.67</v>
      </c>
      <c r="E708">
        <v>29.79</v>
      </c>
      <c r="F708">
        <v>34.85</v>
      </c>
      <c r="G708">
        <v>54.47</v>
      </c>
      <c r="H708">
        <v>24.88</v>
      </c>
      <c r="I708">
        <v>34.82</v>
      </c>
      <c r="J708">
        <v>91.3</v>
      </c>
      <c r="K708">
        <v>13.79</v>
      </c>
      <c r="L708">
        <v>10.51</v>
      </c>
      <c r="M708">
        <v>11.78</v>
      </c>
      <c r="N708">
        <v>9.2200000000000006</v>
      </c>
      <c r="O708">
        <v>34.619999999999997</v>
      </c>
      <c r="P708">
        <v>49.51</v>
      </c>
      <c r="Q708">
        <v>57.42</v>
      </c>
      <c r="R708">
        <v>31.72</v>
      </c>
      <c r="S708">
        <v>31.79</v>
      </c>
      <c r="T708">
        <v>41.65</v>
      </c>
      <c r="U708">
        <v>40.32</v>
      </c>
      <c r="V708" s="6">
        <v>28.5</v>
      </c>
    </row>
    <row r="709" spans="1:22" x14ac:dyDescent="0.2">
      <c r="A709" s="4">
        <v>45593</v>
      </c>
      <c r="B709" s="3">
        <v>109.45</v>
      </c>
      <c r="C709">
        <v>58.33</v>
      </c>
      <c r="D709">
        <v>31.62</v>
      </c>
      <c r="E709">
        <v>30.15</v>
      </c>
      <c r="F709">
        <v>34.78</v>
      </c>
      <c r="G709">
        <v>55.25</v>
      </c>
      <c r="H709">
        <v>24.83</v>
      </c>
      <c r="I709">
        <v>35.200000000000003</v>
      </c>
      <c r="J709">
        <v>91.73</v>
      </c>
      <c r="K709">
        <v>14.04</v>
      </c>
      <c r="L709">
        <v>10.68</v>
      </c>
      <c r="M709">
        <v>11.91</v>
      </c>
      <c r="N709">
        <v>9.32</v>
      </c>
      <c r="O709">
        <v>36.07</v>
      </c>
      <c r="P709">
        <v>48.89</v>
      </c>
      <c r="Q709">
        <v>57.9</v>
      </c>
      <c r="R709">
        <v>32.409999999999997</v>
      </c>
      <c r="S709">
        <v>31.68</v>
      </c>
      <c r="T709">
        <v>40.950000000000003</v>
      </c>
      <c r="U709">
        <v>40.56</v>
      </c>
      <c r="V709" s="6">
        <v>29.33</v>
      </c>
    </row>
    <row r="710" spans="1:22" x14ac:dyDescent="0.2">
      <c r="A710" s="4">
        <v>45594</v>
      </c>
      <c r="B710" s="3">
        <v>109.42</v>
      </c>
      <c r="C710">
        <v>58.13</v>
      </c>
      <c r="D710">
        <v>31.55</v>
      </c>
      <c r="E710">
        <v>29.83</v>
      </c>
      <c r="F710">
        <v>34.69</v>
      </c>
      <c r="G710">
        <v>55.91</v>
      </c>
      <c r="H710">
        <v>24.69</v>
      </c>
      <c r="I710">
        <v>34.909999999999997</v>
      </c>
      <c r="J710">
        <v>92.08</v>
      </c>
      <c r="K710">
        <v>13.83</v>
      </c>
      <c r="L710">
        <v>10.62</v>
      </c>
      <c r="M710">
        <v>11.99</v>
      </c>
      <c r="N710">
        <v>9.26</v>
      </c>
      <c r="O710">
        <v>36.4</v>
      </c>
      <c r="P710">
        <v>50.07</v>
      </c>
      <c r="Q710">
        <v>57.96</v>
      </c>
      <c r="R710">
        <v>32.1</v>
      </c>
      <c r="S710">
        <v>32.04</v>
      </c>
      <c r="T710">
        <v>40.5</v>
      </c>
      <c r="U710">
        <v>40.340000000000003</v>
      </c>
      <c r="V710" s="6">
        <v>29.49</v>
      </c>
    </row>
    <row r="711" spans="1:22" x14ac:dyDescent="0.2">
      <c r="A711" s="4">
        <v>45595</v>
      </c>
      <c r="B711" s="3">
        <v>108.59</v>
      </c>
      <c r="C711">
        <v>57.95</v>
      </c>
      <c r="D711">
        <v>31.41</v>
      </c>
      <c r="E711">
        <v>29.75</v>
      </c>
      <c r="F711">
        <v>34.39</v>
      </c>
      <c r="G711">
        <v>53.03</v>
      </c>
      <c r="H711">
        <v>24.88</v>
      </c>
      <c r="I711">
        <v>35.07</v>
      </c>
      <c r="J711">
        <v>92.7</v>
      </c>
      <c r="K711">
        <v>13.88</v>
      </c>
      <c r="L711">
        <v>10.57</v>
      </c>
      <c r="M711">
        <v>11.95</v>
      </c>
      <c r="N711">
        <v>9.24</v>
      </c>
      <c r="O711">
        <v>36.700000000000003</v>
      </c>
      <c r="P711">
        <v>49.03</v>
      </c>
      <c r="Q711">
        <v>58.77</v>
      </c>
      <c r="R711">
        <v>31.8</v>
      </c>
      <c r="S711">
        <v>32.31</v>
      </c>
      <c r="T711">
        <v>41.21</v>
      </c>
      <c r="U711">
        <v>40.799999999999997</v>
      </c>
      <c r="V711" s="6">
        <v>28.99</v>
      </c>
    </row>
    <row r="712" spans="1:22" x14ac:dyDescent="0.2">
      <c r="A712" s="4">
        <v>45596</v>
      </c>
      <c r="B712" s="3">
        <v>109.04</v>
      </c>
      <c r="C712">
        <v>57.57</v>
      </c>
      <c r="D712">
        <v>31.46</v>
      </c>
      <c r="E712">
        <v>29.56</v>
      </c>
      <c r="F712">
        <v>34.549999999999997</v>
      </c>
      <c r="G712">
        <v>53.14</v>
      </c>
      <c r="H712">
        <v>24.84</v>
      </c>
      <c r="I712">
        <v>34.840000000000003</v>
      </c>
      <c r="J712">
        <v>92.08</v>
      </c>
      <c r="K712">
        <v>13.27</v>
      </c>
      <c r="L712">
        <v>10.42</v>
      </c>
      <c r="M712">
        <v>11.68</v>
      </c>
      <c r="N712">
        <v>9.18</v>
      </c>
      <c r="O712">
        <v>36.01</v>
      </c>
      <c r="P712">
        <v>48.43</v>
      </c>
      <c r="Q712">
        <v>58.17</v>
      </c>
      <c r="R712">
        <v>31.67</v>
      </c>
      <c r="S712">
        <v>32.119999999999997</v>
      </c>
      <c r="T712">
        <v>40.98</v>
      </c>
      <c r="U712">
        <v>40.21</v>
      </c>
      <c r="V712" s="6">
        <v>28.74</v>
      </c>
    </row>
    <row r="713" spans="1:22" x14ac:dyDescent="0.2">
      <c r="A713" s="4">
        <v>45597</v>
      </c>
      <c r="B713" s="3">
        <v>109.45</v>
      </c>
      <c r="C713">
        <v>57.54</v>
      </c>
      <c r="D713">
        <v>31.03</v>
      </c>
      <c r="E713">
        <v>29.39</v>
      </c>
      <c r="F713">
        <v>33.869999999999997</v>
      </c>
      <c r="G713">
        <v>53.71</v>
      </c>
      <c r="H713">
        <v>24.61</v>
      </c>
      <c r="I713">
        <v>33.69</v>
      </c>
      <c r="J713">
        <v>89.39</v>
      </c>
      <c r="K713">
        <v>13.03</v>
      </c>
      <c r="L713">
        <v>10.220000000000001</v>
      </c>
      <c r="M713">
        <v>11.58</v>
      </c>
      <c r="N713">
        <v>9.1</v>
      </c>
      <c r="O713">
        <v>35.5</v>
      </c>
      <c r="P713">
        <v>48.42</v>
      </c>
      <c r="Q713">
        <v>58.38</v>
      </c>
      <c r="R713">
        <v>30.86</v>
      </c>
      <c r="S713">
        <v>31.41</v>
      </c>
      <c r="T713">
        <v>39.85</v>
      </c>
      <c r="U713">
        <v>39.01</v>
      </c>
      <c r="V713" s="6">
        <v>28.16</v>
      </c>
    </row>
    <row r="714" spans="1:22" x14ac:dyDescent="0.2">
      <c r="A714" s="4">
        <v>45600</v>
      </c>
      <c r="B714" s="3">
        <v>109</v>
      </c>
      <c r="C714">
        <v>58.14</v>
      </c>
      <c r="D714">
        <v>31.1</v>
      </c>
      <c r="E714">
        <v>29.79</v>
      </c>
      <c r="F714">
        <v>33.909999999999997</v>
      </c>
      <c r="G714">
        <v>55.18</v>
      </c>
      <c r="H714">
        <v>24.75</v>
      </c>
      <c r="I714">
        <v>34.700000000000003</v>
      </c>
      <c r="J714">
        <v>91.48</v>
      </c>
      <c r="K714">
        <v>13.04</v>
      </c>
      <c r="L714">
        <v>10.65</v>
      </c>
      <c r="M714">
        <v>11.7</v>
      </c>
      <c r="N714">
        <v>9.24</v>
      </c>
      <c r="O714">
        <v>36.090000000000003</v>
      </c>
      <c r="P714">
        <v>48.75</v>
      </c>
      <c r="Q714">
        <v>58.36</v>
      </c>
      <c r="R714">
        <v>32.229999999999997</v>
      </c>
      <c r="S714">
        <v>32.15</v>
      </c>
      <c r="T714">
        <v>40.880000000000003</v>
      </c>
      <c r="U714">
        <v>40.58</v>
      </c>
      <c r="V714" s="6">
        <v>28.88</v>
      </c>
    </row>
    <row r="715" spans="1:22" x14ac:dyDescent="0.2">
      <c r="A715" s="4">
        <v>45601</v>
      </c>
      <c r="B715" s="3">
        <v>108.84</v>
      </c>
      <c r="C715">
        <v>57.63</v>
      </c>
      <c r="D715">
        <v>31</v>
      </c>
      <c r="E715">
        <v>30.68</v>
      </c>
      <c r="F715">
        <v>33.74</v>
      </c>
      <c r="G715">
        <v>55</v>
      </c>
      <c r="H715">
        <v>24.76</v>
      </c>
      <c r="I715">
        <v>34.229999999999997</v>
      </c>
      <c r="J715">
        <v>91.33</v>
      </c>
      <c r="K715">
        <v>12.88</v>
      </c>
      <c r="L715">
        <v>10.76</v>
      </c>
      <c r="M715">
        <v>11.71</v>
      </c>
      <c r="N715">
        <v>9.57</v>
      </c>
      <c r="O715">
        <v>36.020000000000003</v>
      </c>
      <c r="P715">
        <v>49.02</v>
      </c>
      <c r="Q715">
        <v>58.88</v>
      </c>
      <c r="R715">
        <v>32.299999999999997</v>
      </c>
      <c r="S715">
        <v>32.15</v>
      </c>
      <c r="T715">
        <v>40.33</v>
      </c>
      <c r="U715">
        <v>40.51</v>
      </c>
      <c r="V715" s="6">
        <v>28.89</v>
      </c>
    </row>
    <row r="716" spans="1:22" x14ac:dyDescent="0.2">
      <c r="A716" s="4">
        <v>45602</v>
      </c>
      <c r="B716" s="3">
        <v>107.18</v>
      </c>
      <c r="C716">
        <v>56.98</v>
      </c>
      <c r="D716">
        <v>31.01</v>
      </c>
      <c r="E716">
        <v>30.54</v>
      </c>
      <c r="F716">
        <v>33.71</v>
      </c>
      <c r="G716">
        <v>55.08</v>
      </c>
      <c r="H716">
        <v>24.81</v>
      </c>
      <c r="I716">
        <v>33.76</v>
      </c>
      <c r="J716">
        <v>91.44</v>
      </c>
      <c r="K716">
        <v>12.77</v>
      </c>
      <c r="L716">
        <v>10.45</v>
      </c>
      <c r="M716">
        <v>11.55</v>
      </c>
      <c r="N716">
        <v>9.56</v>
      </c>
      <c r="O716">
        <v>36.96</v>
      </c>
      <c r="P716">
        <v>50.5</v>
      </c>
      <c r="Q716">
        <v>57.9</v>
      </c>
      <c r="R716">
        <v>32.409999999999997</v>
      </c>
      <c r="S716">
        <v>31.86</v>
      </c>
      <c r="T716">
        <v>40.89</v>
      </c>
      <c r="U716">
        <v>40.82</v>
      </c>
      <c r="V716" s="6">
        <v>28.75</v>
      </c>
    </row>
    <row r="717" spans="1:22" x14ac:dyDescent="0.2">
      <c r="A717" s="4">
        <v>45603</v>
      </c>
      <c r="B717" s="3">
        <v>107.2</v>
      </c>
      <c r="C717">
        <v>58.96</v>
      </c>
      <c r="D717">
        <v>31.11</v>
      </c>
      <c r="E717">
        <v>30.09</v>
      </c>
      <c r="F717">
        <v>33.94</v>
      </c>
      <c r="G717">
        <v>54.77</v>
      </c>
      <c r="H717">
        <v>24.71</v>
      </c>
      <c r="I717">
        <v>33.049999999999997</v>
      </c>
      <c r="J717">
        <v>90.14</v>
      </c>
      <c r="K717">
        <v>12.63</v>
      </c>
      <c r="L717">
        <v>10.51</v>
      </c>
      <c r="M717">
        <v>11.59</v>
      </c>
      <c r="N717">
        <v>9.43</v>
      </c>
      <c r="O717">
        <v>35.86</v>
      </c>
      <c r="P717">
        <v>50</v>
      </c>
      <c r="Q717">
        <v>57.31</v>
      </c>
      <c r="R717">
        <v>32.21</v>
      </c>
      <c r="S717">
        <v>31.69</v>
      </c>
      <c r="T717">
        <v>39.909999999999997</v>
      </c>
      <c r="U717">
        <v>40.24</v>
      </c>
      <c r="V717" s="6">
        <v>28.44</v>
      </c>
    </row>
    <row r="718" spans="1:22" x14ac:dyDescent="0.2">
      <c r="A718" s="4">
        <v>45604</v>
      </c>
      <c r="B718" s="3">
        <v>107.14</v>
      </c>
      <c r="C718">
        <v>56.24</v>
      </c>
      <c r="D718">
        <v>31.69</v>
      </c>
      <c r="E718">
        <v>29.62</v>
      </c>
      <c r="F718">
        <v>34.56</v>
      </c>
      <c r="G718">
        <v>54.1</v>
      </c>
      <c r="H718">
        <v>24.52</v>
      </c>
      <c r="I718">
        <v>32.700000000000003</v>
      </c>
      <c r="J718">
        <v>89.37</v>
      </c>
      <c r="K718">
        <v>12.49</v>
      </c>
      <c r="L718">
        <v>10.11</v>
      </c>
      <c r="M718">
        <v>11.39</v>
      </c>
      <c r="N718">
        <v>9.25</v>
      </c>
      <c r="O718">
        <v>34.97</v>
      </c>
      <c r="P718">
        <v>53.73</v>
      </c>
      <c r="Q718">
        <v>56.83</v>
      </c>
      <c r="R718">
        <v>31.65</v>
      </c>
      <c r="S718">
        <v>31.42</v>
      </c>
      <c r="T718">
        <v>38.97</v>
      </c>
      <c r="U718">
        <v>39.14</v>
      </c>
      <c r="V718" s="6">
        <v>28.07</v>
      </c>
    </row>
    <row r="719" spans="1:22" x14ac:dyDescent="0.2">
      <c r="A719" s="4">
        <v>45607</v>
      </c>
      <c r="B719" s="3">
        <v>106.92</v>
      </c>
      <c r="C719">
        <v>54.41</v>
      </c>
      <c r="D719">
        <v>31.76</v>
      </c>
      <c r="E719">
        <v>29.65</v>
      </c>
      <c r="F719">
        <v>34.619999999999997</v>
      </c>
      <c r="G719">
        <v>54.49</v>
      </c>
      <c r="H719">
        <v>24.54</v>
      </c>
      <c r="I719">
        <v>32.880000000000003</v>
      </c>
      <c r="J719">
        <v>92.06</v>
      </c>
      <c r="K719">
        <v>12.44</v>
      </c>
      <c r="L719">
        <v>9.9700000000000006</v>
      </c>
      <c r="M719">
        <v>11.56</v>
      </c>
      <c r="N719">
        <v>9.2200000000000006</v>
      </c>
      <c r="O719">
        <v>35.19</v>
      </c>
      <c r="P719">
        <v>55.59</v>
      </c>
      <c r="Q719">
        <v>56.61</v>
      </c>
      <c r="R719">
        <v>32.72</v>
      </c>
      <c r="S719">
        <v>31.36</v>
      </c>
      <c r="T719">
        <v>39.31</v>
      </c>
      <c r="U719">
        <v>40.74</v>
      </c>
      <c r="V719" s="6">
        <v>28.02</v>
      </c>
    </row>
    <row r="720" spans="1:22" x14ac:dyDescent="0.2">
      <c r="A720" s="4">
        <v>45608</v>
      </c>
      <c r="B720" s="3">
        <v>107.1</v>
      </c>
      <c r="C720">
        <v>53.17</v>
      </c>
      <c r="D720">
        <v>32.35</v>
      </c>
      <c r="E720">
        <v>29.3</v>
      </c>
      <c r="F720">
        <v>34.950000000000003</v>
      </c>
      <c r="G720">
        <v>54.42</v>
      </c>
      <c r="H720">
        <v>24.48</v>
      </c>
      <c r="I720">
        <v>32.36</v>
      </c>
      <c r="J720">
        <v>95.55</v>
      </c>
      <c r="K720">
        <v>12.38</v>
      </c>
      <c r="L720">
        <v>10.11</v>
      </c>
      <c r="M720">
        <v>11.62</v>
      </c>
      <c r="N720">
        <v>9.16</v>
      </c>
      <c r="O720">
        <v>35.700000000000003</v>
      </c>
      <c r="P720">
        <v>54.07</v>
      </c>
      <c r="Q720">
        <v>57.79</v>
      </c>
      <c r="R720">
        <v>33.01</v>
      </c>
      <c r="S720">
        <v>31.42</v>
      </c>
      <c r="T720">
        <v>39.200000000000003</v>
      </c>
      <c r="U720">
        <v>43.51</v>
      </c>
      <c r="V720" s="6">
        <v>28.19</v>
      </c>
    </row>
    <row r="721" spans="1:22" x14ac:dyDescent="0.2">
      <c r="A721" s="4">
        <v>45609</v>
      </c>
      <c r="B721" s="3">
        <v>107.37</v>
      </c>
      <c r="C721">
        <v>53.03</v>
      </c>
      <c r="D721">
        <v>32.31</v>
      </c>
      <c r="E721">
        <v>29.15</v>
      </c>
      <c r="F721">
        <v>35.32</v>
      </c>
      <c r="G721">
        <v>53.71</v>
      </c>
      <c r="H721">
        <v>24.48</v>
      </c>
      <c r="I721">
        <v>32.58</v>
      </c>
      <c r="J721">
        <v>94.5</v>
      </c>
      <c r="K721">
        <v>12.46</v>
      </c>
      <c r="L721">
        <v>10.039999999999999</v>
      </c>
      <c r="M721">
        <v>11.76</v>
      </c>
      <c r="N721">
        <v>9.1</v>
      </c>
      <c r="O721">
        <v>36.43</v>
      </c>
      <c r="P721">
        <v>56.63</v>
      </c>
      <c r="Q721">
        <v>58.15</v>
      </c>
      <c r="R721">
        <v>33.07</v>
      </c>
      <c r="S721">
        <v>31.4</v>
      </c>
      <c r="T721">
        <v>39.35</v>
      </c>
      <c r="U721">
        <v>43.24</v>
      </c>
      <c r="V721" s="6">
        <v>28.75</v>
      </c>
    </row>
    <row r="722" spans="1:22" x14ac:dyDescent="0.2">
      <c r="A722" s="4">
        <v>45610</v>
      </c>
      <c r="B722" s="3">
        <v>107.5</v>
      </c>
      <c r="C722">
        <v>52.73</v>
      </c>
      <c r="D722">
        <v>32.65</v>
      </c>
      <c r="E722">
        <v>29.06</v>
      </c>
      <c r="F722">
        <v>35.83</v>
      </c>
      <c r="G722">
        <v>53.37</v>
      </c>
      <c r="H722">
        <v>23.93</v>
      </c>
      <c r="I722">
        <v>32.74</v>
      </c>
      <c r="J722">
        <v>96.31</v>
      </c>
      <c r="K722">
        <v>12.51</v>
      </c>
      <c r="L722">
        <v>10.07</v>
      </c>
      <c r="M722">
        <v>11.68</v>
      </c>
      <c r="N722">
        <v>9.02</v>
      </c>
      <c r="O722">
        <v>35.200000000000003</v>
      </c>
      <c r="P722">
        <v>55.36</v>
      </c>
      <c r="Q722">
        <v>58.92</v>
      </c>
      <c r="R722">
        <v>33.26</v>
      </c>
      <c r="S722">
        <v>32.67</v>
      </c>
      <c r="T722">
        <v>39.700000000000003</v>
      </c>
      <c r="U722">
        <v>42.81</v>
      </c>
      <c r="V722" s="6">
        <v>28.88</v>
      </c>
    </row>
    <row r="723" spans="1:22" x14ac:dyDescent="0.2">
      <c r="A723" s="4">
        <v>45614</v>
      </c>
      <c r="B723" s="3">
        <v>106.88</v>
      </c>
      <c r="C723">
        <v>53.39</v>
      </c>
      <c r="D723">
        <v>33.46</v>
      </c>
      <c r="E723">
        <v>28.96</v>
      </c>
      <c r="F723">
        <v>36.75</v>
      </c>
      <c r="G723">
        <v>53.03</v>
      </c>
      <c r="H723">
        <v>24.25</v>
      </c>
      <c r="I723">
        <v>32.57</v>
      </c>
      <c r="J723">
        <v>95.96</v>
      </c>
      <c r="K723">
        <v>12.68</v>
      </c>
      <c r="L723">
        <v>9.81</v>
      </c>
      <c r="M723">
        <v>11.47</v>
      </c>
      <c r="N723">
        <v>8.92</v>
      </c>
      <c r="O723">
        <v>34.9</v>
      </c>
      <c r="P723">
        <v>55.6</v>
      </c>
      <c r="Q723">
        <v>59.09</v>
      </c>
      <c r="R723">
        <v>33.270000000000003</v>
      </c>
      <c r="S723">
        <v>32.119999999999997</v>
      </c>
      <c r="T723">
        <v>40.200000000000003</v>
      </c>
      <c r="U723">
        <v>41.49</v>
      </c>
      <c r="V723" s="6">
        <v>28.84</v>
      </c>
    </row>
    <row r="724" spans="1:22" x14ac:dyDescent="0.2">
      <c r="A724" s="4">
        <v>45615</v>
      </c>
      <c r="B724" s="3">
        <v>107.88</v>
      </c>
      <c r="C724">
        <v>53.51</v>
      </c>
      <c r="D724">
        <v>33.11</v>
      </c>
      <c r="E724">
        <v>29.22</v>
      </c>
      <c r="F724">
        <v>36.28</v>
      </c>
      <c r="G724">
        <v>53.15</v>
      </c>
      <c r="H724">
        <v>24.39</v>
      </c>
      <c r="I724">
        <v>32.69</v>
      </c>
      <c r="J724">
        <v>98.1</v>
      </c>
      <c r="K724">
        <v>12.78</v>
      </c>
      <c r="L724">
        <v>9.83</v>
      </c>
      <c r="M724">
        <v>11.48</v>
      </c>
      <c r="N724">
        <v>9</v>
      </c>
      <c r="O724">
        <v>34.85</v>
      </c>
      <c r="P724">
        <v>54.38</v>
      </c>
      <c r="Q724">
        <v>58.78</v>
      </c>
      <c r="R724">
        <v>33.24</v>
      </c>
      <c r="S724">
        <v>33.119999999999997</v>
      </c>
      <c r="T724">
        <v>39.770000000000003</v>
      </c>
      <c r="U724">
        <v>42</v>
      </c>
      <c r="V724" s="6">
        <v>28.21</v>
      </c>
    </row>
    <row r="725" spans="1:22" x14ac:dyDescent="0.2">
      <c r="A725" s="4">
        <v>45617</v>
      </c>
      <c r="B725" s="3">
        <v>108.5</v>
      </c>
      <c r="C725">
        <v>53.45</v>
      </c>
      <c r="D725">
        <v>33.21</v>
      </c>
      <c r="E725">
        <v>28.72</v>
      </c>
      <c r="F725">
        <v>36.340000000000003</v>
      </c>
      <c r="G725">
        <v>52.76</v>
      </c>
      <c r="H725">
        <v>23.83</v>
      </c>
      <c r="I725">
        <v>32.22</v>
      </c>
      <c r="J725">
        <v>96.8</v>
      </c>
      <c r="K725">
        <v>12.73</v>
      </c>
      <c r="L725">
        <v>9.6300000000000008</v>
      </c>
      <c r="M725">
        <v>11.45</v>
      </c>
      <c r="N725">
        <v>8.84</v>
      </c>
      <c r="O725">
        <v>34.659999999999997</v>
      </c>
      <c r="P725">
        <v>56.19</v>
      </c>
      <c r="Q725">
        <v>59.16</v>
      </c>
      <c r="R725">
        <v>32.32</v>
      </c>
      <c r="S725">
        <v>32.5</v>
      </c>
      <c r="T725">
        <v>39.130000000000003</v>
      </c>
      <c r="U725">
        <v>41.67</v>
      </c>
      <c r="V725" s="6">
        <v>27.63</v>
      </c>
    </row>
    <row r="726" spans="1:22" x14ac:dyDescent="0.2">
      <c r="A726" s="4">
        <v>45618</v>
      </c>
      <c r="B726" s="3">
        <v>109.12</v>
      </c>
      <c r="C726">
        <v>53.97</v>
      </c>
      <c r="D726">
        <v>34.53</v>
      </c>
      <c r="E726">
        <v>28.8</v>
      </c>
      <c r="F726">
        <v>38.24</v>
      </c>
      <c r="G726">
        <v>53.04</v>
      </c>
      <c r="H726">
        <v>24.15</v>
      </c>
      <c r="I726">
        <v>32.35</v>
      </c>
      <c r="J726">
        <v>98.03</v>
      </c>
      <c r="K726">
        <v>12.76</v>
      </c>
      <c r="L726">
        <v>9.83</v>
      </c>
      <c r="M726">
        <v>11.71</v>
      </c>
      <c r="N726">
        <v>8.89</v>
      </c>
      <c r="O726">
        <v>35.65</v>
      </c>
      <c r="P726">
        <v>56.84</v>
      </c>
      <c r="Q726">
        <v>59.07</v>
      </c>
      <c r="R726">
        <v>32.43</v>
      </c>
      <c r="S726">
        <v>32.74</v>
      </c>
      <c r="T726">
        <v>40.4</v>
      </c>
      <c r="U726">
        <v>42.3</v>
      </c>
      <c r="V726" s="6">
        <v>28.49</v>
      </c>
    </row>
    <row r="727" spans="1:22" x14ac:dyDescent="0.2">
      <c r="A727" s="4">
        <v>45621</v>
      </c>
      <c r="B727" s="3">
        <v>107.05</v>
      </c>
      <c r="C727">
        <v>53.96</v>
      </c>
      <c r="D727">
        <v>34.32</v>
      </c>
      <c r="E727">
        <v>28.79</v>
      </c>
      <c r="F727">
        <v>37.869999999999997</v>
      </c>
      <c r="G727">
        <v>51.21</v>
      </c>
      <c r="H727">
        <v>24.29</v>
      </c>
      <c r="I727">
        <v>32.840000000000003</v>
      </c>
      <c r="J727">
        <v>97.67</v>
      </c>
      <c r="K727">
        <v>12.57</v>
      </c>
      <c r="L727">
        <v>9.9499999999999993</v>
      </c>
      <c r="M727">
        <v>11.58</v>
      </c>
      <c r="N727">
        <v>8.83</v>
      </c>
      <c r="O727">
        <v>34.9</v>
      </c>
      <c r="P727">
        <v>57.05</v>
      </c>
      <c r="Q727">
        <v>58.29</v>
      </c>
      <c r="R727">
        <v>32.24</v>
      </c>
      <c r="S727">
        <v>32.9</v>
      </c>
      <c r="T727">
        <v>39.85</v>
      </c>
      <c r="U727">
        <v>41.66</v>
      </c>
      <c r="V727" s="6">
        <v>28.89</v>
      </c>
    </row>
    <row r="728" spans="1:22" x14ac:dyDescent="0.2">
      <c r="A728" s="4">
        <v>45622</v>
      </c>
      <c r="B728" s="3">
        <v>104.54</v>
      </c>
      <c r="C728">
        <v>53.28</v>
      </c>
      <c r="D728">
        <v>34.28</v>
      </c>
      <c r="E728">
        <v>29.34</v>
      </c>
      <c r="F728">
        <v>37.68</v>
      </c>
      <c r="G728">
        <v>51.83</v>
      </c>
      <c r="H728">
        <v>24.61</v>
      </c>
      <c r="I728">
        <v>33.44</v>
      </c>
      <c r="J728">
        <v>98.9</v>
      </c>
      <c r="K728">
        <v>12.66</v>
      </c>
      <c r="L728">
        <v>9.99</v>
      </c>
      <c r="M728">
        <v>11.65</v>
      </c>
      <c r="N728">
        <v>9.0399999999999991</v>
      </c>
      <c r="O728">
        <v>35.06</v>
      </c>
      <c r="P728">
        <v>58.43</v>
      </c>
      <c r="Q728">
        <v>57.71</v>
      </c>
      <c r="R728">
        <v>32.94</v>
      </c>
      <c r="S728">
        <v>33.22</v>
      </c>
      <c r="T728">
        <v>39.85</v>
      </c>
      <c r="U728">
        <v>42.19</v>
      </c>
      <c r="V728" s="6">
        <v>28.81</v>
      </c>
    </row>
    <row r="729" spans="1:22" x14ac:dyDescent="0.2">
      <c r="A729" s="4">
        <v>45623</v>
      </c>
      <c r="B729" s="3">
        <v>104.77</v>
      </c>
      <c r="C729">
        <v>53.93</v>
      </c>
      <c r="D729">
        <v>34.159999999999997</v>
      </c>
      <c r="E729">
        <v>28.62</v>
      </c>
      <c r="F729">
        <v>37.549999999999997</v>
      </c>
      <c r="G729">
        <v>50.97</v>
      </c>
      <c r="H729">
        <v>24.18</v>
      </c>
      <c r="I729">
        <v>32.479999999999997</v>
      </c>
      <c r="J729">
        <v>97.06</v>
      </c>
      <c r="K729">
        <v>12.31</v>
      </c>
      <c r="L729">
        <v>9.57</v>
      </c>
      <c r="M729">
        <v>11.59</v>
      </c>
      <c r="N729">
        <v>8.73</v>
      </c>
      <c r="O729">
        <v>35.200000000000003</v>
      </c>
      <c r="P729">
        <v>56.63</v>
      </c>
      <c r="Q729">
        <v>58.14</v>
      </c>
      <c r="R729">
        <v>31.21</v>
      </c>
      <c r="S729">
        <v>32.29</v>
      </c>
      <c r="T729">
        <v>39.57</v>
      </c>
      <c r="U729">
        <v>39.770000000000003</v>
      </c>
      <c r="V729" s="6">
        <v>27.46</v>
      </c>
    </row>
    <row r="730" spans="1:22" x14ac:dyDescent="0.2">
      <c r="A730" s="4">
        <v>45624</v>
      </c>
      <c r="B730" s="3">
        <v>105.31</v>
      </c>
      <c r="C730">
        <v>53.37</v>
      </c>
      <c r="D730">
        <v>33.81</v>
      </c>
      <c r="E730">
        <v>27.59</v>
      </c>
      <c r="F730">
        <v>36.93</v>
      </c>
      <c r="G730">
        <v>51.96</v>
      </c>
      <c r="H730">
        <v>23.47</v>
      </c>
      <c r="I730">
        <v>31.24</v>
      </c>
      <c r="J730">
        <v>93.95</v>
      </c>
      <c r="K730">
        <v>11.8</v>
      </c>
      <c r="L730">
        <v>8.98</v>
      </c>
      <c r="M730">
        <v>11.46</v>
      </c>
      <c r="N730">
        <v>8.4700000000000006</v>
      </c>
      <c r="O730">
        <v>36.380000000000003</v>
      </c>
      <c r="P730">
        <v>56.6</v>
      </c>
      <c r="Q730">
        <v>59.88</v>
      </c>
      <c r="R730">
        <v>30.09</v>
      </c>
      <c r="S730">
        <v>31.02</v>
      </c>
      <c r="T730">
        <v>39.47</v>
      </c>
      <c r="U730">
        <v>37.32</v>
      </c>
      <c r="V730" s="6">
        <v>26.82</v>
      </c>
    </row>
    <row r="731" spans="1:22" x14ac:dyDescent="0.2">
      <c r="A731" s="4">
        <v>45625</v>
      </c>
      <c r="B731" s="3">
        <v>105.78</v>
      </c>
      <c r="C731">
        <v>54.53</v>
      </c>
      <c r="D731">
        <v>34.08</v>
      </c>
      <c r="E731">
        <v>27.52</v>
      </c>
      <c r="F731">
        <v>37.69</v>
      </c>
      <c r="G731">
        <v>52.97</v>
      </c>
      <c r="H731">
        <v>23.75</v>
      </c>
      <c r="I731">
        <v>31.53</v>
      </c>
      <c r="J731">
        <v>92.98</v>
      </c>
      <c r="K731">
        <v>11.68</v>
      </c>
      <c r="L731">
        <v>9.08</v>
      </c>
      <c r="M731">
        <v>11.76</v>
      </c>
      <c r="N731">
        <v>8.44</v>
      </c>
      <c r="O731">
        <v>37.32</v>
      </c>
      <c r="P731">
        <v>58.07</v>
      </c>
      <c r="Q731">
        <v>60.72</v>
      </c>
      <c r="R731">
        <v>29.49</v>
      </c>
      <c r="S731">
        <v>30.61</v>
      </c>
      <c r="T731">
        <v>40.14</v>
      </c>
      <c r="U731">
        <v>35.97</v>
      </c>
      <c r="V731" s="6">
        <v>26.48</v>
      </c>
    </row>
    <row r="732" spans="1:22" x14ac:dyDescent="0.2">
      <c r="A732" s="4">
        <v>45628</v>
      </c>
      <c r="B732" s="3">
        <v>105.8</v>
      </c>
      <c r="C732">
        <v>54.66</v>
      </c>
      <c r="D732">
        <v>34.299999999999997</v>
      </c>
      <c r="E732">
        <v>27.13</v>
      </c>
      <c r="F732">
        <v>37.79</v>
      </c>
      <c r="G732">
        <v>52.88</v>
      </c>
      <c r="H732">
        <v>23.55</v>
      </c>
      <c r="I732">
        <v>31.67</v>
      </c>
      <c r="J732">
        <v>91.58</v>
      </c>
      <c r="K732">
        <v>11.43</v>
      </c>
      <c r="L732">
        <v>9.19</v>
      </c>
      <c r="M732">
        <v>12.24</v>
      </c>
      <c r="N732">
        <v>8.33</v>
      </c>
      <c r="O732">
        <v>37.630000000000003</v>
      </c>
      <c r="P732">
        <v>57.55</v>
      </c>
      <c r="Q732">
        <v>60.43</v>
      </c>
      <c r="R732">
        <v>29.23</v>
      </c>
      <c r="S732">
        <v>30.12</v>
      </c>
      <c r="T732">
        <v>40</v>
      </c>
      <c r="U732">
        <v>35.049999999999997</v>
      </c>
      <c r="V732" s="6">
        <v>26.43</v>
      </c>
    </row>
    <row r="733" spans="1:22" x14ac:dyDescent="0.2">
      <c r="A733" s="4">
        <v>45629</v>
      </c>
      <c r="B733" s="3">
        <v>107.16</v>
      </c>
      <c r="C733">
        <v>54.24</v>
      </c>
      <c r="D733">
        <v>34.6</v>
      </c>
      <c r="E733">
        <v>27.44</v>
      </c>
      <c r="F733">
        <v>37.840000000000003</v>
      </c>
      <c r="G733">
        <v>53.62</v>
      </c>
      <c r="H733">
        <v>23.84</v>
      </c>
      <c r="I733">
        <v>32.06</v>
      </c>
      <c r="J733">
        <v>93.14</v>
      </c>
      <c r="K733">
        <v>11.39</v>
      </c>
      <c r="L733">
        <v>9.2799999999999994</v>
      </c>
      <c r="M733">
        <v>12.8</v>
      </c>
      <c r="N733">
        <v>8.3800000000000008</v>
      </c>
      <c r="O733">
        <v>38.42</v>
      </c>
      <c r="P733">
        <v>56.02</v>
      </c>
      <c r="Q733">
        <v>61.7</v>
      </c>
      <c r="R733">
        <v>29.28</v>
      </c>
      <c r="S733">
        <v>29.87</v>
      </c>
      <c r="T733">
        <v>40.81</v>
      </c>
      <c r="U733">
        <v>35.53</v>
      </c>
      <c r="V733" s="6">
        <v>25.84</v>
      </c>
    </row>
    <row r="734" spans="1:22" x14ac:dyDescent="0.2">
      <c r="A734" s="4">
        <v>45630</v>
      </c>
      <c r="B734" s="3">
        <v>105.88</v>
      </c>
      <c r="C734">
        <v>53.18</v>
      </c>
      <c r="D734">
        <v>34.380000000000003</v>
      </c>
      <c r="E734">
        <v>27.6</v>
      </c>
      <c r="F734">
        <v>37.47</v>
      </c>
      <c r="G734">
        <v>54.01</v>
      </c>
      <c r="H734">
        <v>24.13</v>
      </c>
      <c r="I734">
        <v>32.159999999999997</v>
      </c>
      <c r="J734">
        <v>91.51</v>
      </c>
      <c r="K734">
        <v>11.52</v>
      </c>
      <c r="L734">
        <v>9.39</v>
      </c>
      <c r="M734">
        <v>12.87</v>
      </c>
      <c r="N734">
        <v>8.43</v>
      </c>
      <c r="O734">
        <v>39.07</v>
      </c>
      <c r="P734">
        <v>56.11</v>
      </c>
      <c r="Q734">
        <v>63.3</v>
      </c>
      <c r="R734">
        <v>29.92</v>
      </c>
      <c r="S734">
        <v>29.82</v>
      </c>
      <c r="T734">
        <v>39.71</v>
      </c>
      <c r="U734">
        <v>34.700000000000003</v>
      </c>
      <c r="V734" s="6">
        <v>26.31</v>
      </c>
    </row>
    <row r="735" spans="1:22" x14ac:dyDescent="0.2">
      <c r="A735" s="4">
        <v>45631</v>
      </c>
      <c r="B735" s="3">
        <v>106.77</v>
      </c>
      <c r="C735">
        <v>53.62</v>
      </c>
      <c r="D735">
        <v>34.729999999999997</v>
      </c>
      <c r="E735">
        <v>28.2</v>
      </c>
      <c r="F735">
        <v>38.03</v>
      </c>
      <c r="G735">
        <v>53.94</v>
      </c>
      <c r="H735">
        <v>24.43</v>
      </c>
      <c r="I735">
        <v>33.450000000000003</v>
      </c>
      <c r="J735">
        <v>93.55</v>
      </c>
      <c r="K735">
        <v>11.67</v>
      </c>
      <c r="L735">
        <v>9.59</v>
      </c>
      <c r="M735">
        <v>13.32</v>
      </c>
      <c r="N735">
        <v>8.6300000000000008</v>
      </c>
      <c r="O735">
        <v>39</v>
      </c>
      <c r="P735">
        <v>56.3</v>
      </c>
      <c r="Q735">
        <v>63.35</v>
      </c>
      <c r="R735">
        <v>30.19</v>
      </c>
      <c r="S735">
        <v>30.38</v>
      </c>
      <c r="T735">
        <v>40.659999999999997</v>
      </c>
      <c r="U735">
        <v>35.409999999999997</v>
      </c>
      <c r="V735" s="6">
        <v>26.65</v>
      </c>
    </row>
    <row r="736" spans="1:22" x14ac:dyDescent="0.2">
      <c r="A736" s="4">
        <v>45632</v>
      </c>
      <c r="B736" s="3">
        <v>107.56</v>
      </c>
      <c r="C736">
        <v>52.7</v>
      </c>
      <c r="D736">
        <v>34.19</v>
      </c>
      <c r="E736">
        <v>27.62</v>
      </c>
      <c r="F736">
        <v>37.24</v>
      </c>
      <c r="G736">
        <v>54.6</v>
      </c>
      <c r="H736">
        <v>23.71</v>
      </c>
      <c r="I736">
        <v>33.46</v>
      </c>
      <c r="J736">
        <v>91.06</v>
      </c>
      <c r="K736">
        <v>11.4</v>
      </c>
      <c r="L736">
        <v>9.74</v>
      </c>
      <c r="M736">
        <v>13.14</v>
      </c>
      <c r="N736">
        <v>8.44</v>
      </c>
      <c r="O736">
        <v>39.020000000000003</v>
      </c>
      <c r="P736">
        <v>57.26</v>
      </c>
      <c r="Q736">
        <v>63.67</v>
      </c>
      <c r="R736">
        <v>29.81</v>
      </c>
      <c r="S736">
        <v>29.75</v>
      </c>
      <c r="T736">
        <v>39.700000000000003</v>
      </c>
      <c r="U736">
        <v>33.32</v>
      </c>
      <c r="V736" s="6">
        <v>26.82</v>
      </c>
    </row>
    <row r="737" spans="1:22" x14ac:dyDescent="0.2">
      <c r="A737" s="4">
        <v>45635</v>
      </c>
      <c r="B737" s="3">
        <v>109.01</v>
      </c>
      <c r="C737">
        <v>55.5</v>
      </c>
      <c r="D737">
        <v>35.08</v>
      </c>
      <c r="E737">
        <v>27.76</v>
      </c>
      <c r="F737">
        <v>38.229999999999997</v>
      </c>
      <c r="G737">
        <v>54.75</v>
      </c>
      <c r="H737">
        <v>23.65</v>
      </c>
      <c r="I737">
        <v>32.979999999999997</v>
      </c>
      <c r="J737">
        <v>91.07</v>
      </c>
      <c r="K737">
        <v>11.33</v>
      </c>
      <c r="L737">
        <v>9.81</v>
      </c>
      <c r="M737">
        <v>13.13</v>
      </c>
      <c r="N737">
        <v>8.4700000000000006</v>
      </c>
      <c r="O737">
        <v>39.93</v>
      </c>
      <c r="P737">
        <v>56.38</v>
      </c>
      <c r="Q737">
        <v>64.86</v>
      </c>
      <c r="R737">
        <v>29.58</v>
      </c>
      <c r="S737">
        <v>29.58</v>
      </c>
      <c r="T737">
        <v>39.9</v>
      </c>
      <c r="U737">
        <v>32.01</v>
      </c>
      <c r="V737" s="6">
        <v>26.55</v>
      </c>
    </row>
    <row r="738" spans="1:22" x14ac:dyDescent="0.2">
      <c r="A738" s="4">
        <v>45636</v>
      </c>
      <c r="B738" s="3">
        <v>106.13</v>
      </c>
      <c r="C738">
        <v>55.45</v>
      </c>
      <c r="D738">
        <v>35.21</v>
      </c>
      <c r="E738">
        <v>28.09</v>
      </c>
      <c r="F738">
        <v>38.549999999999997</v>
      </c>
      <c r="G738">
        <v>55.86</v>
      </c>
      <c r="H738">
        <v>23.8</v>
      </c>
      <c r="I738">
        <v>33.43</v>
      </c>
      <c r="J738">
        <v>91.85</v>
      </c>
      <c r="K738">
        <v>11.55</v>
      </c>
      <c r="L738">
        <v>9.9700000000000006</v>
      </c>
      <c r="M738">
        <v>13.18</v>
      </c>
      <c r="N738">
        <v>8.61</v>
      </c>
      <c r="O738">
        <v>38.369999999999997</v>
      </c>
      <c r="P738">
        <v>55.79</v>
      </c>
      <c r="Q738">
        <v>62.88</v>
      </c>
      <c r="R738">
        <v>30.03</v>
      </c>
      <c r="S738">
        <v>30.06</v>
      </c>
      <c r="T738">
        <v>40.049999999999997</v>
      </c>
      <c r="U738">
        <v>32.950000000000003</v>
      </c>
      <c r="V738" s="6">
        <v>27.06</v>
      </c>
    </row>
    <row r="739" spans="1:22" x14ac:dyDescent="0.2">
      <c r="A739" s="4">
        <v>45637</v>
      </c>
      <c r="B739" s="3">
        <v>104.99</v>
      </c>
      <c r="C739">
        <v>54.58</v>
      </c>
      <c r="D739">
        <v>35.56</v>
      </c>
      <c r="E739">
        <v>28.36</v>
      </c>
      <c r="F739">
        <v>38.83</v>
      </c>
      <c r="G739">
        <v>57.5</v>
      </c>
      <c r="H739">
        <v>24.31</v>
      </c>
      <c r="I739">
        <v>33.729999999999997</v>
      </c>
      <c r="J739">
        <v>92.53</v>
      </c>
      <c r="K739">
        <v>11.76</v>
      </c>
      <c r="L739">
        <v>10.19</v>
      </c>
      <c r="M739">
        <v>12.75</v>
      </c>
      <c r="N739">
        <v>8.7100000000000009</v>
      </c>
      <c r="O739">
        <v>38.729999999999997</v>
      </c>
      <c r="P739">
        <v>56.88</v>
      </c>
      <c r="Q739">
        <v>62.38</v>
      </c>
      <c r="R739">
        <v>30.61</v>
      </c>
      <c r="S739">
        <v>30.88</v>
      </c>
      <c r="T739">
        <v>41.99</v>
      </c>
      <c r="U739">
        <v>33.909999999999997</v>
      </c>
      <c r="V739" s="6">
        <v>27.43</v>
      </c>
    </row>
    <row r="740" spans="1:22" x14ac:dyDescent="0.2">
      <c r="A740" s="4">
        <v>45638</v>
      </c>
      <c r="B740" s="3">
        <v>104.17</v>
      </c>
      <c r="C740">
        <v>53.01</v>
      </c>
      <c r="D740">
        <v>34.92</v>
      </c>
      <c r="E740">
        <v>27.66</v>
      </c>
      <c r="F740">
        <v>37.840000000000003</v>
      </c>
      <c r="G740">
        <v>56.76</v>
      </c>
      <c r="H740">
        <v>23.96</v>
      </c>
      <c r="I740">
        <v>32.75</v>
      </c>
      <c r="J740">
        <v>89.72</v>
      </c>
      <c r="K740">
        <v>11.35</v>
      </c>
      <c r="L740">
        <v>10.08</v>
      </c>
      <c r="M740">
        <v>12.1</v>
      </c>
      <c r="N740">
        <v>8.42</v>
      </c>
      <c r="O740">
        <v>38.01</v>
      </c>
      <c r="P740">
        <v>55.18</v>
      </c>
      <c r="Q740">
        <v>61.31</v>
      </c>
      <c r="R740">
        <v>29.95</v>
      </c>
      <c r="S740">
        <v>29.67</v>
      </c>
      <c r="T740">
        <v>41.05</v>
      </c>
      <c r="U740">
        <v>32.299999999999997</v>
      </c>
      <c r="V740" s="6">
        <v>26.93</v>
      </c>
    </row>
    <row r="741" spans="1:22" x14ac:dyDescent="0.2">
      <c r="A741" s="4">
        <v>45639</v>
      </c>
      <c r="B741" s="3">
        <v>105.19</v>
      </c>
      <c r="C741">
        <v>52.21</v>
      </c>
      <c r="D741">
        <v>34.700000000000003</v>
      </c>
      <c r="E741">
        <v>27.3</v>
      </c>
      <c r="F741">
        <v>37.65</v>
      </c>
      <c r="G741">
        <v>56.62</v>
      </c>
      <c r="H741">
        <v>23.64</v>
      </c>
      <c r="I741">
        <v>32.57</v>
      </c>
      <c r="J741">
        <v>89.41</v>
      </c>
      <c r="K741">
        <v>11.2</v>
      </c>
      <c r="L741">
        <v>10.029999999999999</v>
      </c>
      <c r="M741">
        <v>12.08</v>
      </c>
      <c r="N741">
        <v>8.4</v>
      </c>
      <c r="O741">
        <v>38.44</v>
      </c>
      <c r="P741">
        <v>55.38</v>
      </c>
      <c r="Q741">
        <v>60.74</v>
      </c>
      <c r="R741">
        <v>29.39</v>
      </c>
      <c r="S741">
        <v>29.43</v>
      </c>
      <c r="T741">
        <v>41.5</v>
      </c>
      <c r="U741">
        <v>30.85</v>
      </c>
      <c r="V741" s="6">
        <v>26.25</v>
      </c>
    </row>
    <row r="742" spans="1:22" x14ac:dyDescent="0.2">
      <c r="A742" s="4">
        <v>45642</v>
      </c>
      <c r="B742" s="3">
        <v>101.92</v>
      </c>
      <c r="C742">
        <v>52.18</v>
      </c>
      <c r="D742">
        <v>34.56</v>
      </c>
      <c r="E742">
        <v>27</v>
      </c>
      <c r="F742">
        <v>37.29</v>
      </c>
      <c r="G742">
        <v>56.08</v>
      </c>
      <c r="H742">
        <v>23.3</v>
      </c>
      <c r="I742">
        <v>32.130000000000003</v>
      </c>
      <c r="J742">
        <v>89</v>
      </c>
      <c r="K742">
        <v>11.02</v>
      </c>
      <c r="L742">
        <v>9.93</v>
      </c>
      <c r="M742">
        <v>11.86</v>
      </c>
      <c r="N742">
        <v>8.27</v>
      </c>
      <c r="O742">
        <v>39.49</v>
      </c>
      <c r="P742">
        <v>55.59</v>
      </c>
      <c r="Q742">
        <v>62.16</v>
      </c>
      <c r="R742">
        <v>28.13</v>
      </c>
      <c r="S742">
        <v>29.1</v>
      </c>
      <c r="T742">
        <v>41.15</v>
      </c>
      <c r="U742">
        <v>29.39</v>
      </c>
      <c r="V742" s="6">
        <v>26.35</v>
      </c>
    </row>
    <row r="743" spans="1:22" x14ac:dyDescent="0.2">
      <c r="A743" s="4">
        <v>45643</v>
      </c>
      <c r="B743" s="3">
        <v>101.84</v>
      </c>
      <c r="C743">
        <v>52.45</v>
      </c>
      <c r="D743">
        <v>34.89</v>
      </c>
      <c r="E743">
        <v>27.15</v>
      </c>
      <c r="F743">
        <v>37.869999999999997</v>
      </c>
      <c r="G743">
        <v>56.86</v>
      </c>
      <c r="H743">
        <v>23.55</v>
      </c>
      <c r="I743">
        <v>32.26</v>
      </c>
      <c r="J743">
        <v>90.59</v>
      </c>
      <c r="K743">
        <v>11.1</v>
      </c>
      <c r="L743">
        <v>9.93</v>
      </c>
      <c r="M743">
        <v>12.1</v>
      </c>
      <c r="N743">
        <v>8.2799999999999994</v>
      </c>
      <c r="O743">
        <v>40.47</v>
      </c>
      <c r="P743">
        <v>56.69</v>
      </c>
      <c r="Q743">
        <v>62.16</v>
      </c>
      <c r="R743">
        <v>28.46</v>
      </c>
      <c r="S743">
        <v>29.96</v>
      </c>
      <c r="T743">
        <v>41.32</v>
      </c>
      <c r="U743">
        <v>29.84</v>
      </c>
      <c r="V743" s="6">
        <v>26.11</v>
      </c>
    </row>
    <row r="744" spans="1:22" x14ac:dyDescent="0.2">
      <c r="A744" s="4">
        <v>45644</v>
      </c>
      <c r="B744" s="3">
        <v>102.44</v>
      </c>
      <c r="C744">
        <v>51.23</v>
      </c>
      <c r="D744">
        <v>33.979999999999997</v>
      </c>
      <c r="E744">
        <v>26.37</v>
      </c>
      <c r="F744">
        <v>37.020000000000003</v>
      </c>
      <c r="G744">
        <v>56.02</v>
      </c>
      <c r="H744">
        <v>22.89</v>
      </c>
      <c r="I744">
        <v>31.63</v>
      </c>
      <c r="J744">
        <v>87.9</v>
      </c>
      <c r="K744">
        <v>10.64</v>
      </c>
      <c r="L744">
        <v>9.67</v>
      </c>
      <c r="M744">
        <v>11.79</v>
      </c>
      <c r="N744">
        <v>7.97</v>
      </c>
      <c r="O744">
        <v>38.93</v>
      </c>
      <c r="P744">
        <v>55.12</v>
      </c>
      <c r="Q744">
        <v>61.61</v>
      </c>
      <c r="R744">
        <v>26.9</v>
      </c>
      <c r="S744">
        <v>28.5</v>
      </c>
      <c r="T744">
        <v>39.92</v>
      </c>
      <c r="U744">
        <v>28.96</v>
      </c>
      <c r="V744" s="6">
        <v>25.62</v>
      </c>
    </row>
    <row r="745" spans="1:22" x14ac:dyDescent="0.2">
      <c r="A745" s="4">
        <v>45645</v>
      </c>
      <c r="B745" s="3">
        <v>101.58</v>
      </c>
      <c r="C745">
        <v>50.26</v>
      </c>
      <c r="D745">
        <v>33.85</v>
      </c>
      <c r="E745">
        <v>26.52</v>
      </c>
      <c r="F745">
        <v>36.68</v>
      </c>
      <c r="G745">
        <v>55.44</v>
      </c>
      <c r="H745">
        <v>23.04</v>
      </c>
      <c r="I745">
        <v>31.96</v>
      </c>
      <c r="J745">
        <v>87.19</v>
      </c>
      <c r="K745">
        <v>10.65</v>
      </c>
      <c r="L745">
        <v>9.7899999999999991</v>
      </c>
      <c r="M745">
        <v>11.81</v>
      </c>
      <c r="N745">
        <v>8.0399999999999991</v>
      </c>
      <c r="O745">
        <v>38.35</v>
      </c>
      <c r="P745">
        <v>55.91</v>
      </c>
      <c r="Q745">
        <v>60.7</v>
      </c>
      <c r="R745">
        <v>27.78</v>
      </c>
      <c r="S745">
        <v>28.87</v>
      </c>
      <c r="T745">
        <v>39.68</v>
      </c>
      <c r="U745">
        <v>31.5</v>
      </c>
      <c r="V745" s="6">
        <v>26</v>
      </c>
    </row>
    <row r="746" spans="1:22" x14ac:dyDescent="0.2">
      <c r="A746" s="4">
        <v>45646</v>
      </c>
      <c r="B746" s="3">
        <v>101.65</v>
      </c>
      <c r="C746">
        <v>51.05</v>
      </c>
      <c r="D746">
        <v>33.56</v>
      </c>
      <c r="E746">
        <v>26.82</v>
      </c>
      <c r="F746">
        <v>36.42</v>
      </c>
      <c r="G746">
        <v>54.54</v>
      </c>
      <c r="H746">
        <v>23.22</v>
      </c>
      <c r="I746">
        <v>32.32</v>
      </c>
      <c r="J746">
        <v>86.62</v>
      </c>
      <c r="K746">
        <v>10.89</v>
      </c>
      <c r="L746">
        <v>10.07</v>
      </c>
      <c r="M746">
        <v>11.89</v>
      </c>
      <c r="N746">
        <v>8.17</v>
      </c>
      <c r="O746">
        <v>37.51</v>
      </c>
      <c r="P746">
        <v>54.9</v>
      </c>
      <c r="Q746">
        <v>59.62</v>
      </c>
      <c r="R746">
        <v>28.23</v>
      </c>
      <c r="S746">
        <v>29.12</v>
      </c>
      <c r="T746">
        <v>40.270000000000003</v>
      </c>
      <c r="U746">
        <v>32.590000000000003</v>
      </c>
      <c r="V746" s="6">
        <v>26.51</v>
      </c>
    </row>
    <row r="747" spans="1:22" x14ac:dyDescent="0.2">
      <c r="A747" s="4">
        <v>45649</v>
      </c>
      <c r="B747" s="3">
        <v>101.14</v>
      </c>
      <c r="C747">
        <v>51.27</v>
      </c>
      <c r="D747">
        <v>33.57</v>
      </c>
      <c r="E747">
        <v>26.3</v>
      </c>
      <c r="F747">
        <v>36.69</v>
      </c>
      <c r="G747">
        <v>53.33</v>
      </c>
      <c r="H747">
        <v>23.07</v>
      </c>
      <c r="I747">
        <v>31.88</v>
      </c>
      <c r="J747">
        <v>88.4</v>
      </c>
      <c r="K747">
        <v>10.69</v>
      </c>
      <c r="L747">
        <v>10.06</v>
      </c>
      <c r="M747">
        <v>11.88</v>
      </c>
      <c r="N747">
        <v>8.06</v>
      </c>
      <c r="O747">
        <v>37.21</v>
      </c>
      <c r="P747">
        <v>55.49</v>
      </c>
      <c r="Q747">
        <v>61.24</v>
      </c>
      <c r="R747">
        <v>27.44</v>
      </c>
      <c r="S747">
        <v>27.93</v>
      </c>
      <c r="T747">
        <v>39.25</v>
      </c>
      <c r="U747">
        <v>31.82</v>
      </c>
      <c r="V747" s="6">
        <v>25.78</v>
      </c>
    </row>
    <row r="748" spans="1:22" x14ac:dyDescent="0.2">
      <c r="A748" s="4">
        <v>45652</v>
      </c>
      <c r="B748" s="3">
        <v>101.18</v>
      </c>
      <c r="C748">
        <v>51.42</v>
      </c>
      <c r="D748">
        <v>33.700000000000003</v>
      </c>
      <c r="E748">
        <v>26.47</v>
      </c>
      <c r="F748">
        <v>37.15</v>
      </c>
      <c r="G748">
        <v>53.74</v>
      </c>
      <c r="H748">
        <v>23.34</v>
      </c>
      <c r="I748">
        <v>32.08</v>
      </c>
      <c r="J748">
        <v>88.56</v>
      </c>
      <c r="K748">
        <v>10.77</v>
      </c>
      <c r="L748">
        <v>10.130000000000001</v>
      </c>
      <c r="M748">
        <v>11.8</v>
      </c>
      <c r="N748">
        <v>8.15</v>
      </c>
      <c r="O748">
        <v>37.19</v>
      </c>
      <c r="P748">
        <v>56.18</v>
      </c>
      <c r="Q748">
        <v>61.94</v>
      </c>
      <c r="R748">
        <v>27.34</v>
      </c>
      <c r="S748">
        <v>27.82</v>
      </c>
      <c r="T748">
        <v>39.9</v>
      </c>
      <c r="U748">
        <v>31.48</v>
      </c>
      <c r="V748" s="6">
        <v>25.29</v>
      </c>
    </row>
    <row r="749" spans="1:22" x14ac:dyDescent="0.2">
      <c r="A749" s="4">
        <v>45653</v>
      </c>
      <c r="B749" s="3">
        <v>101.85</v>
      </c>
      <c r="C749">
        <v>51.17</v>
      </c>
      <c r="D749">
        <v>33.6</v>
      </c>
      <c r="E749">
        <v>26.21</v>
      </c>
      <c r="F749">
        <v>36.74</v>
      </c>
      <c r="G749">
        <v>52.78</v>
      </c>
      <c r="H749">
        <v>23.25</v>
      </c>
      <c r="I749">
        <v>32.11</v>
      </c>
      <c r="J749">
        <v>88.29</v>
      </c>
      <c r="K749">
        <v>10.69</v>
      </c>
      <c r="L749">
        <v>10.16</v>
      </c>
      <c r="M749">
        <v>11.73</v>
      </c>
      <c r="N749">
        <v>8.08</v>
      </c>
      <c r="O749">
        <v>36.21</v>
      </c>
      <c r="P749">
        <v>56.27</v>
      </c>
      <c r="Q749">
        <v>61.59</v>
      </c>
      <c r="R749">
        <v>27.1</v>
      </c>
      <c r="S749">
        <v>27.64</v>
      </c>
      <c r="T749">
        <v>39.909999999999997</v>
      </c>
      <c r="U749">
        <v>31.45</v>
      </c>
      <c r="V749" s="6">
        <v>24.91</v>
      </c>
    </row>
    <row r="750" spans="1:22" x14ac:dyDescent="0.2">
      <c r="A750" s="4">
        <v>45656</v>
      </c>
      <c r="B750" s="3">
        <v>101.85</v>
      </c>
      <c r="C750">
        <v>50.99</v>
      </c>
      <c r="D750">
        <v>34.1</v>
      </c>
      <c r="E750">
        <v>26.17</v>
      </c>
      <c r="F750">
        <v>37.28</v>
      </c>
      <c r="G750">
        <v>51.88</v>
      </c>
      <c r="H750">
        <v>23.31</v>
      </c>
      <c r="I750">
        <v>32.11</v>
      </c>
      <c r="J750">
        <v>88.5</v>
      </c>
      <c r="K750">
        <v>10.7</v>
      </c>
      <c r="L750">
        <v>10.119999999999999</v>
      </c>
      <c r="M750">
        <v>11.41</v>
      </c>
      <c r="N750">
        <v>8.08</v>
      </c>
      <c r="O750">
        <v>36.299999999999997</v>
      </c>
      <c r="P750">
        <v>56.13</v>
      </c>
      <c r="Q750">
        <v>61.78</v>
      </c>
      <c r="R750">
        <v>26.73</v>
      </c>
      <c r="S750">
        <v>27.4</v>
      </c>
      <c r="T750">
        <v>40.15</v>
      </c>
      <c r="U750">
        <v>31.16</v>
      </c>
      <c r="V750" s="6">
        <v>25.05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DEF4E-020F-2341-8602-D79C20C9C5B9}">
  <dimension ref="A1:Y750"/>
  <sheetViews>
    <sheetView showGridLines="0" tabSelected="1" workbookViewId="0">
      <selection activeCell="D11" sqref="D11"/>
    </sheetView>
  </sheetViews>
  <sheetFormatPr baseColWidth="10" defaultRowHeight="16" x14ac:dyDescent="0.2"/>
  <sheetData>
    <row r="1" spans="1:25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67</v>
      </c>
      <c r="P1" t="s">
        <v>69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5" x14ac:dyDescent="0.2">
      <c r="A2" s="4">
        <v>44564</v>
      </c>
    </row>
    <row r="3" spans="1:25" x14ac:dyDescent="0.2">
      <c r="A3" s="4">
        <v>44565</v>
      </c>
      <c r="B3" s="5">
        <f>(Cotacoes!B3-Cotacoes!B2)/Cotacoes!B2</f>
        <v>-7.554945054945016E-3</v>
      </c>
      <c r="C3" s="5">
        <f>(Cotacoes!C3-Cotacoes!C2)/Cotacoes!C2</f>
        <v>-1.1919368974583695E-2</v>
      </c>
      <c r="D3" s="5">
        <f>(Cotacoes!D3-Cotacoes!D2)/Cotacoes!D2</f>
        <v>3.7383177570094323E-3</v>
      </c>
      <c r="E3" s="5">
        <f>(Cotacoes!E3-Cotacoes!E2)/Cotacoes!E2</f>
        <v>2.8177833437695744E-2</v>
      </c>
      <c r="F3" s="5">
        <f>(Cotacoes!F3-Cotacoes!F2)/Cotacoes!F2</f>
        <v>1.2678288431061819E-2</v>
      </c>
      <c r="G3" s="5">
        <f>(Cotacoes!G3-Cotacoes!G2)/Cotacoes!G2</f>
        <v>-5.0033355570380965E-3</v>
      </c>
      <c r="H3" s="5">
        <f>(Cotacoes!H3-Cotacoes!H2)/Cotacoes!H2</f>
        <v>9.4250706880299594E-4</v>
      </c>
      <c r="I3" s="5">
        <f>(Cotacoes!I3-Cotacoes!I2)/Cotacoes!I2</f>
        <v>-2.1121883656509678E-2</v>
      </c>
      <c r="J3" s="5">
        <f>(Cotacoes!J3-Cotacoes!J2)/Cotacoes!J2</f>
        <v>-2.7534418022528193E-2</v>
      </c>
      <c r="K3" s="5">
        <f>(Cotacoes!K3-Cotacoes!K2)/Cotacoes!K2</f>
        <v>6.3875088715400893E-3</v>
      </c>
      <c r="L3" s="5">
        <f>(Cotacoes!L3-Cotacoes!L2)/Cotacoes!L2</f>
        <v>2.0768431983385179E-2</v>
      </c>
      <c r="M3" s="5">
        <f>(Cotacoes!M3-Cotacoes!M2)/Cotacoes!M2</f>
        <v>-1.5396458814472343E-3</v>
      </c>
      <c r="N3" s="5">
        <f>(Cotacoes!N3-Cotacoes!N2)/Cotacoes!N2</f>
        <v>6.9565217391304411E-3</v>
      </c>
      <c r="O3" s="5">
        <f>(Cotacoes!O3-Cotacoes!O2)/Cotacoes!O2</f>
        <v>-3.0261348005501906E-3</v>
      </c>
      <c r="P3" s="5">
        <f>(Cotacoes!P3-Cotacoes!P2)/Cotacoes!P2</f>
        <v>-7.9333597778657571E-4</v>
      </c>
      <c r="Q3" s="5">
        <f>(Cotacoes!Q3-Cotacoes!Q2)/Cotacoes!Q2</f>
        <v>2.182428651371016E-2</v>
      </c>
      <c r="R3" s="5">
        <f>(Cotacoes!R3-Cotacoes!R2)/Cotacoes!R2</f>
        <v>-1.8398268398268389E-2</v>
      </c>
      <c r="S3" s="5">
        <f>(Cotacoes!S3-Cotacoes!S2)/Cotacoes!S2</f>
        <v>-9.0620752152242544E-3</v>
      </c>
      <c r="T3" s="5">
        <f>(Cotacoes!T3-Cotacoes!T2)/Cotacoes!T2</f>
        <v>2.1224086870681131E-2</v>
      </c>
      <c r="U3" s="5">
        <f>(Cotacoes!U3-Cotacoes!U2)/Cotacoes!U2</f>
        <v>5.6955093099670976E-3</v>
      </c>
      <c r="V3" s="5">
        <f>(Cotacoes!V3-Cotacoes!V2)/Cotacoes!V2</f>
        <v>-2.4566473988439381E-2</v>
      </c>
      <c r="W3" s="5"/>
      <c r="Y3" s="7"/>
    </row>
    <row r="4" spans="1:25" x14ac:dyDescent="0.2">
      <c r="A4" s="4">
        <v>44566</v>
      </c>
      <c r="B4" s="5">
        <f>(Cotacoes!B4-Cotacoes!B3)/Cotacoes!B3</f>
        <v>-1.8915801614763559E-2</v>
      </c>
      <c r="C4" s="5">
        <f>(Cotacoes!C4-Cotacoes!C3)/Cotacoes!C3</f>
        <v>9.5795635976583145E-3</v>
      </c>
      <c r="D4" s="5">
        <f>(Cotacoes!D4-Cotacoes!D3)/Cotacoes!D3</f>
        <v>-3.9106145251396641E-2</v>
      </c>
      <c r="E4" s="5">
        <f>(Cotacoes!E4-Cotacoes!E3)/Cotacoes!E3</f>
        <v>-1.8879415347137773E-2</v>
      </c>
      <c r="F4" s="5">
        <f>(Cotacoes!F4-Cotacoes!F3)/Cotacoes!F3</f>
        <v>-4.1471048513301988E-2</v>
      </c>
      <c r="G4" s="5">
        <f>(Cotacoes!G4-Cotacoes!G3)/Cotacoes!G3</f>
        <v>-5.2631578947368314E-2</v>
      </c>
      <c r="H4" s="5">
        <f>(Cotacoes!H4-Cotacoes!H3)/Cotacoes!H3</f>
        <v>-1.6949152542372857E-2</v>
      </c>
      <c r="I4" s="5">
        <f>(Cotacoes!I4-Cotacoes!I3)/Cotacoes!I3</f>
        <v>-4.2447824548992215E-3</v>
      </c>
      <c r="J4" s="5">
        <f>(Cotacoes!J4-Cotacoes!J3)/Cotacoes!J3</f>
        <v>-4.2985842985843029E-2</v>
      </c>
      <c r="K4" s="5">
        <f>(Cotacoes!K4-Cotacoes!K3)/Cotacoes!K3</f>
        <v>-7.0521861777150668E-3</v>
      </c>
      <c r="L4" s="5">
        <f>(Cotacoes!L4-Cotacoes!L3)/Cotacoes!L3</f>
        <v>-2.0345879959308168E-2</v>
      </c>
      <c r="M4" s="5">
        <f>(Cotacoes!M4-Cotacoes!M3)/Cotacoes!M3</f>
        <v>-1.9275250578257516E-2</v>
      </c>
      <c r="N4" s="5">
        <f>(Cotacoes!N4-Cotacoes!N3)/Cotacoes!N3</f>
        <v>-1.0362694300518067E-2</v>
      </c>
      <c r="O4" s="5">
        <f>(Cotacoes!O4-Cotacoes!O3)/Cotacoes!O3</f>
        <v>-2.2075055187639457E-3</v>
      </c>
      <c r="P4" s="5">
        <f>(Cotacoes!P4-Cotacoes!P3)/Cotacoes!P3</f>
        <v>-5.9150456530369273E-2</v>
      </c>
      <c r="Q4" s="5">
        <f>(Cotacoes!Q4-Cotacoes!Q3)/Cotacoes!Q3</f>
        <v>-1.1317999269806582E-2</v>
      </c>
      <c r="R4" s="5">
        <f>(Cotacoes!R4-Cotacoes!R3)/Cotacoes!R3</f>
        <v>-5.1819184123484081E-2</v>
      </c>
      <c r="S4" s="5">
        <f>(Cotacoes!S4-Cotacoes!S3)/Cotacoes!S3</f>
        <v>-1.3260173754001037E-2</v>
      </c>
      <c r="T4" s="5">
        <f>(Cotacoes!T4-Cotacoes!T3)/Cotacoes!T3</f>
        <v>-0.10778153697438378</v>
      </c>
      <c r="U4" s="5">
        <f>(Cotacoes!U4-Cotacoes!U3)/Cotacoes!U3</f>
        <v>-2.8969723371814384E-2</v>
      </c>
      <c r="V4" s="5">
        <f>(Cotacoes!V4-Cotacoes!V3)/Cotacoes!V3</f>
        <v>-6.7654320987654365E-2</v>
      </c>
      <c r="W4" s="5"/>
    </row>
    <row r="5" spans="1:25" x14ac:dyDescent="0.2">
      <c r="A5" s="4">
        <v>44567</v>
      </c>
      <c r="B5" s="5">
        <f>(Cotacoes!B5-Cotacoes!B4)/Cotacoes!B4</f>
        <v>1.6458970138725673E-3</v>
      </c>
      <c r="C5" s="5">
        <f>(Cotacoes!C5-Cotacoes!C4)/Cotacoes!C4</f>
        <v>2.0207344930592265E-2</v>
      </c>
      <c r="D5" s="5">
        <f>(Cotacoes!D5-Cotacoes!D4)/Cotacoes!D4</f>
        <v>-9.6899224806199478E-4</v>
      </c>
      <c r="E5" s="5">
        <f>(Cotacoes!E5-Cotacoes!E4)/Cotacoes!E4</f>
        <v>2.0484171322160263E-2</v>
      </c>
      <c r="F5" s="5">
        <f>(Cotacoes!F5-Cotacoes!F4)/Cotacoes!F4</f>
        <v>-8.1632653061222747E-4</v>
      </c>
      <c r="G5" s="5">
        <f>(Cotacoes!G5-Cotacoes!G4)/Cotacoes!G4</f>
        <v>-3.5385704175518623E-4</v>
      </c>
      <c r="H5" s="5">
        <f>(Cotacoes!H5-Cotacoes!H4)/Cotacoes!H4</f>
        <v>7.662835249042153E-3</v>
      </c>
      <c r="I5" s="5">
        <f>(Cotacoes!I5-Cotacoes!I4)/Cotacoes!I4</f>
        <v>-1.4209591474244813E-3</v>
      </c>
      <c r="J5" s="5">
        <f>(Cotacoes!J5-Cotacoes!J4)/Cotacoes!J4</f>
        <v>-2.6089295320064522E-2</v>
      </c>
      <c r="K5" s="5">
        <f>(Cotacoes!K5-Cotacoes!K4)/Cotacoes!K4</f>
        <v>1.4204545454545404E-2</v>
      </c>
      <c r="L5" s="5">
        <f>(Cotacoes!L5-Cotacoes!L4)/Cotacoes!L4</f>
        <v>2.3883696780892902E-2</v>
      </c>
      <c r="M5" s="5">
        <f>(Cotacoes!M5-Cotacoes!M4)/Cotacoes!M4</f>
        <v>-1.6509433962264217E-2</v>
      </c>
      <c r="N5" s="5">
        <f>(Cotacoes!N5-Cotacoes!N4)/Cotacoes!N4</f>
        <v>8.7260034904013649E-3</v>
      </c>
      <c r="O5" s="5">
        <f>(Cotacoes!O5-Cotacoes!O4)/Cotacoes!O4</f>
        <v>5.5309734513282987E-4</v>
      </c>
      <c r="P5" s="5">
        <f>(Cotacoes!P5-Cotacoes!P4)/Cotacoes!P4</f>
        <v>6.329113924050723E-3</v>
      </c>
      <c r="Q5" s="5">
        <f>(Cotacoes!Q5-Cotacoes!Q4)/Cotacoes!Q4</f>
        <v>-7.9394387001477055E-3</v>
      </c>
      <c r="R5" s="5">
        <f>(Cotacoes!R5-Cotacoes!R4)/Cotacoes!R4</f>
        <v>-6.9767441860465696E-3</v>
      </c>
      <c r="S5" s="5">
        <f>(Cotacoes!S5-Cotacoes!S4)/Cotacoes!S4</f>
        <v>-8.3410565338276049E-3</v>
      </c>
      <c r="T5" s="5">
        <f>(Cotacoes!T5-Cotacoes!T4)/Cotacoes!T4</f>
        <v>2.5460455037919764E-2</v>
      </c>
      <c r="U5" s="5">
        <f>(Cotacoes!U5-Cotacoes!U4)/Cotacoes!U4</f>
        <v>4.0376850605652699E-3</v>
      </c>
      <c r="V5" s="5">
        <f>(Cotacoes!V5-Cotacoes!V4)/Cotacoes!V4</f>
        <v>1.0858050847457725E-2</v>
      </c>
      <c r="W5" s="5"/>
    </row>
    <row r="6" spans="1:25" x14ac:dyDescent="0.2">
      <c r="A6" s="4">
        <v>44568</v>
      </c>
      <c r="B6" s="5">
        <f>(Cotacoes!B6-Cotacoes!B5)/Cotacoes!B5</f>
        <v>1.2323943661971797E-2</v>
      </c>
      <c r="C6" s="5">
        <f>(Cotacoes!C6-Cotacoes!C5)/Cotacoes!C5</f>
        <v>5.8043403375818071E-2</v>
      </c>
      <c r="D6" s="5">
        <f>(Cotacoes!D6-Cotacoes!D5)/Cotacoes!D5</f>
        <v>4.8496605237632329E-3</v>
      </c>
      <c r="E6" s="5">
        <f>(Cotacoes!E6-Cotacoes!E5)/Cotacoes!E5</f>
        <v>2.1897810218978065E-2</v>
      </c>
      <c r="F6" s="5">
        <f>(Cotacoes!F6-Cotacoes!F5)/Cotacoes!F5</f>
        <v>8.1699346405228468E-3</v>
      </c>
      <c r="G6" s="5">
        <f>(Cotacoes!G6-Cotacoes!G5)/Cotacoes!G5</f>
        <v>-2.5132743362831889E-2</v>
      </c>
      <c r="H6" s="5">
        <f>(Cotacoes!H6-Cotacoes!H5)/Cotacoes!H5</f>
        <v>1.901140684410606E-3</v>
      </c>
      <c r="I6" s="5">
        <f>(Cotacoes!I6-Cotacoes!I5)/Cotacoes!I5</f>
        <v>-4.3756670224119547E-2</v>
      </c>
      <c r="J6" s="5">
        <f>(Cotacoes!J6-Cotacoes!J5)/Cotacoes!J5</f>
        <v>-2.0712510356255178E-2</v>
      </c>
      <c r="K6" s="5">
        <f>(Cotacoes!K6-Cotacoes!K5)/Cotacoes!K5</f>
        <v>1.4705882352941237E-2</v>
      </c>
      <c r="L6" s="5">
        <f>(Cotacoes!L6-Cotacoes!L5)/Cotacoes!L5</f>
        <v>2.3326572008113635E-2</v>
      </c>
      <c r="M6" s="5">
        <f>(Cotacoes!M6-Cotacoes!M5)/Cotacoes!M5</f>
        <v>-1.5987210231814493E-2</v>
      </c>
      <c r="N6" s="5">
        <f>(Cotacoes!N6-Cotacoes!N5)/Cotacoes!N5</f>
        <v>1.2110726643598512E-2</v>
      </c>
      <c r="O6" s="5">
        <f>(Cotacoes!O6-Cotacoes!O5)/Cotacoes!O5</f>
        <v>-2.5981205085682635E-2</v>
      </c>
      <c r="P6" s="5">
        <f>(Cotacoes!P6-Cotacoes!P5)/Cotacoes!P5</f>
        <v>8.3857442348008078E-3</v>
      </c>
      <c r="Q6" s="5">
        <f>(Cotacoes!Q6-Cotacoes!Q5)/Cotacoes!Q5</f>
        <v>-6.7001675041875944E-3</v>
      </c>
      <c r="R6" s="5">
        <f>(Cotacoes!R6-Cotacoes!R5)/Cotacoes!R5</f>
        <v>5.269320843091535E-3</v>
      </c>
      <c r="S6" s="5">
        <f>(Cotacoes!S6-Cotacoes!S5)/Cotacoes!S5</f>
        <v>-2.3364485981307087E-3</v>
      </c>
      <c r="T6" s="5">
        <f>(Cotacoes!T6-Cotacoes!T5)/Cotacoes!T5</f>
        <v>4.5430533544638114E-2</v>
      </c>
      <c r="U6" s="5">
        <f>(Cotacoes!U6-Cotacoes!U5)/Cotacoes!U5</f>
        <v>-8.4897229669346624E-3</v>
      </c>
      <c r="V6" s="5">
        <f>(Cotacoes!V6-Cotacoes!V5)/Cotacoes!V5</f>
        <v>1.8077023840712542E-2</v>
      </c>
      <c r="W6" s="5"/>
    </row>
    <row r="7" spans="1:25" x14ac:dyDescent="0.2">
      <c r="A7" s="4">
        <v>44571</v>
      </c>
      <c r="B7" s="5">
        <f>(Cotacoes!B7-Cotacoes!B6)/Cotacoes!B6</f>
        <v>-2.8985507246376812E-3</v>
      </c>
      <c r="C7" s="5">
        <f>(Cotacoes!C7-Cotacoes!C6)/Cotacoes!C6</f>
        <v>-1.1883444571056436E-2</v>
      </c>
      <c r="D7" s="5">
        <f>(Cotacoes!D7-Cotacoes!D6)/Cotacoes!D6</f>
        <v>-5.791505791505668E-3</v>
      </c>
      <c r="E7" s="5">
        <f>(Cotacoes!E7-Cotacoes!E6)/Cotacoes!E6</f>
        <v>9.5238095238095316E-3</v>
      </c>
      <c r="F7" s="5">
        <f>(Cotacoes!F7-Cotacoes!F6)/Cotacoes!F6</f>
        <v>-3.2414910858994447E-3</v>
      </c>
      <c r="G7" s="5">
        <f>(Cotacoes!G7-Cotacoes!G6)/Cotacoes!G6</f>
        <v>-2.9048656499636918E-2</v>
      </c>
      <c r="H7" s="5">
        <f>(Cotacoes!H7-Cotacoes!H6)/Cotacoes!H6</f>
        <v>4.7438330170778663E-3</v>
      </c>
      <c r="I7" s="5">
        <f>(Cotacoes!I7-Cotacoes!I6)/Cotacoes!I6</f>
        <v>-2.9017857142857054E-2</v>
      </c>
      <c r="J7" s="5">
        <f>(Cotacoes!J7-Cotacoes!J6)/Cotacoes!J6</f>
        <v>-1.9176536943034398E-2</v>
      </c>
      <c r="K7" s="5">
        <f>(Cotacoes!K7-Cotacoes!K6)/Cotacoes!K6</f>
        <v>3.4506556245685943E-3</v>
      </c>
      <c r="L7" s="5">
        <f>(Cotacoes!L7-Cotacoes!L6)/Cotacoes!L6</f>
        <v>-4.9554013875124587E-3</v>
      </c>
      <c r="M7" s="5">
        <f>(Cotacoes!M7-Cotacoes!M6)/Cotacoes!M6</f>
        <v>8.1234768480909544E-3</v>
      </c>
      <c r="N7" s="5">
        <f>(Cotacoes!N7-Cotacoes!N6)/Cotacoes!N6</f>
        <v>0</v>
      </c>
      <c r="O7" s="5">
        <f>(Cotacoes!O7-Cotacoes!O6)/Cotacoes!O6</f>
        <v>1.8728717366628733E-2</v>
      </c>
      <c r="P7" s="5">
        <f>(Cotacoes!P7-Cotacoes!P6)/Cotacoes!P6</f>
        <v>-1.3721413721413799E-2</v>
      </c>
      <c r="Q7" s="5">
        <f>(Cotacoes!Q7-Cotacoes!Q6)/Cotacoes!Q6</f>
        <v>-2.4358253700579998E-3</v>
      </c>
      <c r="R7" s="5">
        <f>(Cotacoes!R7-Cotacoes!R6)/Cotacoes!R6</f>
        <v>4.6592894583575009E-3</v>
      </c>
      <c r="S7" s="5">
        <f>(Cotacoes!S7-Cotacoes!S6)/Cotacoes!S6</f>
        <v>1.7330210772833601E-2</v>
      </c>
      <c r="T7" s="5">
        <f>(Cotacoes!T7-Cotacoes!T6)/Cotacoes!T6</f>
        <v>1.6169782718544735E-2</v>
      </c>
      <c r="U7" s="5">
        <f>(Cotacoes!U7-Cotacoes!U6)/Cotacoes!U6</f>
        <v>-1.9603424966201093E-2</v>
      </c>
      <c r="V7" s="5">
        <f>(Cotacoes!V7-Cotacoes!V6)/Cotacoes!V6</f>
        <v>-4.1173443129181718E-2</v>
      </c>
      <c r="W7" s="5"/>
    </row>
    <row r="8" spans="1:25" x14ac:dyDescent="0.2">
      <c r="A8" s="4">
        <v>44572</v>
      </c>
      <c r="B8" s="5">
        <f>(Cotacoes!B8-Cotacoes!B7)/Cotacoes!B7</f>
        <v>1.8604651162790631E-2</v>
      </c>
      <c r="C8" s="5">
        <f>(Cotacoes!C8-Cotacoes!C7)/Cotacoes!C7</f>
        <v>1.9110378912685282E-2</v>
      </c>
      <c r="D8" s="5">
        <f>(Cotacoes!D8-Cotacoes!D7)/Cotacoes!D7</f>
        <v>2.9126213592232903E-2</v>
      </c>
      <c r="E8" s="5">
        <f>(Cotacoes!E8-Cotacoes!E7)/Cotacoes!E7</f>
        <v>2.240566037735843E-2</v>
      </c>
      <c r="F8" s="5">
        <f>(Cotacoes!F8-Cotacoes!F7)/Cotacoes!F7</f>
        <v>4.065040650406504E-2</v>
      </c>
      <c r="G8" s="5">
        <f>(Cotacoes!G8-Cotacoes!G7)/Cotacoes!G7</f>
        <v>1.68287210172028E-2</v>
      </c>
      <c r="H8" s="5">
        <f>(Cotacoes!H8-Cotacoes!H7)/Cotacoes!H7</f>
        <v>3.7771482530690203E-3</v>
      </c>
      <c r="I8" s="5">
        <f>(Cotacoes!I8-Cotacoes!I7)/Cotacoes!I7</f>
        <v>1.1877394636015276E-2</v>
      </c>
      <c r="J8" s="5">
        <f>(Cotacoes!J8-Cotacoes!J7)/Cotacoes!J7</f>
        <v>8.6256469235195909E-4</v>
      </c>
      <c r="K8" s="5">
        <f>(Cotacoes!K8-Cotacoes!K7)/Cotacoes!K7</f>
        <v>1.3755158184320048E-3</v>
      </c>
      <c r="L8" s="5">
        <f>(Cotacoes!L8-Cotacoes!L7)/Cotacoes!L7</f>
        <v>2.9880478087650538E-3</v>
      </c>
      <c r="M8" s="5">
        <f>(Cotacoes!M8-Cotacoes!M7)/Cotacoes!M7</f>
        <v>2.4174053182916488E-3</v>
      </c>
      <c r="N8" s="5">
        <f>(Cotacoes!N8-Cotacoes!N7)/Cotacoes!N7</f>
        <v>1.5384615384615514E-2</v>
      </c>
      <c r="O8" s="5">
        <f>(Cotacoes!O8-Cotacoes!O7)/Cotacoes!O7</f>
        <v>-5.2924791086350342E-3</v>
      </c>
      <c r="P8" s="5">
        <f>(Cotacoes!P8-Cotacoes!P7)/Cotacoes!P7</f>
        <v>-1.09612141652613E-2</v>
      </c>
      <c r="Q8" s="5">
        <f>(Cotacoes!Q8-Cotacoes!Q7)/Cotacoes!Q7</f>
        <v>6.0105184072126276E-3</v>
      </c>
      <c r="R8" s="5">
        <f>(Cotacoes!R8-Cotacoes!R7)/Cotacoes!R7</f>
        <v>4.4057971014492846E-2</v>
      </c>
      <c r="S8" s="5">
        <f>(Cotacoes!S8-Cotacoes!S7)/Cotacoes!S7</f>
        <v>2.2559852670349999E-2</v>
      </c>
      <c r="T8" s="5">
        <f>(Cotacoes!T8-Cotacoes!T7)/Cotacoes!T7</f>
        <v>5.2710094480358148E-2</v>
      </c>
      <c r="U8" s="5">
        <f>(Cotacoes!U8-Cotacoes!U7)/Cotacoes!U7</f>
        <v>1.4479430016088314E-2</v>
      </c>
      <c r="V8" s="5">
        <f>(Cotacoes!V8-Cotacoes!V7)/Cotacoes!V7</f>
        <v>3.4084809447128377E-2</v>
      </c>
      <c r="W8" s="5"/>
    </row>
    <row r="9" spans="1:25" x14ac:dyDescent="0.2">
      <c r="A9" s="4">
        <v>44573</v>
      </c>
      <c r="B9" s="5">
        <f>(Cotacoes!B9-Cotacoes!B8)/Cotacoes!B8</f>
        <v>1.5981735159817417E-2</v>
      </c>
      <c r="C9" s="5">
        <f>(Cotacoes!C9-Cotacoes!C8)/Cotacoes!C8</f>
        <v>1.0830908503071479E-2</v>
      </c>
      <c r="D9" s="5">
        <f>(Cotacoes!D9-Cotacoes!D8)/Cotacoes!D8</f>
        <v>3.113207547169812E-2</v>
      </c>
      <c r="E9" s="5">
        <f>(Cotacoes!E9-Cotacoes!E8)/Cotacoes!E8</f>
        <v>-4.6136101499422311E-3</v>
      </c>
      <c r="F9" s="5">
        <f>(Cotacoes!F9-Cotacoes!F8)/Cotacoes!F8</f>
        <v>3.3593749999999978E-2</v>
      </c>
      <c r="G9" s="5">
        <f>(Cotacoes!G9-Cotacoes!G8)/Cotacoes!G8</f>
        <v>4.0823832291283536E-2</v>
      </c>
      <c r="H9" s="5">
        <f>(Cotacoes!H9-Cotacoes!H8)/Cotacoes!H8</f>
        <v>1.0348071495766643E-2</v>
      </c>
      <c r="I9" s="5">
        <f>(Cotacoes!I9-Cotacoes!I8)/Cotacoes!I8</f>
        <v>5.2631578947368439E-2</v>
      </c>
      <c r="J9" s="5">
        <f>(Cotacoes!J9-Cotacoes!J8)/Cotacoes!J8</f>
        <v>1.3501867279517346E-2</v>
      </c>
      <c r="K9" s="5">
        <f>(Cotacoes!K9-Cotacoes!K8)/Cotacoes!K8</f>
        <v>-7.5549450549451374E-3</v>
      </c>
      <c r="L9" s="5">
        <f>(Cotacoes!L9-Cotacoes!L8)/Cotacoes!L8</f>
        <v>3.5749751737835095E-2</v>
      </c>
      <c r="M9" s="5">
        <f>(Cotacoes!M9-Cotacoes!M8)/Cotacoes!M8</f>
        <v>1.3665594855305462E-2</v>
      </c>
      <c r="N9" s="5">
        <f>(Cotacoes!N9-Cotacoes!N8)/Cotacoes!N8</f>
        <v>-3.3670033670034445E-3</v>
      </c>
      <c r="O9" s="5">
        <f>(Cotacoes!O9-Cotacoes!O8)/Cotacoes!O8</f>
        <v>2.0162419490338809E-2</v>
      </c>
      <c r="P9" s="5">
        <f>(Cotacoes!P9-Cotacoes!P8)/Cotacoes!P8</f>
        <v>-1.5771526001705071E-2</v>
      </c>
      <c r="Q9" s="5">
        <f>(Cotacoes!Q9-Cotacoes!Q8)/Cotacoes!Q8</f>
        <v>3.5100821508588412E-2</v>
      </c>
      <c r="R9" s="5">
        <f>(Cotacoes!R9-Cotacoes!R8)/Cotacoes!R8</f>
        <v>1.3325930038867208E-2</v>
      </c>
      <c r="S9" s="5">
        <f>(Cotacoes!S9-Cotacoes!S8)/Cotacoes!S8</f>
        <v>2.4313372354795099E-2</v>
      </c>
      <c r="T9" s="5">
        <f>(Cotacoes!T9-Cotacoes!T8)/Cotacoes!T8</f>
        <v>7.5578649031646941E-3</v>
      </c>
      <c r="U9" s="5">
        <f>(Cotacoes!U9-Cotacoes!U8)/Cotacoes!U8</f>
        <v>8.3824195740824069E-3</v>
      </c>
      <c r="V9" s="5">
        <f>(Cotacoes!V9-Cotacoes!V8)/Cotacoes!V8</f>
        <v>9.602906825849921E-3</v>
      </c>
      <c r="W9" s="5"/>
    </row>
    <row r="10" spans="1:25" x14ac:dyDescent="0.2">
      <c r="A10" s="4">
        <v>44574</v>
      </c>
      <c r="B10" s="5">
        <f>(Cotacoes!B10-Cotacoes!B9)/Cotacoes!B9</f>
        <v>-3.3707865168539006E-3</v>
      </c>
      <c r="C10" s="5">
        <f>(Cotacoes!C10-Cotacoes!C9)/Cotacoes!C9</f>
        <v>-1.5192707500399853E-2</v>
      </c>
      <c r="D10" s="5">
        <f>(Cotacoes!D10-Cotacoes!D9)/Cotacoes!D9</f>
        <v>2.0128087831656052E-2</v>
      </c>
      <c r="E10" s="5">
        <f>(Cotacoes!E10-Cotacoes!E9)/Cotacoes!E9</f>
        <v>1.8539976825028778E-2</v>
      </c>
      <c r="F10" s="5">
        <f>(Cotacoes!F10-Cotacoes!F9)/Cotacoes!F9</f>
        <v>2.4187452758881352E-2</v>
      </c>
      <c r="G10" s="5">
        <f>(Cotacoes!G10-Cotacoes!G9)/Cotacoes!G9</f>
        <v>-4.2049469964664354E-2</v>
      </c>
      <c r="H10" s="5">
        <f>(Cotacoes!H10-Cotacoes!H9)/Cotacoes!H9</f>
        <v>1.5828677839851018E-2</v>
      </c>
      <c r="I10" s="5">
        <f>(Cotacoes!I10-Cotacoes!I9)/Cotacoes!I9</f>
        <v>3.5971223021575579E-4</v>
      </c>
      <c r="J10" s="5">
        <f>(Cotacoes!J10-Cotacoes!J9)/Cotacoes!J9</f>
        <v>-8.5034013605445394E-4</v>
      </c>
      <c r="K10" s="5">
        <f>(Cotacoes!K10-Cotacoes!K9)/Cotacoes!K9</f>
        <v>1.7993079584775196E-2</v>
      </c>
      <c r="L10" s="5">
        <f>(Cotacoes!L10-Cotacoes!L9)/Cotacoes!L9</f>
        <v>-1.9175455417065747E-3</v>
      </c>
      <c r="M10" s="5">
        <f>(Cotacoes!M10-Cotacoes!M9)/Cotacoes!M9</f>
        <v>7.1371927042030029E-3</v>
      </c>
      <c r="N10" s="5">
        <f>(Cotacoes!N10-Cotacoes!N9)/Cotacoes!N9</f>
        <v>2.8716216216216204E-2</v>
      </c>
      <c r="O10" s="5">
        <f>(Cotacoes!O10-Cotacoes!O9)/Cotacoes!O9</f>
        <v>1.7293439472961913E-2</v>
      </c>
      <c r="P10" s="5">
        <f>(Cotacoes!P10-Cotacoes!P9)/Cotacoes!P9</f>
        <v>-4.2009527934170586E-2</v>
      </c>
      <c r="Q10" s="5">
        <f>(Cotacoes!Q10-Cotacoes!Q9)/Cotacoes!Q9</f>
        <v>1.4790764790764797E-2</v>
      </c>
      <c r="R10" s="5">
        <f>(Cotacoes!R10-Cotacoes!R9)/Cotacoes!R9</f>
        <v>-2.7397260273972601E-2</v>
      </c>
      <c r="S10" s="5">
        <f>(Cotacoes!S10-Cotacoes!S9)/Cotacoes!S9</f>
        <v>-7.032967032967039E-3</v>
      </c>
      <c r="T10" s="5">
        <f>(Cotacoes!T10-Cotacoes!T9)/Cotacoes!T9</f>
        <v>3.0473511486169818E-2</v>
      </c>
      <c r="U10" s="5">
        <f>(Cotacoes!U10-Cotacoes!U9)/Cotacoes!U9</f>
        <v>-3.3700292069197614E-3</v>
      </c>
      <c r="V10" s="5">
        <f>(Cotacoes!V10-Cotacoes!V9)/Cotacoes!V9</f>
        <v>4.8843187660669628E-3</v>
      </c>
      <c r="W10" s="5"/>
    </row>
    <row r="11" spans="1:25" x14ac:dyDescent="0.2">
      <c r="A11" s="4">
        <v>44575</v>
      </c>
      <c r="B11" s="5">
        <f>(Cotacoes!B11-Cotacoes!B10)/Cotacoes!B10</f>
        <v>1.4656144306651603E-2</v>
      </c>
      <c r="C11" s="5">
        <f>(Cotacoes!C11-Cotacoes!C10)/Cotacoes!C10</f>
        <v>5.8460539136083057E-3</v>
      </c>
      <c r="D11" s="5">
        <f>(Cotacoes!D11-Cotacoes!D10)/Cotacoes!D10</f>
        <v>3.6771300448430508E-2</v>
      </c>
      <c r="E11" s="5">
        <f>(Cotacoes!E11-Cotacoes!E10)/Cotacoes!E10</f>
        <v>-7.3947667804322532E-3</v>
      </c>
      <c r="F11" s="5">
        <f>(Cotacoes!F11-Cotacoes!F10)/Cotacoes!F10</f>
        <v>2.0664206642066373E-2</v>
      </c>
      <c r="G11" s="5">
        <f>(Cotacoes!G11-Cotacoes!G10)/Cotacoes!G10</f>
        <v>6.0494282552563651E-2</v>
      </c>
      <c r="H11" s="5">
        <f>(Cotacoes!H11-Cotacoes!H10)/Cotacoes!H10</f>
        <v>2.5664527956003609E-2</v>
      </c>
      <c r="I11" s="5">
        <f>(Cotacoes!I11-Cotacoes!I10)/Cotacoes!I10</f>
        <v>6.1129090255304464E-3</v>
      </c>
      <c r="J11" s="5">
        <f>(Cotacoes!J11-Cotacoes!J10)/Cotacoes!J10</f>
        <v>-3.9716312056737747E-3</v>
      </c>
      <c r="K11" s="5">
        <f>(Cotacoes!K11-Cotacoes!K10)/Cotacoes!K10</f>
        <v>1.6315431679129737E-2</v>
      </c>
      <c r="L11" s="5">
        <f>(Cotacoes!L11-Cotacoes!L10)/Cotacoes!L10</f>
        <v>5.3794428434197933E-2</v>
      </c>
      <c r="M11" s="5">
        <f>(Cotacoes!M11-Cotacoes!M10)/Cotacoes!M10</f>
        <v>7.086614173228336E-3</v>
      </c>
      <c r="N11" s="5">
        <f>(Cotacoes!N11-Cotacoes!N10)/Cotacoes!N10</f>
        <v>1.1494252873563265E-2</v>
      </c>
      <c r="O11" s="5">
        <f>(Cotacoes!O11-Cotacoes!O10)/Cotacoes!O10</f>
        <v>8.9044792228817667E-3</v>
      </c>
      <c r="P11" s="5">
        <f>(Cotacoes!P11-Cotacoes!P10)/Cotacoes!P10</f>
        <v>-5.8770343580471316E-3</v>
      </c>
      <c r="Q11" s="5">
        <f>(Cotacoes!Q11-Cotacoes!Q10)/Cotacoes!Q10</f>
        <v>3.7326697476004417E-3</v>
      </c>
      <c r="R11" s="5">
        <f>(Cotacoes!R11-Cotacoes!R10)/Cotacoes!R10</f>
        <v>2.9859154929577528E-2</v>
      </c>
      <c r="S11" s="5">
        <f>(Cotacoes!S11-Cotacoes!S10)/Cotacoes!S10</f>
        <v>1.3280212483400239E-3</v>
      </c>
      <c r="T11" s="5">
        <f>(Cotacoes!T11-Cotacoes!T10)/Cotacoes!T10</f>
        <v>4.0036396724294765E-2</v>
      </c>
      <c r="U11" s="5">
        <f>(Cotacoes!U11-Cotacoes!U10)/Cotacoes!U10</f>
        <v>3.6744815148782743E-2</v>
      </c>
      <c r="V11" s="5">
        <f>(Cotacoes!V11-Cotacoes!V10)/Cotacoes!V10</f>
        <v>-9.7211563059606682E-3</v>
      </c>
      <c r="W11" s="5"/>
    </row>
    <row r="12" spans="1:25" x14ac:dyDescent="0.2">
      <c r="A12" s="4">
        <v>44578</v>
      </c>
      <c r="B12" s="5">
        <f>(Cotacoes!B12-Cotacoes!B11)/Cotacoes!B11</f>
        <v>-8.8888888888888577E-3</v>
      </c>
      <c r="C12" s="5">
        <f>(Cotacoes!C12-Cotacoes!C11)/Cotacoes!C11</f>
        <v>-5.1662899580238991E-3</v>
      </c>
      <c r="D12" s="5">
        <f>(Cotacoes!D12-Cotacoes!D11)/Cotacoes!D11</f>
        <v>1.7301038062283367E-3</v>
      </c>
      <c r="E12" s="5">
        <f>(Cotacoes!E12-Cotacoes!E11)/Cotacoes!E11</f>
        <v>0</v>
      </c>
      <c r="F12" s="5">
        <f>(Cotacoes!F12-Cotacoes!F11)/Cotacoes!F11</f>
        <v>-2.8922631959508983E-3</v>
      </c>
      <c r="G12" s="5">
        <f>(Cotacoes!G12-Cotacoes!G11)/Cotacoes!G11</f>
        <v>-1.1478260869565158E-2</v>
      </c>
      <c r="H12" s="5">
        <f>(Cotacoes!H12-Cotacoes!H11)/Cotacoes!H11</f>
        <v>1.7873100983021761E-3</v>
      </c>
      <c r="I12" s="5">
        <f>(Cotacoes!I12-Cotacoes!I11)/Cotacoes!I11</f>
        <v>2.5017869907076585E-3</v>
      </c>
      <c r="J12" s="5">
        <f>(Cotacoes!J12-Cotacoes!J11)/Cotacoes!J11</f>
        <v>8.5445741953858491E-3</v>
      </c>
      <c r="K12" s="5">
        <f>(Cotacoes!K12-Cotacoes!K11)/Cotacoes!K11</f>
        <v>5.3511705685618778E-3</v>
      </c>
      <c r="L12" s="5">
        <f>(Cotacoes!L12-Cotacoes!L11)/Cotacoes!L11</f>
        <v>1.1850501367365452E-2</v>
      </c>
      <c r="M12" s="5">
        <f>(Cotacoes!M12-Cotacoes!M11)/Cotacoes!M11</f>
        <v>-1.9546520719311965E-2</v>
      </c>
      <c r="N12" s="5">
        <f>(Cotacoes!N12-Cotacoes!N11)/Cotacoes!N11</f>
        <v>-1.6233766233765888E-3</v>
      </c>
      <c r="O12" s="5">
        <f>(Cotacoes!O12-Cotacoes!O11)/Cotacoes!O11</f>
        <v>-1.0965498796469743E-2</v>
      </c>
      <c r="P12" s="5">
        <f>(Cotacoes!P12-Cotacoes!P11)/Cotacoes!P11</f>
        <v>-2.0918599363346856E-2</v>
      </c>
      <c r="Q12" s="5">
        <f>(Cotacoes!Q12-Cotacoes!Q11)/Cotacoes!Q11</f>
        <v>-1.1687621746059794E-2</v>
      </c>
      <c r="R12" s="5">
        <f>(Cotacoes!R12-Cotacoes!R11)/Cotacoes!R11</f>
        <v>-4.9234135667395977E-3</v>
      </c>
      <c r="S12" s="5">
        <f>(Cotacoes!S12-Cotacoes!S11)/Cotacoes!S11</f>
        <v>-1.4588859416445705E-2</v>
      </c>
      <c r="T12" s="5">
        <f>(Cotacoes!T12-Cotacoes!T11)/Cotacoes!T11</f>
        <v>-3.4995625546805904E-3</v>
      </c>
      <c r="U12" s="5">
        <f>(Cotacoes!U12-Cotacoes!U11)/Cotacoes!U11</f>
        <v>-1.5438138725809977E-2</v>
      </c>
      <c r="V12" s="5">
        <f>(Cotacoes!V12-Cotacoes!V11)/Cotacoes!V11</f>
        <v>-3.4358047016274817E-2</v>
      </c>
      <c r="W12" s="5"/>
    </row>
    <row r="13" spans="1:25" x14ac:dyDescent="0.2">
      <c r="A13" s="4">
        <v>44579</v>
      </c>
      <c r="B13" s="5">
        <f>(Cotacoes!B13-Cotacoes!B12)/Cotacoes!B12</f>
        <v>4.147982062780161E-3</v>
      </c>
      <c r="C13" s="5">
        <f>(Cotacoes!C13-Cotacoes!C12)/Cotacoes!C12</f>
        <v>2.4342745861733205E-2</v>
      </c>
      <c r="D13" s="5">
        <f>(Cotacoes!D13-Cotacoes!D12)/Cotacoes!D12</f>
        <v>4.3177892918826177E-3</v>
      </c>
      <c r="E13" s="5">
        <f>(Cotacoes!E13-Cotacoes!E12)/Cotacoes!E12</f>
        <v>5.730659025788047E-3</v>
      </c>
      <c r="F13" s="5">
        <f>(Cotacoes!F13-Cotacoes!F12)/Cotacoes!F12</f>
        <v>3.6258158085569771E-3</v>
      </c>
      <c r="G13" s="5">
        <f>(Cotacoes!G13-Cotacoes!G12)/Cotacoes!G12</f>
        <v>6.3335679099225791E-3</v>
      </c>
      <c r="H13" s="5">
        <f>(Cotacoes!H13-Cotacoes!H12)/Cotacoes!H12</f>
        <v>8.9206066012488521E-3</v>
      </c>
      <c r="I13" s="5">
        <f>(Cotacoes!I13-Cotacoes!I12)/Cotacoes!I12</f>
        <v>3.5650623885910912E-4</v>
      </c>
      <c r="J13" s="5">
        <f>(Cotacoes!J13-Cotacoes!J12)/Cotacoes!J12</f>
        <v>-1.5532335498446688E-2</v>
      </c>
      <c r="K13" s="5">
        <f>(Cotacoes!K13-Cotacoes!K12)/Cotacoes!K12</f>
        <v>1.8629407850964813E-2</v>
      </c>
      <c r="L13" s="5">
        <f>(Cotacoes!L13-Cotacoes!L12)/Cotacoes!L12</f>
        <v>-3.6036036036035269E-3</v>
      </c>
      <c r="M13" s="5">
        <f>(Cotacoes!M13-Cotacoes!M12)/Cotacoes!M12</f>
        <v>-1.5151515151515112E-2</v>
      </c>
      <c r="N13" s="5">
        <f>(Cotacoes!N13-Cotacoes!N12)/Cotacoes!N12</f>
        <v>6.5040650406504117E-3</v>
      </c>
      <c r="O13" s="5">
        <f>(Cotacoes!O13-Cotacoes!O12)/Cotacoes!O12</f>
        <v>-1.0275824770145903E-2</v>
      </c>
      <c r="P13" s="5">
        <f>(Cotacoes!P13-Cotacoes!P12)/Cotacoes!P12</f>
        <v>-1.7649790989317349E-2</v>
      </c>
      <c r="Q13" s="5">
        <f>(Cotacoes!Q13-Cotacoes!Q12)/Cotacoes!Q12</f>
        <v>1.3259272531804244E-2</v>
      </c>
      <c r="R13" s="5">
        <f>(Cotacoes!R13-Cotacoes!R12)/Cotacoes!R12</f>
        <v>-4.3430456294667547E-2</v>
      </c>
      <c r="S13" s="5">
        <f>(Cotacoes!S13-Cotacoes!S12)/Cotacoes!S12</f>
        <v>-2.0188425302826347E-2</v>
      </c>
      <c r="T13" s="5">
        <f>(Cotacoes!T13-Cotacoes!T12)/Cotacoes!T12</f>
        <v>4.8287971905179888E-2</v>
      </c>
      <c r="U13" s="5">
        <f>(Cotacoes!U13-Cotacoes!U12)/Cotacoes!U12</f>
        <v>-1.5238515901060019E-2</v>
      </c>
      <c r="V13" s="5">
        <f>(Cotacoes!V13-Cotacoes!V12)/Cotacoes!V12</f>
        <v>-1.7388978063135517E-2</v>
      </c>
      <c r="W13" s="5"/>
    </row>
    <row r="14" spans="1:25" x14ac:dyDescent="0.2">
      <c r="A14" s="4">
        <v>44580</v>
      </c>
      <c r="B14" s="5">
        <f>(Cotacoes!B14-Cotacoes!B13)/Cotacoes!B13</f>
        <v>1.6300100480071543E-2</v>
      </c>
      <c r="C14" s="5">
        <f>(Cotacoes!C14-Cotacoes!C13)/Cotacoes!C13</f>
        <v>2.2021546261090111E-2</v>
      </c>
      <c r="D14" s="5">
        <f>(Cotacoes!D14-Cotacoes!D13)/Cotacoes!D13</f>
        <v>-4.2992261392949876E-3</v>
      </c>
      <c r="E14" s="5">
        <f>(Cotacoes!E14-Cotacoes!E13)/Cotacoes!E13</f>
        <v>-6.837606837606894E-3</v>
      </c>
      <c r="F14" s="5">
        <f>(Cotacoes!F14-Cotacoes!F13)/Cotacoes!F13</f>
        <v>-9.3930635838149566E-3</v>
      </c>
      <c r="G14" s="5">
        <f>(Cotacoes!G14-Cotacoes!G13)/Cotacoes!G13</f>
        <v>-1.3986013986014929E-3</v>
      </c>
      <c r="H14" s="5">
        <f>(Cotacoes!H14-Cotacoes!H13)/Cotacoes!H13</f>
        <v>8.8417329796639816E-3</v>
      </c>
      <c r="I14" s="5">
        <f>(Cotacoes!I14-Cotacoes!I13)/Cotacoes!I13</f>
        <v>4.2409123307198905E-2</v>
      </c>
      <c r="J14" s="5">
        <f>(Cotacoes!J14-Cotacoes!J13)/Cotacoes!J13</f>
        <v>2.380952380952376E-2</v>
      </c>
      <c r="K14" s="5">
        <f>(Cotacoes!K14-Cotacoes!K13)/Cotacoes!K13</f>
        <v>-1.3063357282821755E-2</v>
      </c>
      <c r="L14" s="5">
        <f>(Cotacoes!L14-Cotacoes!L13)/Cotacoes!L13</f>
        <v>-4.5207956600362307E-3</v>
      </c>
      <c r="M14" s="5">
        <f>(Cotacoes!M14-Cotacoes!M13)/Cotacoes!M13</f>
        <v>-2.4291497975707987E-3</v>
      </c>
      <c r="N14" s="5">
        <f>(Cotacoes!N14-Cotacoes!N13)/Cotacoes!N13</f>
        <v>1.6155088852988345E-3</v>
      </c>
      <c r="O14" s="5">
        <f>(Cotacoes!O14-Cotacoes!O13)/Cotacoes!O13</f>
        <v>2.7322404371579262E-4</v>
      </c>
      <c r="P14" s="5">
        <f>(Cotacoes!P14-Cotacoes!P13)/Cotacoes!P13</f>
        <v>-2.7895981087470444E-2</v>
      </c>
      <c r="Q14" s="5">
        <f>(Cotacoes!Q14-Cotacoes!Q13)/Cotacoes!Q13</f>
        <v>-4.2440318302386362E-3</v>
      </c>
      <c r="R14" s="5">
        <f>(Cotacoes!R14-Cotacoes!R13)/Cotacoes!R13</f>
        <v>5.4022988505747202E-2</v>
      </c>
      <c r="S14" s="5">
        <f>(Cotacoes!S14-Cotacoes!S13)/Cotacoes!S13</f>
        <v>1.6483516483516456E-2</v>
      </c>
      <c r="T14" s="5">
        <f>(Cotacoes!T14-Cotacoes!T13)/Cotacoes!T13</f>
        <v>2.931323283082089E-3</v>
      </c>
      <c r="U14" s="5">
        <f>(Cotacoes!U14-Cotacoes!U13)/Cotacoes!U13</f>
        <v>2.9154518950436294E-3</v>
      </c>
      <c r="V14" s="5">
        <f>(Cotacoes!V14-Cotacoes!V13)/Cotacoes!V13</f>
        <v>3.1854070242308789E-2</v>
      </c>
      <c r="W14" s="5"/>
    </row>
    <row r="15" spans="1:25" x14ac:dyDescent="0.2">
      <c r="A15" s="4">
        <v>44581</v>
      </c>
      <c r="B15" s="5">
        <f>(Cotacoes!B15-Cotacoes!B14)/Cotacoes!B14</f>
        <v>9.3375810172469983E-3</v>
      </c>
      <c r="C15" s="5">
        <f>(Cotacoes!C15-Cotacoes!C14)/Cotacoes!C14</f>
        <v>-1.6896605177491912E-2</v>
      </c>
      <c r="D15" s="5">
        <f>(Cotacoes!D15-Cotacoes!D14)/Cotacoes!D14</f>
        <v>6.9084628670120956E-3</v>
      </c>
      <c r="E15" s="5">
        <f>(Cotacoes!E15-Cotacoes!E14)/Cotacoes!E14</f>
        <v>-8.0321285140562571E-3</v>
      </c>
      <c r="F15" s="5">
        <f>(Cotacoes!F15-Cotacoes!F14)/Cotacoes!F14</f>
        <v>6.5645514223194642E-3</v>
      </c>
      <c r="G15" s="5">
        <f>(Cotacoes!G15-Cotacoes!G14)/Cotacoes!G14</f>
        <v>7.7030812324930817E-3</v>
      </c>
      <c r="H15" s="5">
        <f>(Cotacoes!H15-Cotacoes!H14)/Cotacoes!H14</f>
        <v>6.1349693251533987E-3</v>
      </c>
      <c r="I15" s="5">
        <f>(Cotacoes!I15-Cotacoes!I14)/Cotacoes!I14</f>
        <v>1.2307692307692289E-2</v>
      </c>
      <c r="J15" s="5">
        <f>(Cotacoes!J15-Cotacoes!J14)/Cotacoes!J14</f>
        <v>8.6859064163631906E-3</v>
      </c>
      <c r="K15" s="5">
        <f>(Cotacoes!K15-Cotacoes!K14)/Cotacoes!K14</f>
        <v>-6.6181336863003223E-4</v>
      </c>
      <c r="L15" s="5">
        <f>(Cotacoes!L15-Cotacoes!L14)/Cotacoes!L14</f>
        <v>8.0835603996366995E-2</v>
      </c>
      <c r="M15" s="5">
        <f>(Cotacoes!M15-Cotacoes!M14)/Cotacoes!M14</f>
        <v>-3.2467532467533216E-3</v>
      </c>
      <c r="N15" s="5">
        <f>(Cotacoes!N15-Cotacoes!N14)/Cotacoes!N14</f>
        <v>-1.6129032258064171E-3</v>
      </c>
      <c r="O15" s="5">
        <f>(Cotacoes!O15-Cotacoes!O14)/Cotacoes!O14</f>
        <v>-7.9213329691340938E-3</v>
      </c>
      <c r="P15" s="5">
        <f>(Cotacoes!P15-Cotacoes!P14)/Cotacoes!P14</f>
        <v>2.1400778210116794E-2</v>
      </c>
      <c r="Q15" s="5">
        <f>(Cotacoes!Q15-Cotacoes!Q14)/Cotacoes!Q14</f>
        <v>-2.4862369028591826E-2</v>
      </c>
      <c r="R15" s="5">
        <f>(Cotacoes!R15-Cotacoes!R14)/Cotacoes!R14</f>
        <v>7.2519083969465756E-2</v>
      </c>
      <c r="S15" s="5">
        <f>(Cotacoes!S15-Cotacoes!S14)/Cotacoes!S14</f>
        <v>2.7027027027028052E-3</v>
      </c>
      <c r="T15" s="5">
        <f>(Cotacoes!T15-Cotacoes!T14)/Cotacoes!T14</f>
        <v>8.7682672233820817E-3</v>
      </c>
      <c r="U15" s="5">
        <f>(Cotacoes!U15-Cotacoes!U14)/Cotacoes!U14</f>
        <v>8.5867620751341758E-2</v>
      </c>
      <c r="V15" s="5">
        <f>(Cotacoes!V15-Cotacoes!V14)/Cotacoes!V14</f>
        <v>2.7440633245382564E-2</v>
      </c>
      <c r="W15" s="5"/>
    </row>
    <row r="16" spans="1:25" x14ac:dyDescent="0.2">
      <c r="A16" s="4">
        <v>44582</v>
      </c>
      <c r="B16" s="5">
        <f>(Cotacoes!B16-Cotacoes!B15)/Cotacoes!B15</f>
        <v>-3.5916412712233164E-3</v>
      </c>
      <c r="C16" s="5">
        <f>(Cotacoes!C16-Cotacoes!C15)/Cotacoes!C15</f>
        <v>-2.081362346263009E-2</v>
      </c>
      <c r="D16" s="5">
        <f>(Cotacoes!D16-Cotacoes!D15)/Cotacoes!D15</f>
        <v>1.7152658662092258E-3</v>
      </c>
      <c r="E16" s="5">
        <f>(Cotacoes!E16-Cotacoes!E15)/Cotacoes!E15</f>
        <v>5.7836899942172149E-4</v>
      </c>
      <c r="F16" s="5">
        <f>(Cotacoes!F16-Cotacoes!F15)/Cotacoes!F15</f>
        <v>2.8985507246376192E-3</v>
      </c>
      <c r="G16" s="5">
        <f>(Cotacoes!G16-Cotacoes!G15)/Cotacoes!G15</f>
        <v>-4.1695621959694576E-3</v>
      </c>
      <c r="H16" s="5">
        <f>(Cotacoes!H16-Cotacoes!H15)/Cotacoes!H15</f>
        <v>0</v>
      </c>
      <c r="I16" s="5">
        <f>(Cotacoes!I16-Cotacoes!I15)/Cotacoes!I15</f>
        <v>1.6210739614994949E-2</v>
      </c>
      <c r="J16" s="5">
        <f>(Cotacoes!J16-Cotacoes!J15)/Cotacoes!J15</f>
        <v>0</v>
      </c>
      <c r="K16" s="5">
        <f>(Cotacoes!K16-Cotacoes!K15)/Cotacoes!K15</f>
        <v>-1.0596026490066236E-2</v>
      </c>
      <c r="L16" s="5">
        <f>(Cotacoes!L16-Cotacoes!L15)/Cotacoes!L15</f>
        <v>2.9411764705882321E-2</v>
      </c>
      <c r="M16" s="5">
        <f>(Cotacoes!M16-Cotacoes!M15)/Cotacoes!M15</f>
        <v>1.3843648208469051E-2</v>
      </c>
      <c r="N16" s="5">
        <f>(Cotacoes!N16-Cotacoes!N15)/Cotacoes!N15</f>
        <v>-4.8465266558966472E-3</v>
      </c>
      <c r="O16" s="5">
        <f>(Cotacoes!O16-Cotacoes!O15)/Cotacoes!O15</f>
        <v>-2.7533039647571614E-4</v>
      </c>
      <c r="P16" s="5">
        <f>(Cotacoes!P16-Cotacoes!P15)/Cotacoes!P15</f>
        <v>-2.3333333333333258E-2</v>
      </c>
      <c r="Q16" s="5">
        <f>(Cotacoes!Q16-Cotacoes!Q15)/Cotacoes!Q15</f>
        <v>-1.2019668548533903E-2</v>
      </c>
      <c r="R16" s="5">
        <f>(Cotacoes!R16-Cotacoes!R15)/Cotacoes!R15</f>
        <v>0</v>
      </c>
      <c r="S16" s="5">
        <f>(Cotacoes!S16-Cotacoes!S15)/Cotacoes!S15</f>
        <v>-5.3908355795148693E-3</v>
      </c>
      <c r="T16" s="5">
        <f>(Cotacoes!T16-Cotacoes!T15)/Cotacoes!T15</f>
        <v>-2.4834437086092773E-2</v>
      </c>
      <c r="U16" s="5">
        <f>(Cotacoes!U16-Cotacoes!U15)/Cotacoes!U15</f>
        <v>1.4209225700164698E-2</v>
      </c>
      <c r="V16" s="5">
        <f>(Cotacoes!V16-Cotacoes!V15)/Cotacoes!V15</f>
        <v>1.3353877760657502E-2</v>
      </c>
      <c r="W16" s="5"/>
    </row>
    <row r="17" spans="1:23" x14ac:dyDescent="0.2">
      <c r="A17" s="4">
        <v>44585</v>
      </c>
      <c r="B17" s="5">
        <f>(Cotacoes!B17-Cotacoes!B16)/Cotacoes!B16</f>
        <v>-1.0595303113052965E-2</v>
      </c>
      <c r="C17" s="5">
        <f>(Cotacoes!C17-Cotacoes!C16)/Cotacoes!C16</f>
        <v>-1.2238325281803511E-2</v>
      </c>
      <c r="D17" s="5">
        <f>(Cotacoes!D17-Cotacoes!D16)/Cotacoes!D16</f>
        <v>5.9931506849315317E-3</v>
      </c>
      <c r="E17" s="5">
        <f>(Cotacoes!E17-Cotacoes!E16)/Cotacoes!E16</f>
        <v>-1.1560693641618251E-3</v>
      </c>
      <c r="F17" s="5">
        <f>(Cotacoes!F17-Cotacoes!F16)/Cotacoes!F16</f>
        <v>2.167630057803422E-3</v>
      </c>
      <c r="G17" s="5">
        <f>(Cotacoes!G17-Cotacoes!G16)/Cotacoes!G16</f>
        <v>-2.3028611304954646E-2</v>
      </c>
      <c r="H17" s="5">
        <f>(Cotacoes!H17-Cotacoes!H16)/Cotacoes!H16</f>
        <v>5.2264808362368223E-3</v>
      </c>
      <c r="I17" s="5">
        <f>(Cotacoes!I17-Cotacoes!I16)/Cotacoes!I16</f>
        <v>-1.9940179461615203E-2</v>
      </c>
      <c r="J17" s="5">
        <f>(Cotacoes!J17-Cotacoes!J16)/Cotacoes!J16</f>
        <v>-1.5277777777777699E-2</v>
      </c>
      <c r="K17" s="5">
        <f>(Cotacoes!K17-Cotacoes!K16)/Cotacoes!K16</f>
        <v>2.141900937081662E-2</v>
      </c>
      <c r="L17" s="5">
        <f>(Cotacoes!L17-Cotacoes!L16)/Cotacoes!L16</f>
        <v>-4.2448979591836702E-2</v>
      </c>
      <c r="M17" s="5">
        <f>(Cotacoes!M17-Cotacoes!M16)/Cotacoes!M16</f>
        <v>0</v>
      </c>
      <c r="N17" s="5">
        <f>(Cotacoes!N17-Cotacoes!N16)/Cotacoes!N16</f>
        <v>-6.4935064935064991E-3</v>
      </c>
      <c r="O17" s="5">
        <f>(Cotacoes!O17-Cotacoes!O16)/Cotacoes!O16</f>
        <v>-1.0740842743046007E-2</v>
      </c>
      <c r="P17" s="5">
        <f>(Cotacoes!P17-Cotacoes!P16)/Cotacoes!P16</f>
        <v>5.3632374451486799E-3</v>
      </c>
      <c r="Q17" s="5">
        <f>(Cotacoes!Q17-Cotacoes!Q16)/Cotacoes!Q16</f>
        <v>-2.2857142857142895E-2</v>
      </c>
      <c r="R17" s="5">
        <f>(Cotacoes!R17-Cotacoes!R16)/Cotacoes!R16</f>
        <v>9.6593797661412156E-3</v>
      </c>
      <c r="S17" s="5">
        <f>(Cotacoes!S17-Cotacoes!S16)/Cotacoes!S16</f>
        <v>-1.7163504968382971E-2</v>
      </c>
      <c r="T17" s="5">
        <f>(Cotacoes!T17-Cotacoes!T16)/Cotacoes!T16</f>
        <v>-1.8251273344651941E-2</v>
      </c>
      <c r="U17" s="5">
        <f>(Cotacoes!U17-Cotacoes!U16)/Cotacoes!U16</f>
        <v>-2.335025380710657E-2</v>
      </c>
      <c r="V17" s="5">
        <f>(Cotacoes!V17-Cotacoes!V16)/Cotacoes!V16</f>
        <v>-2.8383172833248795E-2</v>
      </c>
      <c r="W17" s="5"/>
    </row>
    <row r="18" spans="1:23" x14ac:dyDescent="0.2">
      <c r="A18" s="4">
        <v>44586</v>
      </c>
      <c r="B18" s="5">
        <f>(Cotacoes!B18-Cotacoes!B17)/Cotacoes!B17</f>
        <v>2.1638330757341666E-2</v>
      </c>
      <c r="C18" s="5">
        <f>(Cotacoes!C18-Cotacoes!C17)/Cotacoes!C17</f>
        <v>2.2823606129767438E-3</v>
      </c>
      <c r="D18" s="5">
        <f>(Cotacoes!D18-Cotacoes!D17)/Cotacoes!D17</f>
        <v>3.2340425531914962E-2</v>
      </c>
      <c r="E18" s="5">
        <f>(Cotacoes!E18-Cotacoes!E17)/Cotacoes!E17</f>
        <v>3.5879629629629477E-2</v>
      </c>
      <c r="F18" s="5">
        <f>(Cotacoes!F18-Cotacoes!F17)/Cotacoes!F17</f>
        <v>3.3165104542177422E-2</v>
      </c>
      <c r="G18" s="5">
        <f>(Cotacoes!G18-Cotacoes!G17)/Cotacoes!G17</f>
        <v>1.000000000000004E-2</v>
      </c>
      <c r="H18" s="5">
        <f>(Cotacoes!H18-Cotacoes!H17)/Cotacoes!H17</f>
        <v>2.5129982668977553E-2</v>
      </c>
      <c r="I18" s="5">
        <f>(Cotacoes!I18-Cotacoes!I17)/Cotacoes!I17</f>
        <v>2.1363173957273739E-2</v>
      </c>
      <c r="J18" s="5">
        <f>(Cotacoes!J18-Cotacoes!J17)/Cotacoes!J17</f>
        <v>5.3596614950634051E-3</v>
      </c>
      <c r="K18" s="5">
        <f>(Cotacoes!K18-Cotacoes!K17)/Cotacoes!K17</f>
        <v>3.9318479685452143E-2</v>
      </c>
      <c r="L18" s="5">
        <f>(Cotacoes!L18-Cotacoes!L17)/Cotacoes!L17</f>
        <v>1.9607843137254936E-2</v>
      </c>
      <c r="M18" s="5">
        <f>(Cotacoes!M18-Cotacoes!M17)/Cotacoes!M17</f>
        <v>2.5702811244979945E-2</v>
      </c>
      <c r="N18" s="5">
        <f>(Cotacoes!N18-Cotacoes!N17)/Cotacoes!N17</f>
        <v>2.6143790849673224E-2</v>
      </c>
      <c r="O18" s="5">
        <f>(Cotacoes!O18-Cotacoes!O17)/Cotacoes!O17</f>
        <v>6.1247216035634428E-3</v>
      </c>
      <c r="P18" s="5">
        <f>(Cotacoes!P18-Cotacoes!P17)/Cotacoes!P17</f>
        <v>5.8195926285158793E-3</v>
      </c>
      <c r="Q18" s="5">
        <f>(Cotacoes!Q18-Cotacoes!Q17)/Cotacoes!Q17</f>
        <v>-2.6032823995472468E-2</v>
      </c>
      <c r="R18" s="5">
        <f>(Cotacoes!R18-Cotacoes!R17)/Cotacoes!R17</f>
        <v>4.7834843907351425E-2</v>
      </c>
      <c r="S18" s="5">
        <f>(Cotacoes!S18-Cotacoes!S17)/Cotacoes!S17</f>
        <v>1.9301470588235208E-2</v>
      </c>
      <c r="T18" s="5">
        <f>(Cotacoes!T18-Cotacoes!T17)/Cotacoes!T17</f>
        <v>3.0696065715521005E-2</v>
      </c>
      <c r="U18" s="5">
        <f>(Cotacoes!U18-Cotacoes!U17)/Cotacoes!U17</f>
        <v>3.9708939708939635E-2</v>
      </c>
      <c r="V18" s="5">
        <f>(Cotacoes!V18-Cotacoes!V17)/Cotacoes!V17</f>
        <v>4.0688575899843378E-2</v>
      </c>
      <c r="W18" s="5"/>
    </row>
    <row r="19" spans="1:23" x14ac:dyDescent="0.2">
      <c r="A19" s="4">
        <v>44587</v>
      </c>
      <c r="B19" s="5">
        <f>(Cotacoes!B19-Cotacoes!B18)/Cotacoes!B18</f>
        <v>7.1320510049707863E-3</v>
      </c>
      <c r="C19" s="5">
        <f>(Cotacoes!C19-Cotacoes!C18)/Cotacoes!C18</f>
        <v>2.7651268705270286E-3</v>
      </c>
      <c r="D19" s="5">
        <f>(Cotacoes!D19-Cotacoes!D18)/Cotacoes!D18</f>
        <v>2.6380873866446702E-2</v>
      </c>
      <c r="E19" s="5">
        <f>(Cotacoes!E19-Cotacoes!E18)/Cotacoes!E18</f>
        <v>1.0614525139664877E-2</v>
      </c>
      <c r="F19" s="5">
        <f>(Cotacoes!F19-Cotacoes!F18)/Cotacoes!F18</f>
        <v>2.9309141660851357E-2</v>
      </c>
      <c r="G19" s="5">
        <f>(Cotacoes!G19-Cotacoes!G18)/Cotacoes!G18</f>
        <v>1.768033946251768E-2</v>
      </c>
      <c r="H19" s="5">
        <f>(Cotacoes!H19-Cotacoes!H18)/Cotacoes!H18</f>
        <v>-9.2983939137784802E-3</v>
      </c>
      <c r="I19" s="5">
        <f>(Cotacoes!I19-Cotacoes!I18)/Cotacoes!I18</f>
        <v>3.1540504648074341E-2</v>
      </c>
      <c r="J19" s="5">
        <f>(Cotacoes!J19-Cotacoes!J18)/Cotacoes!J18</f>
        <v>1.6554433221099785E-2</v>
      </c>
      <c r="K19" s="5">
        <f>(Cotacoes!K19-Cotacoes!K18)/Cotacoes!K18</f>
        <v>1.261034047919379E-3</v>
      </c>
      <c r="L19" s="5">
        <f>(Cotacoes!L19-Cotacoes!L18)/Cotacoes!L18</f>
        <v>3.5117056856187281E-2</v>
      </c>
      <c r="M19" s="5">
        <f>(Cotacoes!M19-Cotacoes!M18)/Cotacoes!M18</f>
        <v>-4.6985121378229225E-3</v>
      </c>
      <c r="N19" s="5">
        <f>(Cotacoes!N19-Cotacoes!N18)/Cotacoes!N18</f>
        <v>9.5541401273884722E-3</v>
      </c>
      <c r="O19" s="5">
        <f>(Cotacoes!O19-Cotacoes!O18)/Cotacoes!O18</f>
        <v>-3.1267293857221982E-2</v>
      </c>
      <c r="P19" s="5">
        <f>(Cotacoes!P19-Cotacoes!P18)/Cotacoes!P18</f>
        <v>-2.0732883317261318E-2</v>
      </c>
      <c r="Q19" s="5">
        <f>(Cotacoes!Q19-Cotacoes!Q18)/Cotacoes!Q18</f>
        <v>-1.8787526631803331E-2</v>
      </c>
      <c r="R19" s="5">
        <f>(Cotacoes!R19-Cotacoes!R18)/Cotacoes!R18</f>
        <v>2.7390677558865945E-2</v>
      </c>
      <c r="S19" s="5">
        <f>(Cotacoes!S19-Cotacoes!S18)/Cotacoes!S18</f>
        <v>-9.0171325518483198E-4</v>
      </c>
      <c r="T19" s="5">
        <f>(Cotacoes!T19-Cotacoes!T18)/Cotacoes!T18</f>
        <v>-1.2164429530201307E-2</v>
      </c>
      <c r="U19" s="5">
        <f>(Cotacoes!U19-Cotacoes!U18)/Cotacoes!U18</f>
        <v>3.5992801439712147E-2</v>
      </c>
      <c r="V19" s="5">
        <f>(Cotacoes!V19-Cotacoes!V18)/Cotacoes!V18</f>
        <v>3.7343358395990026E-2</v>
      </c>
      <c r="W19" s="5"/>
    </row>
    <row r="20" spans="1:23" x14ac:dyDescent="0.2">
      <c r="A20" s="4">
        <v>44588</v>
      </c>
      <c r="B20" s="5">
        <f>(Cotacoes!B20-Cotacoes!B19)/Cotacoes!B19</f>
        <v>1.2124463519313256E-2</v>
      </c>
      <c r="C20" s="5">
        <f>(Cotacoes!C20-Cotacoes!C19)/Cotacoes!C19</f>
        <v>2.2708840227088495E-3</v>
      </c>
      <c r="D20" s="5">
        <f>(Cotacoes!D20-Cotacoes!D19)/Cotacoes!D19</f>
        <v>8.0321285140574808E-4</v>
      </c>
      <c r="E20" s="5">
        <f>(Cotacoes!E20-Cotacoes!E19)/Cotacoes!E19</f>
        <v>3.8695411829740346E-3</v>
      </c>
      <c r="F20" s="5">
        <f>(Cotacoes!F20-Cotacoes!F19)/Cotacoes!F19</f>
        <v>3.3898305084746243E-3</v>
      </c>
      <c r="G20" s="5">
        <f>(Cotacoes!G20-Cotacoes!G19)/Cotacoes!G19</f>
        <v>5.4204308547602456E-2</v>
      </c>
      <c r="H20" s="5">
        <f>(Cotacoes!H20-Cotacoes!H19)/Cotacoes!H19</f>
        <v>1.3651877133105813E-2</v>
      </c>
      <c r="I20" s="5">
        <f>(Cotacoes!I20-Cotacoes!I19)/Cotacoes!I19</f>
        <v>-5.7933698101062022E-3</v>
      </c>
      <c r="J20" s="5">
        <f>(Cotacoes!J20-Cotacoes!J19)/Cotacoes!J19</f>
        <v>2.1253105161468486E-2</v>
      </c>
      <c r="K20" s="5">
        <f>(Cotacoes!K20-Cotacoes!K19)/Cotacoes!K19</f>
        <v>5.0377833753148657E-3</v>
      </c>
      <c r="L20" s="5">
        <f>(Cotacoes!L20-Cotacoes!L19)/Cotacoes!L19</f>
        <v>4.9273021001615458E-2</v>
      </c>
      <c r="M20" s="5">
        <f>(Cotacoes!M20-Cotacoes!M19)/Cotacoes!M19</f>
        <v>2.6750590086546015E-2</v>
      </c>
      <c r="N20" s="5">
        <f>(Cotacoes!N20-Cotacoes!N19)/Cotacoes!N19</f>
        <v>1.4195583596214489E-2</v>
      </c>
      <c r="O20" s="5">
        <f>(Cotacoes!O20-Cotacoes!O19)/Cotacoes!O19</f>
        <v>7.712082262210887E-3</v>
      </c>
      <c r="P20" s="5">
        <f>(Cotacoes!P20-Cotacoes!P19)/Cotacoes!P19</f>
        <v>-1.2801575578532646E-2</v>
      </c>
      <c r="Q20" s="5">
        <f>(Cotacoes!Q20-Cotacoes!Q19)/Cotacoes!Q19</f>
        <v>5.1125148045795571E-2</v>
      </c>
      <c r="R20" s="5">
        <f>(Cotacoes!R20-Cotacoes!R19)/Cotacoes!R19</f>
        <v>3.55472404115997E-2</v>
      </c>
      <c r="S20" s="5">
        <f>(Cotacoes!S20-Cotacoes!S19)/Cotacoes!S19</f>
        <v>1.0830324909747223E-2</v>
      </c>
      <c r="T20" s="5">
        <f>(Cotacoes!T20-Cotacoes!T19)/Cotacoes!T19</f>
        <v>9.3418259023354076E-3</v>
      </c>
      <c r="U20" s="5">
        <f>(Cotacoes!U20-Cotacoes!U19)/Cotacoes!U19</f>
        <v>1.9301293186639663E-4</v>
      </c>
      <c r="V20" s="5">
        <f>(Cotacoes!V20-Cotacoes!V19)/Cotacoes!V19</f>
        <v>3.8656680357573468E-3</v>
      </c>
      <c r="W20" s="5"/>
    </row>
    <row r="21" spans="1:23" x14ac:dyDescent="0.2">
      <c r="A21" s="4">
        <v>44589</v>
      </c>
      <c r="B21" s="5">
        <f>(Cotacoes!B21-Cotacoes!B20)/Cotacoes!B20</f>
        <v>-7.2087352909996037E-3</v>
      </c>
      <c r="C21" s="5">
        <f>(Cotacoes!C21-Cotacoes!C20)/Cotacoes!C20</f>
        <v>-9.7103091115067399E-3</v>
      </c>
      <c r="D21" s="5">
        <f>(Cotacoes!D21-Cotacoes!D20)/Cotacoes!D20</f>
        <v>-4.0128410914927769E-2</v>
      </c>
      <c r="E21" s="5">
        <f>(Cotacoes!E21-Cotacoes!E20)/Cotacoes!E20</f>
        <v>1.3766519823788546E-2</v>
      </c>
      <c r="F21" s="5">
        <f>(Cotacoes!F21-Cotacoes!F20)/Cotacoes!F20</f>
        <v>-2.9729729729729815E-2</v>
      </c>
      <c r="G21" s="5">
        <f>(Cotacoes!G21-Cotacoes!G20)/Cotacoes!G20</f>
        <v>-2.4060646011865538E-2</v>
      </c>
      <c r="H21" s="5">
        <f>(Cotacoes!H21-Cotacoes!H20)/Cotacoes!H20</f>
        <v>6.7340067340067398E-3</v>
      </c>
      <c r="I21" s="5">
        <f>(Cotacoes!I21-Cotacoes!I20)/Cotacoes!I20</f>
        <v>1.5215280025898312E-2</v>
      </c>
      <c r="J21" s="5">
        <f>(Cotacoes!J21-Cotacoes!J20)/Cotacoes!J20</f>
        <v>-1.3513513513513514E-2</v>
      </c>
      <c r="K21" s="5">
        <f>(Cotacoes!K21-Cotacoes!K20)/Cotacoes!K20</f>
        <v>1.4411027568922331E-2</v>
      </c>
      <c r="L21" s="5">
        <f>(Cotacoes!L21-Cotacoes!L20)/Cotacoes!L20</f>
        <v>1.924557351809084E-2</v>
      </c>
      <c r="M21" s="5">
        <f>(Cotacoes!M21-Cotacoes!M20)/Cotacoes!M20</f>
        <v>-3.0651340996168609E-2</v>
      </c>
      <c r="N21" s="5">
        <f>(Cotacoes!N21-Cotacoes!N20)/Cotacoes!N20</f>
        <v>9.3312597200622856E-3</v>
      </c>
      <c r="O21" s="5">
        <f>(Cotacoes!O21-Cotacoes!O20)/Cotacoes!O20</f>
        <v>2.2108843537414997E-2</v>
      </c>
      <c r="P21" s="5">
        <f>(Cotacoes!P21-Cotacoes!P20)/Cotacoes!P20</f>
        <v>-1.2967581047381624E-2</v>
      </c>
      <c r="Q21" s="5">
        <f>(Cotacoes!Q21-Cotacoes!Q20)/Cotacoes!Q20</f>
        <v>1.3896713615023511E-2</v>
      </c>
      <c r="R21" s="5">
        <f>(Cotacoes!R21-Cotacoes!R20)/Cotacoes!R20</f>
        <v>-2.3486901535682003E-2</v>
      </c>
      <c r="S21" s="5">
        <f>(Cotacoes!S21-Cotacoes!S20)/Cotacoes!S20</f>
        <v>1.1160714285714286E-2</v>
      </c>
      <c r="T21" s="5">
        <f>(Cotacoes!T21-Cotacoes!T20)/Cotacoes!T20</f>
        <v>1.2620950778292443E-3</v>
      </c>
      <c r="U21" s="5">
        <f>(Cotacoes!U21-Cotacoes!U20)/Cotacoes!U20</f>
        <v>-5.596294866846761E-3</v>
      </c>
      <c r="V21" s="5">
        <f>(Cotacoes!V21-Cotacoes!V20)/Cotacoes!V20</f>
        <v>-4.8134777376645062E-4</v>
      </c>
      <c r="W21" s="5"/>
    </row>
    <row r="22" spans="1:23" x14ac:dyDescent="0.2">
      <c r="A22" s="4">
        <v>44592</v>
      </c>
      <c r="B22" s="5">
        <f>(Cotacoes!B22-Cotacoes!B21)/Cotacoes!B21</f>
        <v>7.4746396155892338E-4</v>
      </c>
      <c r="C22" s="5">
        <f>(Cotacoes!C22-Cotacoes!C21)/Cotacoes!C21</f>
        <v>-3.3338780846543542E-2</v>
      </c>
      <c r="D22" s="5">
        <f>(Cotacoes!D22-Cotacoes!D21)/Cotacoes!D21</f>
        <v>-5.8528428093645715E-3</v>
      </c>
      <c r="E22" s="5">
        <f>(Cotacoes!E22-Cotacoes!E21)/Cotacoes!E21</f>
        <v>2.1727322107550167E-2</v>
      </c>
      <c r="F22" s="5">
        <f>(Cotacoes!F22-Cotacoes!F21)/Cotacoes!F21</f>
        <v>-1.6713091922005586E-2</v>
      </c>
      <c r="G22" s="5">
        <f>(Cotacoes!G22-Cotacoes!G21)/Cotacoes!G21</f>
        <v>1.6886187098953058E-2</v>
      </c>
      <c r="H22" s="5">
        <f>(Cotacoes!H22-Cotacoes!H21)/Cotacoes!H21</f>
        <v>5.0167224080266484E-3</v>
      </c>
      <c r="I22" s="5">
        <f>(Cotacoes!I22-Cotacoes!I21)/Cotacoes!I21</f>
        <v>-3.82653061224493E-3</v>
      </c>
      <c r="J22" s="5">
        <f>(Cotacoes!J22-Cotacoes!J21)/Cotacoes!J21</f>
        <v>2.3561643835616423E-2</v>
      </c>
      <c r="K22" s="5">
        <f>(Cotacoes!K22-Cotacoes!K21)/Cotacoes!K21</f>
        <v>8.6473131562691177E-3</v>
      </c>
      <c r="L22" s="5">
        <f>(Cotacoes!L22-Cotacoes!L21)/Cotacoes!L21</f>
        <v>-8.308157099697842E-3</v>
      </c>
      <c r="M22" s="5">
        <f>(Cotacoes!M22-Cotacoes!M21)/Cotacoes!M21</f>
        <v>2.371541501976234E-3</v>
      </c>
      <c r="N22" s="5">
        <f>(Cotacoes!N22-Cotacoes!N21)/Cotacoes!N21</f>
        <v>1.2326656394453015E-2</v>
      </c>
      <c r="O22" s="5">
        <f>(Cotacoes!O22-Cotacoes!O21)/Cotacoes!O21</f>
        <v>-2.6899611758180775E-2</v>
      </c>
      <c r="P22" s="5">
        <f>(Cotacoes!P22-Cotacoes!P21)/Cotacoes!P21</f>
        <v>2.5265285497726126E-2</v>
      </c>
      <c r="Q22" s="5">
        <f>(Cotacoes!Q22-Cotacoes!Q21)/Cotacoes!Q21</f>
        <v>-1.6669753658085462E-3</v>
      </c>
      <c r="R22" s="5">
        <f>(Cotacoes!R22-Cotacoes!R21)/Cotacoes!R21</f>
        <v>3.0527289546716008E-2</v>
      </c>
      <c r="S22" s="5">
        <f>(Cotacoes!S22-Cotacoes!S21)/Cotacoes!S21</f>
        <v>1.3686534216335642E-2</v>
      </c>
      <c r="T22" s="5">
        <f>(Cotacoes!T22-Cotacoes!T21)/Cotacoes!T21</f>
        <v>3.3613445378150543E-3</v>
      </c>
      <c r="U22" s="5">
        <f>(Cotacoes!U22-Cotacoes!U21)/Cotacoes!U21</f>
        <v>2.0182418008926822E-2</v>
      </c>
      <c r="V22" s="5">
        <f>(Cotacoes!V22-Cotacoes!V21)/Cotacoes!V21</f>
        <v>7.464483505899404E-3</v>
      </c>
      <c r="W22" s="5"/>
    </row>
    <row r="23" spans="1:23" x14ac:dyDescent="0.2">
      <c r="A23" s="4">
        <v>44593</v>
      </c>
      <c r="B23" s="5">
        <f>(Cotacoes!B23-Cotacoes!B22)/Cotacoes!B22</f>
        <v>1.6858728126333742E-2</v>
      </c>
      <c r="C23" s="5">
        <f>(Cotacoes!C23-Cotacoes!C22)/Cotacoes!C22</f>
        <v>5.4775993237531732E-2</v>
      </c>
      <c r="D23" s="5">
        <f>(Cotacoes!D23-Cotacoes!D22)/Cotacoes!D22</f>
        <v>2.018502943650128E-2</v>
      </c>
      <c r="E23" s="5">
        <f>(Cotacoes!E23-Cotacoes!E22)/Cotacoes!E22</f>
        <v>6.9112174375333636E-3</v>
      </c>
      <c r="F23" s="5">
        <f>(Cotacoes!F23-Cotacoes!F22)/Cotacoes!F22</f>
        <v>2.9036827195467435E-2</v>
      </c>
      <c r="G23" s="5">
        <f>(Cotacoes!G23-Cotacoes!G22)/Cotacoes!G22</f>
        <v>-2.9890401859847182E-3</v>
      </c>
      <c r="H23" s="5">
        <f>(Cotacoes!H23-Cotacoes!H22)/Cotacoes!H22</f>
        <v>-1.6638935108152725E-3</v>
      </c>
      <c r="I23" s="5">
        <f>(Cotacoes!I23-Cotacoes!I22)/Cotacoes!I22</f>
        <v>-1.8886043533930853E-2</v>
      </c>
      <c r="J23" s="5">
        <f>(Cotacoes!J23-Cotacoes!J22)/Cotacoes!J22</f>
        <v>-9.1006423982868383E-3</v>
      </c>
      <c r="K23" s="5">
        <f>(Cotacoes!K23-Cotacoes!K22)/Cotacoes!K22</f>
        <v>3.6742192284141017E-3</v>
      </c>
      <c r="L23" s="5">
        <f>(Cotacoes!L23-Cotacoes!L22)/Cotacoes!L22</f>
        <v>-2.4371667936024393E-2</v>
      </c>
      <c r="M23" s="5">
        <f>(Cotacoes!M23-Cotacoes!M22)/Cotacoes!M22</f>
        <v>-7.8864353312302557E-3</v>
      </c>
      <c r="N23" s="5">
        <f>(Cotacoes!N23-Cotacoes!N22)/Cotacoes!N22</f>
        <v>1.5220700152206675E-3</v>
      </c>
      <c r="O23" s="5">
        <f>(Cotacoes!O23-Cotacoes!O22)/Cotacoes!O22</f>
        <v>-3.1347962382447E-3</v>
      </c>
      <c r="P23" s="5">
        <f>(Cotacoes!P23-Cotacoes!P22)/Cotacoes!P22</f>
        <v>1.8235584031542681E-2</v>
      </c>
      <c r="Q23" s="5">
        <f>(Cotacoes!Q23-Cotacoes!Q22)/Cotacoes!Q22</f>
        <v>7.4211502782931095E-3</v>
      </c>
      <c r="R23" s="5">
        <f>(Cotacoes!R23-Cotacoes!R22)/Cotacoes!R22</f>
        <v>2.2441651705564251E-3</v>
      </c>
      <c r="S23" s="5">
        <f>(Cotacoes!S23-Cotacoes!S22)/Cotacoes!S22</f>
        <v>-4.3554006968647924E-4</v>
      </c>
      <c r="T23" s="5">
        <f>(Cotacoes!T23-Cotacoes!T22)/Cotacoes!T22</f>
        <v>-7.5376884422110437E-3</v>
      </c>
      <c r="U23" s="5">
        <f>(Cotacoes!U23-Cotacoes!U22)/Cotacoes!U22</f>
        <v>1.1413353623740208E-3</v>
      </c>
      <c r="V23" s="5">
        <f>(Cotacoes!V23-Cotacoes!V22)/Cotacoes!V22</f>
        <v>1.9598470363288555E-2</v>
      </c>
      <c r="W23" s="5"/>
    </row>
    <row r="24" spans="1:23" x14ac:dyDescent="0.2">
      <c r="A24" s="4">
        <v>44594</v>
      </c>
      <c r="B24" s="5">
        <f>(Cotacoes!B24-Cotacoes!B23)/Cotacoes!B23</f>
        <v>-1.1017838405036697E-2</v>
      </c>
      <c r="C24" s="5">
        <f>(Cotacoes!C24-Cotacoes!C23)/Cotacoes!C23</f>
        <v>5.6098733771437958E-3</v>
      </c>
      <c r="D24" s="5">
        <f>(Cotacoes!D24-Cotacoes!D23)/Cotacoes!D23</f>
        <v>-1.401483924154987E-2</v>
      </c>
      <c r="E24" s="5">
        <f>(Cotacoes!E24-Cotacoes!E23)/Cotacoes!E23</f>
        <v>-1.5839493136219678E-2</v>
      </c>
      <c r="F24" s="5">
        <f>(Cotacoes!F24-Cotacoes!F23)/Cotacoes!F23</f>
        <v>-1.7894012388162409E-2</v>
      </c>
      <c r="G24" s="5">
        <f>(Cotacoes!G24-Cotacoes!G23)/Cotacoes!G23</f>
        <v>-8.9940039973350951E-3</v>
      </c>
      <c r="H24" s="5">
        <f>(Cotacoes!H24-Cotacoes!H23)/Cotacoes!H23</f>
        <v>-1.6666666666666607E-2</v>
      </c>
      <c r="I24" s="5">
        <f>(Cotacoes!I24-Cotacoes!I23)/Cotacoes!I23</f>
        <v>-2.153344208809136E-2</v>
      </c>
      <c r="J24" s="5">
        <f>(Cotacoes!J24-Cotacoes!J23)/Cotacoes!J23</f>
        <v>-1.6207455429497607E-2</v>
      </c>
      <c r="K24" s="5">
        <f>(Cotacoes!K24-Cotacoes!K23)/Cotacoes!K23</f>
        <v>-1.8303843807199554E-2</v>
      </c>
      <c r="L24" s="5">
        <f>(Cotacoes!L24-Cotacoes!L23)/Cotacoes!L23</f>
        <v>-9.3676814988291179E-3</v>
      </c>
      <c r="M24" s="5">
        <f>(Cotacoes!M24-Cotacoes!M23)/Cotacoes!M23</f>
        <v>-2.2257551669316325E-2</v>
      </c>
      <c r="N24" s="5">
        <f>(Cotacoes!N24-Cotacoes!N23)/Cotacoes!N23</f>
        <v>-1.6717325227963573E-2</v>
      </c>
      <c r="O24" s="5">
        <f>(Cotacoes!O24-Cotacoes!O23)/Cotacoes!O23</f>
        <v>-5.1457975986277799E-3</v>
      </c>
      <c r="P24" s="5">
        <f>(Cotacoes!P24-Cotacoes!P23)/Cotacoes!P23</f>
        <v>-3.3397870280735785E-2</v>
      </c>
      <c r="Q24" s="5">
        <f>(Cotacoes!Q24-Cotacoes!Q23)/Cotacoes!Q23</f>
        <v>-6.2615101289133761E-3</v>
      </c>
      <c r="R24" s="5">
        <f>(Cotacoes!R24-Cotacoes!R23)/Cotacoes!R23</f>
        <v>-2.9108822212270426E-2</v>
      </c>
      <c r="S24" s="5">
        <f>(Cotacoes!S24-Cotacoes!S23)/Cotacoes!S23</f>
        <v>-8.7145969498908819E-4</v>
      </c>
      <c r="T24" s="5">
        <f>(Cotacoes!T24-Cotacoes!T23)/Cotacoes!T23</f>
        <v>-2.9957805907173032E-2</v>
      </c>
      <c r="U24" s="5">
        <f>(Cotacoes!U24-Cotacoes!U23)/Cotacoes!U23</f>
        <v>-3.6101083032491891E-3</v>
      </c>
      <c r="V24" s="5">
        <f>(Cotacoes!V24-Cotacoes!V23)/Cotacoes!V23</f>
        <v>8.907641819034284E-3</v>
      </c>
      <c r="W24" s="5"/>
    </row>
    <row r="25" spans="1:23" x14ac:dyDescent="0.2">
      <c r="A25" s="4">
        <v>44595</v>
      </c>
      <c r="B25" s="5">
        <f>(Cotacoes!B25-Cotacoes!B24)/Cotacoes!B24</f>
        <v>-5.8355437665782188E-3</v>
      </c>
      <c r="C25" s="5">
        <f>(Cotacoes!C25-Cotacoes!C24)/Cotacoes!C24</f>
        <v>-4.7816385081289663E-4</v>
      </c>
      <c r="D25" s="5">
        <f>(Cotacoes!D25-Cotacoes!D24)/Cotacoes!D24</f>
        <v>-1.4214046822742616E-2</v>
      </c>
      <c r="E25" s="5">
        <f>(Cotacoes!E25-Cotacoes!E24)/Cotacoes!E24</f>
        <v>1.1802575107296076E-2</v>
      </c>
      <c r="F25" s="5">
        <f>(Cotacoes!F25-Cotacoes!F24)/Cotacoes!F24</f>
        <v>-1.0511562718990916E-2</v>
      </c>
      <c r="G25" s="5">
        <f>(Cotacoes!G25-Cotacoes!G24)/Cotacoes!G24</f>
        <v>-2.5882352941176457E-2</v>
      </c>
      <c r="H25" s="5">
        <f>(Cotacoes!H25-Cotacoes!H24)/Cotacoes!H24</f>
        <v>6.7796610169491584E-3</v>
      </c>
      <c r="I25" s="5">
        <f>(Cotacoes!I25-Cotacoes!I24)/Cotacoes!I24</f>
        <v>1.3671223741247088E-2</v>
      </c>
      <c r="J25" s="5">
        <f>(Cotacoes!J25-Cotacoes!J24)/Cotacoes!J24</f>
        <v>7.4135090609554095E-3</v>
      </c>
      <c r="K25" s="5">
        <f>(Cotacoes!K25-Cotacoes!K24)/Cotacoes!K24</f>
        <v>1.4916096954630108E-2</v>
      </c>
      <c r="L25" s="5">
        <f>(Cotacoes!L25-Cotacoes!L24)/Cotacoes!L24</f>
        <v>7.8802206461779255E-4</v>
      </c>
      <c r="M25" s="5">
        <f>(Cotacoes!M25-Cotacoes!M24)/Cotacoes!M24</f>
        <v>-4.0650406504065617E-3</v>
      </c>
      <c r="N25" s="5">
        <f>(Cotacoes!N25-Cotacoes!N24)/Cotacoes!N24</f>
        <v>3.0911901081917253E-3</v>
      </c>
      <c r="O25" s="5">
        <f>(Cotacoes!O25-Cotacoes!O24)/Cotacoes!O24</f>
        <v>-2.6724137931034477E-2</v>
      </c>
      <c r="P25" s="5">
        <f>(Cotacoes!P25-Cotacoes!P24)/Cotacoes!P24</f>
        <v>-4.3565348022032921E-2</v>
      </c>
      <c r="Q25" s="5">
        <f>(Cotacoes!Q25-Cotacoes!Q24)/Cotacoes!Q24</f>
        <v>-3.3358042994810918E-3</v>
      </c>
      <c r="R25" s="5">
        <f>(Cotacoes!R25-Cotacoes!R24)/Cotacoes!R24</f>
        <v>-1.3376383763837599E-2</v>
      </c>
      <c r="S25" s="5">
        <f>(Cotacoes!S25-Cotacoes!S24)/Cotacoes!S24</f>
        <v>1.9624945486262507E-2</v>
      </c>
      <c r="T25" s="5">
        <f>(Cotacoes!T25-Cotacoes!T24)/Cotacoes!T24</f>
        <v>-1.2614180078294875E-2</v>
      </c>
      <c r="U25" s="5">
        <f>(Cotacoes!U25-Cotacoes!U24)/Cotacoes!U24</f>
        <v>-1.6399694889397395E-2</v>
      </c>
      <c r="V25" s="5">
        <f>(Cotacoes!V25-Cotacoes!V24)/Cotacoes!V24</f>
        <v>1.1849442379182109E-2</v>
      </c>
      <c r="W25" s="5"/>
    </row>
    <row r="26" spans="1:23" x14ac:dyDescent="0.2">
      <c r="A26" s="4">
        <v>44596</v>
      </c>
      <c r="B26" s="5">
        <f>(Cotacoes!B26-Cotacoes!B25)/Cotacoes!B25</f>
        <v>5.229455709711792E-3</v>
      </c>
      <c r="C26" s="5">
        <f>(Cotacoes!C26-Cotacoes!C25)/Cotacoes!C25</f>
        <v>2.6152128847073727E-2</v>
      </c>
      <c r="D26" s="5">
        <f>(Cotacoes!D26-Cotacoes!D25)/Cotacoes!D25</f>
        <v>1.781170483460567E-2</v>
      </c>
      <c r="E26" s="5">
        <f>(Cotacoes!E26-Cotacoes!E25)/Cotacoes!E25</f>
        <v>2.6511134676564536E-3</v>
      </c>
      <c r="F26" s="5">
        <f>(Cotacoes!F26-Cotacoes!F25)/Cotacoes!F25</f>
        <v>1.7705382436260624E-2</v>
      </c>
      <c r="G26" s="5">
        <f>(Cotacoes!G26-Cotacoes!G25)/Cotacoes!G25</f>
        <v>-3.1055900621117963E-3</v>
      </c>
      <c r="H26" s="5">
        <f>(Cotacoes!H26-Cotacoes!H25)/Cotacoes!H25</f>
        <v>-1.6835016835017971E-3</v>
      </c>
      <c r="I26" s="5">
        <f>(Cotacoes!I26-Cotacoes!I25)/Cotacoes!I25</f>
        <v>-1.9078947368420997E-2</v>
      </c>
      <c r="J26" s="5">
        <f>(Cotacoes!J26-Cotacoes!J25)/Cotacoes!J25</f>
        <v>-2.2349414009266839E-2</v>
      </c>
      <c r="K26" s="5">
        <f>(Cotacoes!K26-Cotacoes!K25)/Cotacoes!K25</f>
        <v>6.1236987140233581E-3</v>
      </c>
      <c r="L26" s="5">
        <f>(Cotacoes!L26-Cotacoes!L25)/Cotacoes!L25</f>
        <v>-7.874015748031329E-4</v>
      </c>
      <c r="M26" s="5">
        <f>(Cotacoes!M26-Cotacoes!M25)/Cotacoes!M25</f>
        <v>-3.2653061224489099E-3</v>
      </c>
      <c r="N26" s="5">
        <f>(Cotacoes!N26-Cotacoes!N25)/Cotacoes!N25</f>
        <v>2.0030816640986115E-2</v>
      </c>
      <c r="O26" s="5">
        <f>(Cotacoes!O26-Cotacoes!O25)/Cotacoes!O25</f>
        <v>1.0924121641570847E-2</v>
      </c>
      <c r="P26" s="5">
        <f>(Cotacoes!P26-Cotacoes!P25)/Cotacoes!P25</f>
        <v>-7.8534031413613672E-3</v>
      </c>
      <c r="Q26" s="5">
        <f>(Cotacoes!Q26-Cotacoes!Q25)/Cotacoes!Q25</f>
        <v>2.5474153960580094E-2</v>
      </c>
      <c r="R26" s="5">
        <f>(Cotacoes!R26-Cotacoes!R25)/Cotacoes!R25</f>
        <v>-8.4151472650771247E-3</v>
      </c>
      <c r="S26" s="5">
        <f>(Cotacoes!S26-Cotacoes!S25)/Cotacoes!S25</f>
        <v>2.4807527801539858E-2</v>
      </c>
      <c r="T26" s="5">
        <f>(Cotacoes!T26-Cotacoes!T25)/Cotacoes!T25</f>
        <v>7.3568281938326069E-2</v>
      </c>
      <c r="U26" s="5">
        <f>(Cotacoes!U26-Cotacoes!U25)/Cotacoes!U25</f>
        <v>-4.8468398604110119E-3</v>
      </c>
      <c r="V26" s="5">
        <f>(Cotacoes!V26-Cotacoes!V25)/Cotacoes!V25</f>
        <v>-8.7256027554533985E-3</v>
      </c>
      <c r="W26" s="5"/>
    </row>
    <row r="27" spans="1:23" x14ac:dyDescent="0.2">
      <c r="A27" s="4">
        <v>44599</v>
      </c>
      <c r="B27" s="5">
        <f>(Cotacoes!B27-Cotacoes!B26)/Cotacoes!B26</f>
        <v>3.0788831086103223E-3</v>
      </c>
      <c r="C27" s="5">
        <f>(Cotacoes!C27-Cotacoes!C26)/Cotacoes!C26</f>
        <v>2.4397824397824515E-2</v>
      </c>
      <c r="D27" s="5">
        <f>(Cotacoes!D27-Cotacoes!D26)/Cotacoes!D26</f>
        <v>-1.4999999999999977E-2</v>
      </c>
      <c r="E27" s="5">
        <f>(Cotacoes!E27-Cotacoes!E26)/Cotacoes!E26</f>
        <v>-5.2882072977261463E-3</v>
      </c>
      <c r="F27" s="5">
        <f>(Cotacoes!F27-Cotacoes!F26)/Cotacoes!F26</f>
        <v>-1.1830201809324979E-2</v>
      </c>
      <c r="G27" s="5">
        <f>(Cotacoes!G27-Cotacoes!G26)/Cotacoes!G26</f>
        <v>4.8459674627899119E-3</v>
      </c>
      <c r="H27" s="5">
        <f>(Cotacoes!H27-Cotacoes!H26)/Cotacoes!H26</f>
        <v>-1.1804384485666003E-2</v>
      </c>
      <c r="I27" s="5">
        <f>(Cotacoes!I27-Cotacoes!I26)/Cotacoes!I26</f>
        <v>-6.7069081153587956E-3</v>
      </c>
      <c r="J27" s="5">
        <f>(Cotacoes!J27-Cotacoes!J26)/Cotacoes!J26</f>
        <v>-7.2483969891273493E-3</v>
      </c>
      <c r="K27" s="5">
        <f>(Cotacoes!K27-Cotacoes!K26)/Cotacoes!K26</f>
        <v>-3.0432136335971217E-3</v>
      </c>
      <c r="L27" s="5">
        <f>(Cotacoes!L27-Cotacoes!L26)/Cotacoes!L26</f>
        <v>-3.0732860520094468E-2</v>
      </c>
      <c r="M27" s="5">
        <f>(Cotacoes!M27-Cotacoes!M26)/Cotacoes!M26</f>
        <v>-8.1900081900083063E-3</v>
      </c>
      <c r="N27" s="5">
        <f>(Cotacoes!N27-Cotacoes!N26)/Cotacoes!N26</f>
        <v>-1.3595166163141973E-2</v>
      </c>
      <c r="O27" s="5">
        <f>(Cotacoes!O27-Cotacoes!O26)/Cotacoes!O26</f>
        <v>4.9065420560747655E-2</v>
      </c>
      <c r="P27" s="5">
        <f>(Cotacoes!P27-Cotacoes!P26)/Cotacoes!P26</f>
        <v>1.2137203166226936E-2</v>
      </c>
      <c r="Q27" s="5">
        <f>(Cotacoes!Q27-Cotacoes!Q26)/Cotacoes!Q26</f>
        <v>-3.6264732547590248E-4</v>
      </c>
      <c r="R27" s="5">
        <f>(Cotacoes!R27-Cotacoes!R26)/Cotacoes!R26</f>
        <v>-1.9330504479019336E-2</v>
      </c>
      <c r="S27" s="5">
        <f>(Cotacoes!S27-Cotacoes!S26)/Cotacoes!S26</f>
        <v>1.6694490818029693E-3</v>
      </c>
      <c r="T27" s="5">
        <f>(Cotacoes!T27-Cotacoes!T26)/Cotacoes!T26</f>
        <v>-9.8481739844071391E-3</v>
      </c>
      <c r="U27" s="5">
        <f>(Cotacoes!U27-Cotacoes!U26)/Cotacoes!U26</f>
        <v>-2.6495226962789782E-2</v>
      </c>
      <c r="V27" s="5">
        <f>(Cotacoes!V27-Cotacoes!V26)/Cotacoes!V26</f>
        <v>3.7062775075282972E-3</v>
      </c>
      <c r="W27" s="5"/>
    </row>
    <row r="28" spans="1:23" x14ac:dyDescent="0.2">
      <c r="A28" s="4">
        <v>44600</v>
      </c>
      <c r="B28" s="5">
        <f>(Cotacoes!B28-Cotacoes!B27)/Cotacoes!B27</f>
        <v>2.3285351397120961E-3</v>
      </c>
      <c r="C28" s="5">
        <f>(Cotacoes!C28-Cotacoes!C27)/Cotacoes!C27</f>
        <v>1.3956310679611676E-2</v>
      </c>
      <c r="D28" s="5">
        <f>(Cotacoes!D28-Cotacoes!D27)/Cotacoes!D27</f>
        <v>-1.0152284263959475E-2</v>
      </c>
      <c r="E28" s="5">
        <f>(Cotacoes!E28-Cotacoes!E27)/Cotacoes!E27</f>
        <v>1.1164274322169106E-2</v>
      </c>
      <c r="F28" s="5">
        <f>(Cotacoes!F28-Cotacoes!F27)/Cotacoes!F27</f>
        <v>-1.4084507042253471E-2</v>
      </c>
      <c r="G28" s="5">
        <f>(Cotacoes!G28-Cotacoes!G27)/Cotacoes!G27</f>
        <v>-2.5146400275577001E-2</v>
      </c>
      <c r="H28" s="5">
        <f>(Cotacoes!H28-Cotacoes!H27)/Cotacoes!H27</f>
        <v>1.1092150170648379E-2</v>
      </c>
      <c r="I28" s="5">
        <f>(Cotacoes!I28-Cotacoes!I27)/Cotacoes!I27</f>
        <v>-9.1154625253207153E-3</v>
      </c>
      <c r="J28" s="5">
        <f>(Cotacoes!J28-Cotacoes!J27)/Cotacoes!J27</f>
        <v>5.6163998876720819E-3</v>
      </c>
      <c r="K28" s="5">
        <f>(Cotacoes!K28-Cotacoes!K27)/Cotacoes!K27</f>
        <v>-6.1050061050059749E-3</v>
      </c>
      <c r="L28" s="5">
        <f>(Cotacoes!L28-Cotacoes!L27)/Cotacoes!L27</f>
        <v>-1.0569105691056974E-2</v>
      </c>
      <c r="M28" s="5">
        <f>(Cotacoes!M28-Cotacoes!M27)/Cotacoes!M27</f>
        <v>-9.0834021469859156E-3</v>
      </c>
      <c r="N28" s="5">
        <f>(Cotacoes!N28-Cotacoes!N27)/Cotacoes!N27</f>
        <v>1.5313935681469811E-3</v>
      </c>
      <c r="O28" s="5">
        <f>(Cotacoes!O28-Cotacoes!O27)/Cotacoes!O27</f>
        <v>4.6213808463251571E-2</v>
      </c>
      <c r="P28" s="5">
        <f>(Cotacoes!P28-Cotacoes!P27)/Cotacoes!P27</f>
        <v>8.8633993743483692E-3</v>
      </c>
      <c r="Q28" s="5">
        <f>(Cotacoes!Q28-Cotacoes!Q27)/Cotacoes!Q27</f>
        <v>-1.4511155450753746E-3</v>
      </c>
      <c r="R28" s="5">
        <f>(Cotacoes!R28-Cotacoes!R27)/Cotacoes!R27</f>
        <v>1.5865384615384531E-2</v>
      </c>
      <c r="S28" s="5">
        <f>(Cotacoes!S28-Cotacoes!S27)/Cotacoes!S27</f>
        <v>-9.9999999999999343E-3</v>
      </c>
      <c r="T28" s="5">
        <f>(Cotacoes!T28-Cotacoes!T27)/Cotacoes!T27</f>
        <v>-1.2432656444260287E-2</v>
      </c>
      <c r="U28" s="5">
        <f>(Cotacoes!U28-Cotacoes!U27)/Cotacoes!U27</f>
        <v>7.2043225935561226E-3</v>
      </c>
      <c r="V28" s="5">
        <f>(Cotacoes!V28-Cotacoes!V27)/Cotacoes!V27</f>
        <v>-1.1539349180705552E-3</v>
      </c>
      <c r="W28" s="5"/>
    </row>
    <row r="29" spans="1:23" x14ac:dyDescent="0.2">
      <c r="A29" s="4">
        <v>44601</v>
      </c>
      <c r="B29" s="5">
        <f>(Cotacoes!B29-Cotacoes!B28)/Cotacoes!B28</f>
        <v>2.6399155227032735E-3</v>
      </c>
      <c r="C29" s="5">
        <f>(Cotacoes!C29-Cotacoes!C28)/Cotacoes!C28</f>
        <v>1.4961101137030079E-4</v>
      </c>
      <c r="D29" s="5">
        <f>(Cotacoes!D29-Cotacoes!D28)/Cotacoes!D28</f>
        <v>4.2735042735043346E-3</v>
      </c>
      <c r="E29" s="5">
        <f>(Cotacoes!E29-Cotacoes!E28)/Cotacoes!E28</f>
        <v>-3.9957939011566669E-2</v>
      </c>
      <c r="F29" s="5">
        <f>(Cotacoes!F29-Cotacoes!F28)/Cotacoes!F28</f>
        <v>7.1428571428569911E-4</v>
      </c>
      <c r="G29" s="5">
        <f>(Cotacoes!G29-Cotacoes!G28)/Cotacoes!G28</f>
        <v>2.1201413427561384E-3</v>
      </c>
      <c r="H29" s="5">
        <f>(Cotacoes!H29-Cotacoes!H28)/Cotacoes!H28</f>
        <v>-8.4388185654008137E-3</v>
      </c>
      <c r="I29" s="5">
        <f>(Cotacoes!I29-Cotacoes!I28)/Cotacoes!I28</f>
        <v>2.521294718909705E-2</v>
      </c>
      <c r="J29" s="5">
        <f>(Cotacoes!J29-Cotacoes!J28)/Cotacoes!J28</f>
        <v>-2.7925160569687558E-4</v>
      </c>
      <c r="K29" s="5">
        <f>(Cotacoes!K29-Cotacoes!K28)/Cotacoes!K28</f>
        <v>-8.5380835380835407E-2</v>
      </c>
      <c r="L29" s="5">
        <f>(Cotacoes!L29-Cotacoes!L28)/Cotacoes!L28</f>
        <v>4.5193097781429804E-2</v>
      </c>
      <c r="M29" s="5">
        <f>(Cotacoes!M29-Cotacoes!M28)/Cotacoes!M28</f>
        <v>2.6666666666666689E-2</v>
      </c>
      <c r="N29" s="5">
        <f>(Cotacoes!N29-Cotacoes!N28)/Cotacoes!N28</f>
        <v>-1.6819571865443472E-2</v>
      </c>
      <c r="O29" s="5">
        <f>(Cotacoes!O29-Cotacoes!O28)/Cotacoes!O28</f>
        <v>1.5699840340606796E-2</v>
      </c>
      <c r="P29" s="5">
        <f>(Cotacoes!P29-Cotacoes!P28)/Cotacoes!P28</f>
        <v>3.6692506459948177E-2</v>
      </c>
      <c r="Q29" s="5">
        <f>(Cotacoes!Q29-Cotacoes!Q28)/Cotacoes!Q28</f>
        <v>2.1798365122616633E-3</v>
      </c>
      <c r="R29" s="5">
        <f>(Cotacoes!R29-Cotacoes!R28)/Cotacoes!R28</f>
        <v>2.1769995267392376E-2</v>
      </c>
      <c r="S29" s="5">
        <f>(Cotacoes!S29-Cotacoes!S28)/Cotacoes!S28</f>
        <v>1.0101010101010034E-2</v>
      </c>
      <c r="T29" s="5">
        <f>(Cotacoes!T29-Cotacoes!T28)/Cotacoes!T28</f>
        <v>2.6437263953000528E-2</v>
      </c>
      <c r="U29" s="5">
        <f>(Cotacoes!U29-Cotacoes!U28)/Cotacoes!U28</f>
        <v>1.1325253328034975E-2</v>
      </c>
      <c r="V29" s="5">
        <f>(Cotacoes!V29-Cotacoes!V28)/Cotacoes!V28</f>
        <v>3.6275415896487993E-2</v>
      </c>
      <c r="W29" s="5"/>
    </row>
    <row r="30" spans="1:23" x14ac:dyDescent="0.2">
      <c r="A30" s="4">
        <v>44602</v>
      </c>
      <c r="B30" s="5">
        <f>(Cotacoes!B30-Cotacoes!B29)/Cotacoes!B29</f>
        <v>4.2127435492363505E-3</v>
      </c>
      <c r="C30" s="5">
        <f>(Cotacoes!C30-Cotacoes!C29)/Cotacoes!C29</f>
        <v>2.6925953627524479E-2</v>
      </c>
      <c r="D30" s="5">
        <f>(Cotacoes!D30-Cotacoes!D29)/Cotacoes!D29</f>
        <v>1.5319148936170189E-2</v>
      </c>
      <c r="E30" s="5">
        <f>(Cotacoes!E30-Cotacoes!E29)/Cotacoes!E29</f>
        <v>1.9167579408543144E-2</v>
      </c>
      <c r="F30" s="5">
        <f>(Cotacoes!F30-Cotacoes!F29)/Cotacoes!F29</f>
        <v>1.7130620985010721E-2</v>
      </c>
      <c r="G30" s="5">
        <f>(Cotacoes!G30-Cotacoes!G29)/Cotacoes!G29</f>
        <v>-1.7983074753173414E-2</v>
      </c>
      <c r="H30" s="5">
        <f>(Cotacoes!H30-Cotacoes!H29)/Cotacoes!H29</f>
        <v>1.0212765957446742E-2</v>
      </c>
      <c r="I30" s="5">
        <f>(Cotacoes!I30-Cotacoes!I29)/Cotacoes!I29</f>
        <v>0</v>
      </c>
      <c r="J30" s="5">
        <f>(Cotacoes!J30-Cotacoes!J29)/Cotacoes!J29</f>
        <v>5.0279329608938468E-3</v>
      </c>
      <c r="K30" s="5">
        <f>(Cotacoes!K30-Cotacoes!K29)/Cotacoes!K29</f>
        <v>1.4103425117528479E-2</v>
      </c>
      <c r="L30" s="5">
        <f>(Cotacoes!L30-Cotacoes!L29)/Cotacoes!L29</f>
        <v>-4.7169811320755105E-3</v>
      </c>
      <c r="M30" s="5">
        <f>(Cotacoes!M30-Cotacoes!M29)/Cotacoes!M29</f>
        <v>1.4610389610389588E-2</v>
      </c>
      <c r="N30" s="5">
        <f>(Cotacoes!N30-Cotacoes!N29)/Cotacoes!N29</f>
        <v>1.0886469673405955E-2</v>
      </c>
      <c r="O30" s="5">
        <f>(Cotacoes!O30-Cotacoes!O29)/Cotacoes!O29</f>
        <v>1.8339009693476625E-3</v>
      </c>
      <c r="P30" s="5">
        <f>(Cotacoes!P30-Cotacoes!P29)/Cotacoes!P29</f>
        <v>-6.9790628115651556E-3</v>
      </c>
      <c r="Q30" s="5">
        <f>(Cotacoes!Q30-Cotacoes!Q29)/Cotacoes!Q29</f>
        <v>-3.697661772702554E-2</v>
      </c>
      <c r="R30" s="5">
        <f>(Cotacoes!R30-Cotacoes!R29)/Cotacoes!R29</f>
        <v>-6.4844835572024353E-3</v>
      </c>
      <c r="S30" s="5">
        <f>(Cotacoes!S30-Cotacoes!S29)/Cotacoes!S29</f>
        <v>-1.2500000000000473E-3</v>
      </c>
      <c r="T30" s="5">
        <f>(Cotacoes!T30-Cotacoes!T29)/Cotacoes!T29</f>
        <v>1.0220768601798855E-2</v>
      </c>
      <c r="U30" s="5">
        <f>(Cotacoes!U30-Cotacoes!U29)/Cotacoes!U29</f>
        <v>2.5540275049116415E-3</v>
      </c>
      <c r="V30" s="5">
        <f>(Cotacoes!V30-Cotacoes!V29)/Cotacoes!V29</f>
        <v>1.5607580824972193E-3</v>
      </c>
      <c r="W30" s="5"/>
    </row>
    <row r="31" spans="1:23" x14ac:dyDescent="0.2">
      <c r="A31" s="4">
        <v>44603</v>
      </c>
      <c r="B31" s="5">
        <f>(Cotacoes!B31-Cotacoes!B30)/Cotacoes!B30</f>
        <v>1.0487676979549926E-3</v>
      </c>
      <c r="C31" s="5">
        <f>(Cotacoes!C31-Cotacoes!C30)/Cotacoes!C30</f>
        <v>-2.0247632920611807E-2</v>
      </c>
      <c r="D31" s="5">
        <f>(Cotacoes!D31-Cotacoes!D30)/Cotacoes!D30</f>
        <v>4.023470243084664E-2</v>
      </c>
      <c r="E31" s="5">
        <f>(Cotacoes!E31-Cotacoes!E30)/Cotacoes!E30</f>
        <v>5.9108006448146233E-2</v>
      </c>
      <c r="F31" s="5">
        <f>(Cotacoes!F31-Cotacoes!F30)/Cotacoes!F30</f>
        <v>4.4912280701754424E-2</v>
      </c>
      <c r="G31" s="5">
        <f>(Cotacoes!G31-Cotacoes!G30)/Cotacoes!G30</f>
        <v>-7.1813285457810712E-3</v>
      </c>
      <c r="H31" s="5">
        <f>(Cotacoes!H31-Cotacoes!H30)/Cotacoes!H30</f>
        <v>3.5383319292333612E-2</v>
      </c>
      <c r="I31" s="5">
        <f>(Cotacoes!I31-Cotacoes!I30)/Cotacoes!I30</f>
        <v>-1.9607843137254898E-2</v>
      </c>
      <c r="J31" s="5">
        <f>(Cotacoes!J31-Cotacoes!J30)/Cotacoes!J30</f>
        <v>1.9455252918288018E-3</v>
      </c>
      <c r="K31" s="5">
        <f>(Cotacoes!K31-Cotacoes!K30)/Cotacoes!K30</f>
        <v>3.3112582781457426E-3</v>
      </c>
      <c r="L31" s="5">
        <f>(Cotacoes!L31-Cotacoes!L30)/Cotacoes!L30</f>
        <v>-1.2638230647709331E-2</v>
      </c>
      <c r="M31" s="5">
        <f>(Cotacoes!M31-Cotacoes!M30)/Cotacoes!M30</f>
        <v>7.1999999999999885E-3</v>
      </c>
      <c r="N31" s="5">
        <f>(Cotacoes!N31-Cotacoes!N30)/Cotacoes!N30</f>
        <v>4.3076923076923117E-2</v>
      </c>
      <c r="O31" s="5">
        <f>(Cotacoes!O31-Cotacoes!O30)/Cotacoes!O30</f>
        <v>7.3221757322176027E-3</v>
      </c>
      <c r="P31" s="5">
        <f>(Cotacoes!P31-Cotacoes!P30)/Cotacoes!P30</f>
        <v>-4.5180722891566369E-2</v>
      </c>
      <c r="Q31" s="5">
        <f>(Cotacoes!Q31-Cotacoes!Q30)/Cotacoes!Q30</f>
        <v>-1.0916619612271887E-2</v>
      </c>
      <c r="R31" s="5">
        <f>(Cotacoes!R31-Cotacoes!R30)/Cotacoes!R30</f>
        <v>-4.6620046620045631E-3</v>
      </c>
      <c r="S31" s="5">
        <f>(Cotacoes!S31-Cotacoes!S30)/Cotacoes!S30</f>
        <v>-7.9265748852731643E-3</v>
      </c>
      <c r="T31" s="5">
        <f>(Cotacoes!T31-Cotacoes!T30)/Cotacoes!T30</f>
        <v>4.2492917847025524E-2</v>
      </c>
      <c r="U31" s="5">
        <f>(Cotacoes!U31-Cotacoes!U30)/Cotacoes!U30</f>
        <v>8.230452674897153E-3</v>
      </c>
      <c r="V31" s="5">
        <f>(Cotacoes!V31-Cotacoes!V30)/Cotacoes!V30</f>
        <v>6.6785396260020337E-4</v>
      </c>
      <c r="W31" s="5"/>
    </row>
    <row r="32" spans="1:23" x14ac:dyDescent="0.2">
      <c r="A32" s="4">
        <v>44606</v>
      </c>
      <c r="B32" s="5">
        <f>(Cotacoes!B32-Cotacoes!B31)/Cotacoes!B31</f>
        <v>1.5715034049239545E-3</v>
      </c>
      <c r="C32" s="5">
        <f>(Cotacoes!C32-Cotacoes!C31)/Cotacoes!C31</f>
        <v>-4.3116265239370533E-3</v>
      </c>
      <c r="D32" s="5">
        <f>(Cotacoes!D32-Cotacoes!D31)/Cotacoes!D31</f>
        <v>-2.256244963738915E-2</v>
      </c>
      <c r="E32" s="5">
        <f>(Cotacoes!E32-Cotacoes!E31)/Cotacoes!E31</f>
        <v>-2.5367833587012028E-3</v>
      </c>
      <c r="F32" s="5">
        <f>(Cotacoes!F32-Cotacoes!F31)/Cotacoes!F31</f>
        <v>-2.619207521826733E-2</v>
      </c>
      <c r="G32" s="5">
        <f>(Cotacoes!G32-Cotacoes!G31)/Cotacoes!G31</f>
        <v>3.0741410488245986E-2</v>
      </c>
      <c r="H32" s="5">
        <f>(Cotacoes!H32-Cotacoes!H31)/Cotacoes!H31</f>
        <v>4.0683482506103106E-3</v>
      </c>
      <c r="I32" s="5">
        <f>(Cotacoes!I32-Cotacoes!I31)/Cotacoes!I31</f>
        <v>2.7118644067796031E-3</v>
      </c>
      <c r="J32" s="5">
        <f>(Cotacoes!J32-Cotacoes!J31)/Cotacoes!J31</f>
        <v>-1.7198335644937519E-2</v>
      </c>
      <c r="K32" s="5">
        <f>(Cotacoes!K32-Cotacoes!K31)/Cotacoes!K31</f>
        <v>1.320132013201292E-3</v>
      </c>
      <c r="L32" s="5">
        <f>(Cotacoes!L32-Cotacoes!L31)/Cotacoes!L31</f>
        <v>1.4399999999999977E-2</v>
      </c>
      <c r="M32" s="5">
        <f>(Cotacoes!M32-Cotacoes!M31)/Cotacoes!M31</f>
        <v>1.3502779984114371E-2</v>
      </c>
      <c r="N32" s="5">
        <f>(Cotacoes!N32-Cotacoes!N31)/Cotacoes!N31</f>
        <v>-2.9498525073746993E-3</v>
      </c>
      <c r="O32" s="5">
        <f>(Cotacoes!O32-Cotacoes!O31)/Cotacoes!O31</f>
        <v>5.1921079958452802E-4</v>
      </c>
      <c r="P32" s="5">
        <f>(Cotacoes!P32-Cotacoes!P31)/Cotacoes!P31</f>
        <v>-8.9379600420608912E-3</v>
      </c>
      <c r="Q32" s="5">
        <f>(Cotacoes!Q32-Cotacoes!Q31)/Cotacoes!Q31</f>
        <v>1.1037107516650912E-2</v>
      </c>
      <c r="R32" s="5">
        <f>(Cotacoes!R32-Cotacoes!R31)/Cotacoes!R31</f>
        <v>7.9625292740045962E-3</v>
      </c>
      <c r="S32" s="5">
        <f>(Cotacoes!S32-Cotacoes!S31)/Cotacoes!S31</f>
        <v>3.7846930193439804E-3</v>
      </c>
      <c r="T32" s="5">
        <f>(Cotacoes!T32-Cotacoes!T31)/Cotacoes!T31</f>
        <v>2.7173913043478232E-2</v>
      </c>
      <c r="U32" s="5">
        <f>(Cotacoes!U32-Cotacoes!U31)/Cotacoes!U31</f>
        <v>2.2157434402332372E-2</v>
      </c>
      <c r="V32" s="5">
        <f>(Cotacoes!V32-Cotacoes!V31)/Cotacoes!V31</f>
        <v>2.8921023359287086E-3</v>
      </c>
      <c r="W32" s="5"/>
    </row>
    <row r="33" spans="1:23" x14ac:dyDescent="0.2">
      <c r="A33" s="4">
        <v>44607</v>
      </c>
      <c r="B33" s="5">
        <f>(Cotacoes!B33-Cotacoes!B32)/Cotacoes!B32</f>
        <v>7.9497907949791329E-3</v>
      </c>
      <c r="C33" s="5">
        <f>(Cotacoes!C33-Cotacoes!C32)/Cotacoes!C32</f>
        <v>-2.9714797670598699E-2</v>
      </c>
      <c r="D33" s="5">
        <f>(Cotacoes!D33-Cotacoes!D32)/Cotacoes!D32</f>
        <v>-1.5663643858202906E-2</v>
      </c>
      <c r="E33" s="5">
        <f>(Cotacoes!E33-Cotacoes!E32)/Cotacoes!E32</f>
        <v>9.6642929806714795E-3</v>
      </c>
      <c r="F33" s="5">
        <f>(Cotacoes!F33-Cotacoes!F32)/Cotacoes!F32</f>
        <v>-2.0689655172413841E-2</v>
      </c>
      <c r="G33" s="5">
        <f>(Cotacoes!G33-Cotacoes!G32)/Cotacoes!G32</f>
        <v>8.0350877192982423E-2</v>
      </c>
      <c r="H33" s="5">
        <f>(Cotacoes!H33-Cotacoes!H32)/Cotacoes!H32</f>
        <v>4.7811993517017815E-2</v>
      </c>
      <c r="I33" s="5">
        <f>(Cotacoes!I33-Cotacoes!I32)/Cotacoes!I32</f>
        <v>6.2542258282623442E-2</v>
      </c>
      <c r="J33" s="5">
        <f>(Cotacoes!J33-Cotacoes!J32)/Cotacoes!J32</f>
        <v>2.8224668360146768E-2</v>
      </c>
      <c r="K33" s="5">
        <f>(Cotacoes!K33-Cotacoes!K32)/Cotacoes!K32</f>
        <v>1.3183915622939732E-3</v>
      </c>
      <c r="L33" s="5">
        <f>(Cotacoes!L33-Cotacoes!L32)/Cotacoes!L32</f>
        <v>3.3911671924290197E-2</v>
      </c>
      <c r="M33" s="5">
        <f>(Cotacoes!M33-Cotacoes!M32)/Cotacoes!M32</f>
        <v>2.1159874608150438E-2</v>
      </c>
      <c r="N33" s="5">
        <f>(Cotacoes!N33-Cotacoes!N32)/Cotacoes!N32</f>
        <v>1.1834319526627229E-2</v>
      </c>
      <c r="O33" s="5">
        <f>(Cotacoes!O33-Cotacoes!O32)/Cotacoes!O32</f>
        <v>3.6325895173845504E-3</v>
      </c>
      <c r="P33" s="5">
        <f>(Cotacoes!P33-Cotacoes!P32)/Cotacoes!P32</f>
        <v>4.7745358090185597E-2</v>
      </c>
      <c r="Q33" s="5">
        <f>(Cotacoes!Q33-Cotacoes!Q32)/Cotacoes!Q32</f>
        <v>-1.8633540372670843E-2</v>
      </c>
      <c r="R33" s="5">
        <f>(Cotacoes!R33-Cotacoes!R32)/Cotacoes!R32</f>
        <v>6.087360594795533E-2</v>
      </c>
      <c r="S33" s="5">
        <f>(Cotacoes!S33-Cotacoes!S32)/Cotacoes!S32</f>
        <v>2.9744449099287695E-2</v>
      </c>
      <c r="T33" s="5">
        <f>(Cotacoes!T33-Cotacoes!T32)/Cotacoes!T32</f>
        <v>-2.8344671201814057E-2</v>
      </c>
      <c r="U33" s="5">
        <f>(Cotacoes!U33-Cotacoes!U32)/Cotacoes!U32</f>
        <v>3.3466438486404217E-2</v>
      </c>
      <c r="V33" s="5">
        <f>(Cotacoes!V33-Cotacoes!V32)/Cotacoes!V32</f>
        <v>4.791481810115359E-2</v>
      </c>
      <c r="W33" s="5"/>
    </row>
    <row r="34" spans="1:23" x14ac:dyDescent="0.2">
      <c r="A34" s="4">
        <v>44608</v>
      </c>
      <c r="B34" s="5">
        <f>(Cotacoes!B34-Cotacoes!B33)/Cotacoes!B33</f>
        <v>6.33042756330427E-3</v>
      </c>
      <c r="C34" s="5">
        <f>(Cotacoes!C34-Cotacoes!C33)/Cotacoes!C33</f>
        <v>7.386888273314708E-3</v>
      </c>
      <c r="D34" s="5">
        <f>(Cotacoes!D34-Cotacoes!D33)/Cotacoes!D33</f>
        <v>1.4237855946398655E-2</v>
      </c>
      <c r="E34" s="5">
        <f>(Cotacoes!E34-Cotacoes!E33)/Cotacoes!E33</f>
        <v>-1.0579345088161251E-2</v>
      </c>
      <c r="F34" s="5">
        <f>(Cotacoes!F34-Cotacoes!F33)/Cotacoes!F33</f>
        <v>2.2535211267605656E-2</v>
      </c>
      <c r="G34" s="5">
        <f>(Cotacoes!G34-Cotacoes!G33)/Cotacoes!G33</f>
        <v>-4.8067554400779491E-2</v>
      </c>
      <c r="H34" s="5">
        <f>(Cotacoes!H34-Cotacoes!H33)/Cotacoes!H33</f>
        <v>5.4137664346481269E-3</v>
      </c>
      <c r="I34" s="5">
        <f>(Cotacoes!I34-Cotacoes!I33)/Cotacoes!I33</f>
        <v>-9.5450206808781642E-3</v>
      </c>
      <c r="J34" s="5">
        <f>(Cotacoes!J34-Cotacoes!J33)/Cotacoes!J33</f>
        <v>1.0705462530881157E-2</v>
      </c>
      <c r="K34" s="5">
        <f>(Cotacoes!K34-Cotacoes!K33)/Cotacoes!K33</f>
        <v>1.1849901250822891E-2</v>
      </c>
      <c r="L34" s="5">
        <f>(Cotacoes!L34-Cotacoes!L33)/Cotacoes!L33</f>
        <v>-7.6277650648358408E-4</v>
      </c>
      <c r="M34" s="5">
        <f>(Cotacoes!M34-Cotacoes!M33)/Cotacoes!M33</f>
        <v>-1.9186492709132773E-2</v>
      </c>
      <c r="N34" s="5">
        <f>(Cotacoes!N34-Cotacoes!N33)/Cotacoes!N33</f>
        <v>-2.9239766081870723E-3</v>
      </c>
      <c r="O34" s="5">
        <f>(Cotacoes!O34-Cotacoes!O33)/Cotacoes!O33</f>
        <v>-3.8779731127197521E-2</v>
      </c>
      <c r="P34" s="5">
        <f>(Cotacoes!P34-Cotacoes!P33)/Cotacoes!P33</f>
        <v>1.4683544303797424E-2</v>
      </c>
      <c r="Q34" s="5">
        <f>(Cotacoes!Q34-Cotacoes!Q33)/Cotacoes!Q33</f>
        <v>1.9179133103179919E-4</v>
      </c>
      <c r="R34" s="5">
        <f>(Cotacoes!R34-Cotacoes!R33)/Cotacoes!R33</f>
        <v>2.1024967148488852E-2</v>
      </c>
      <c r="S34" s="5">
        <f>(Cotacoes!S34-Cotacoes!S33)/Cotacoes!S33</f>
        <v>6.5093572009764095E-3</v>
      </c>
      <c r="T34" s="5">
        <f>(Cotacoes!T34-Cotacoes!T33)/Cotacoes!T33</f>
        <v>-1.9836639439906711E-2</v>
      </c>
      <c r="U34" s="5">
        <f>(Cotacoes!U34-Cotacoes!U33)/Cotacoes!U33</f>
        <v>-8.8316467341307079E-3</v>
      </c>
      <c r="V34" s="5">
        <f>(Cotacoes!V34-Cotacoes!V33)/Cotacoes!V33</f>
        <v>1.016088060965277E-2</v>
      </c>
      <c r="W34" s="5"/>
    </row>
    <row r="35" spans="1:23" x14ac:dyDescent="0.2">
      <c r="A35" s="4">
        <v>44609</v>
      </c>
      <c r="B35" s="5">
        <f>(Cotacoes!B35-Cotacoes!B34)/Cotacoes!B34</f>
        <v>-1.6603073115396508E-2</v>
      </c>
      <c r="C35" s="5">
        <f>(Cotacoes!C35-Cotacoes!C34)/Cotacoes!C34</f>
        <v>-4.307974335472034E-2</v>
      </c>
      <c r="D35" s="5">
        <f>(Cotacoes!D35-Cotacoes!D34)/Cotacoes!D34</f>
        <v>-4.128819157720804E-3</v>
      </c>
      <c r="E35" s="5">
        <f>(Cotacoes!E35-Cotacoes!E34)/Cotacoes!E34</f>
        <v>-1.3747454175152727E-2</v>
      </c>
      <c r="F35" s="5">
        <f>(Cotacoes!F35-Cotacoes!F34)/Cotacoes!F34</f>
        <v>-4.8209366391184774E-3</v>
      </c>
      <c r="G35" s="5">
        <f>(Cotacoes!G35-Cotacoes!G34)/Cotacoes!G34</f>
        <v>-2.0812009553053547E-2</v>
      </c>
      <c r="H35" s="5">
        <f>(Cotacoes!H35-Cotacoes!H34)/Cotacoes!H34</f>
        <v>0</v>
      </c>
      <c r="I35" s="5">
        <f>(Cotacoes!I35-Cotacoes!I34)/Cotacoes!I34</f>
        <v>3.2123353678129019E-4</v>
      </c>
      <c r="J35" s="5">
        <f>(Cotacoes!J35-Cotacoes!J34)/Cotacoes!J34</f>
        <v>1.6838674633351369E-2</v>
      </c>
      <c r="K35" s="5">
        <f>(Cotacoes!K35-Cotacoes!K34)/Cotacoes!K34</f>
        <v>-1.1711125569290808E-2</v>
      </c>
      <c r="L35" s="5">
        <f>(Cotacoes!L35-Cotacoes!L34)/Cotacoes!L34</f>
        <v>-2.6717557251908372E-2</v>
      </c>
      <c r="M35" s="5">
        <f>(Cotacoes!M35-Cotacoes!M34)/Cotacoes!M34</f>
        <v>-1.5649452269170524E-2</v>
      </c>
      <c r="N35" s="5">
        <f>(Cotacoes!N35-Cotacoes!N34)/Cotacoes!N34</f>
        <v>-1.026392961876837E-2</v>
      </c>
      <c r="O35" s="5">
        <f>(Cotacoes!O35-Cotacoes!O34)/Cotacoes!O34</f>
        <v>2.4206562668102048E-3</v>
      </c>
      <c r="P35" s="5">
        <f>(Cotacoes!P35-Cotacoes!P34)/Cotacoes!P34</f>
        <v>-3.5928143712574794E-2</v>
      </c>
      <c r="Q35" s="5">
        <f>(Cotacoes!Q35-Cotacoes!Q34)/Cotacoes!Q34</f>
        <v>1.0930009587727715E-2</v>
      </c>
      <c r="R35" s="5">
        <f>(Cotacoes!R35-Cotacoes!R34)/Cotacoes!R34</f>
        <v>0</v>
      </c>
      <c r="S35" s="5">
        <f>(Cotacoes!S35-Cotacoes!S34)/Cotacoes!S34</f>
        <v>0</v>
      </c>
      <c r="T35" s="5">
        <f>(Cotacoes!T35-Cotacoes!T34)/Cotacoes!T34</f>
        <v>-1.3888888888888805E-2</v>
      </c>
      <c r="U35" s="5">
        <f>(Cotacoes!U35-Cotacoes!U34)/Cotacoes!U34</f>
        <v>-1.0581028401707821E-2</v>
      </c>
      <c r="V35" s="5">
        <f>(Cotacoes!V35-Cotacoes!V34)/Cotacoes!V34</f>
        <v>-7.5440067057837264E-3</v>
      </c>
      <c r="W35" s="5"/>
    </row>
    <row r="36" spans="1:23" x14ac:dyDescent="0.2">
      <c r="A36" s="4">
        <v>44610</v>
      </c>
      <c r="B36" s="5">
        <f>(Cotacoes!B36-Cotacoes!B35)/Cotacoes!B35</f>
        <v>-7.4454697986576527E-3</v>
      </c>
      <c r="C36" s="5">
        <f>(Cotacoes!C36-Cotacoes!C35)/Cotacoes!C35</f>
        <v>2.0753512132822886E-3</v>
      </c>
      <c r="D36" s="5">
        <f>(Cotacoes!D36-Cotacoes!D35)/Cotacoes!D35</f>
        <v>5.8043117744610512E-3</v>
      </c>
      <c r="E36" s="5">
        <f>(Cotacoes!E36-Cotacoes!E35)/Cotacoes!E35</f>
        <v>3.6138358286009436E-3</v>
      </c>
      <c r="F36" s="5">
        <f>(Cotacoes!F36-Cotacoes!F35)/Cotacoes!F35</f>
        <v>-6.2283737024221358E-3</v>
      </c>
      <c r="G36" s="5">
        <f>(Cotacoes!G36-Cotacoes!G35)/Cotacoes!G35</f>
        <v>-2.7526132404181156E-2</v>
      </c>
      <c r="H36" s="5">
        <f>(Cotacoes!H36-Cotacoes!H35)/Cotacoes!H35</f>
        <v>2.0769230769230738E-2</v>
      </c>
      <c r="I36" s="5">
        <f>(Cotacoes!I36-Cotacoes!I35)/Cotacoes!I35</f>
        <v>-1.5093127809890779E-2</v>
      </c>
      <c r="J36" s="5">
        <f>(Cotacoes!J36-Cotacoes!J35)/Cotacoes!J35</f>
        <v>1.0683760683760837E-2</v>
      </c>
      <c r="K36" s="5">
        <f>(Cotacoes!K36-Cotacoes!K35)/Cotacoes!K35</f>
        <v>5.2666227781435204E-3</v>
      </c>
      <c r="L36" s="5">
        <f>(Cotacoes!L36-Cotacoes!L35)/Cotacoes!L35</f>
        <v>5.4901960784313952E-3</v>
      </c>
      <c r="M36" s="5">
        <f>(Cotacoes!M36-Cotacoes!M35)/Cotacoes!M35</f>
        <v>-5.5643879173291159E-3</v>
      </c>
      <c r="N36" s="5">
        <f>(Cotacoes!N36-Cotacoes!N35)/Cotacoes!N35</f>
        <v>4.4444444444444809E-3</v>
      </c>
      <c r="O36" s="5">
        <f>(Cotacoes!O36-Cotacoes!O35)/Cotacoes!O35</f>
        <v>-2.6026294606922615E-2</v>
      </c>
      <c r="P36" s="5">
        <f>(Cotacoes!P36-Cotacoes!P35)/Cotacoes!P35</f>
        <v>-9.3167701863353884E-3</v>
      </c>
      <c r="Q36" s="5">
        <f>(Cotacoes!Q36-Cotacoes!Q35)/Cotacoes!Q35</f>
        <v>-1.4984825493171455E-2</v>
      </c>
      <c r="R36" s="5">
        <f>(Cotacoes!R36-Cotacoes!R35)/Cotacoes!R35</f>
        <v>-3.0030030030030156E-3</v>
      </c>
      <c r="S36" s="5">
        <f>(Cotacoes!S36-Cotacoes!S35)/Cotacoes!S35</f>
        <v>9.2966855295068887E-3</v>
      </c>
      <c r="T36" s="5">
        <f>(Cotacoes!T36-Cotacoes!T35)/Cotacoes!T35</f>
        <v>-2.0523138832998049E-2</v>
      </c>
      <c r="U36" s="5">
        <f>(Cotacoes!U36-Cotacoes!U35)/Cotacoes!U35</f>
        <v>-1.6322701688555302E-2</v>
      </c>
      <c r="V36" s="5">
        <f>(Cotacoes!V36-Cotacoes!V35)/Cotacoes!V35</f>
        <v>-2.7449324324324864E-3</v>
      </c>
      <c r="W36" s="5"/>
    </row>
    <row r="37" spans="1:23" x14ac:dyDescent="0.2">
      <c r="A37" s="4">
        <v>44613</v>
      </c>
      <c r="B37" s="5">
        <f>(Cotacoes!B37-Cotacoes!B36)/Cotacoes!B36</f>
        <v>-4.5430533544638862E-3</v>
      </c>
      <c r="C37" s="5">
        <f>(Cotacoes!C37-Cotacoes!C36)/Cotacoes!C36</f>
        <v>7.9655886570012991E-4</v>
      </c>
      <c r="D37" s="5">
        <f>(Cotacoes!D37-Cotacoes!D36)/Cotacoes!D36</f>
        <v>2.6380873866446702E-2</v>
      </c>
      <c r="E37" s="5">
        <f>(Cotacoes!E37-Cotacoes!E36)/Cotacoes!E36</f>
        <v>-2.417695473251041E-2</v>
      </c>
      <c r="F37" s="5">
        <f>(Cotacoes!F37-Cotacoes!F36)/Cotacoes!F36</f>
        <v>2.6462395543175542E-2</v>
      </c>
      <c r="G37" s="5">
        <f>(Cotacoes!G37-Cotacoes!G36)/Cotacoes!G36</f>
        <v>-2.8663561447510514E-3</v>
      </c>
      <c r="H37" s="5">
        <f>(Cotacoes!H37-Cotacoes!H36)/Cotacoes!H36</f>
        <v>-2.1853805576488257E-2</v>
      </c>
      <c r="I37" s="5">
        <f>(Cotacoes!I37-Cotacoes!I36)/Cotacoes!I36</f>
        <v>-2.2823606129768595E-2</v>
      </c>
      <c r="J37" s="5">
        <f>(Cotacoes!J37-Cotacoes!J36)/Cotacoes!J36</f>
        <v>3.5412262156448104E-2</v>
      </c>
      <c r="K37" s="5">
        <f>(Cotacoes!K37-Cotacoes!K36)/Cotacoes!K36</f>
        <v>-1.1787819253438095E-2</v>
      </c>
      <c r="L37" s="5">
        <f>(Cotacoes!L37-Cotacoes!L36)/Cotacoes!L36</f>
        <v>-1.4040561622464877E-2</v>
      </c>
      <c r="M37" s="5">
        <f>(Cotacoes!M37-Cotacoes!M36)/Cotacoes!M36</f>
        <v>-2.1582733812949607E-2</v>
      </c>
      <c r="N37" s="5">
        <f>(Cotacoes!N37-Cotacoes!N36)/Cotacoes!N36</f>
        <v>-2.9498525073746337E-2</v>
      </c>
      <c r="O37" s="5">
        <f>(Cotacoes!O37-Cotacoes!O36)/Cotacoes!O36</f>
        <v>-1.2121212121212059E-2</v>
      </c>
      <c r="P37" s="5">
        <f>(Cotacoes!P37-Cotacoes!P36)/Cotacoes!P36</f>
        <v>-4.2319749216301057E-2</v>
      </c>
      <c r="Q37" s="5">
        <f>(Cotacoes!Q37-Cotacoes!Q36)/Cotacoes!Q36</f>
        <v>-1.9256691700366151E-3</v>
      </c>
      <c r="R37" s="5">
        <f>(Cotacoes!R37-Cotacoes!R36)/Cotacoes!R36</f>
        <v>-2.7969018932874297E-2</v>
      </c>
      <c r="S37" s="5">
        <f>(Cotacoes!S37-Cotacoes!S36)/Cotacoes!S36</f>
        <v>-2.2827392871445747E-2</v>
      </c>
      <c r="T37" s="5">
        <f>(Cotacoes!T37-Cotacoes!T36)/Cotacoes!T36</f>
        <v>3.6565324568611363E-2</v>
      </c>
      <c r="U37" s="5">
        <f>(Cotacoes!U37-Cotacoes!U36)/Cotacoes!U36</f>
        <v>-6.6755674232310018E-3</v>
      </c>
      <c r="V37" s="5">
        <f>(Cotacoes!V37-Cotacoes!V36)/Cotacoes!V36</f>
        <v>-2.0114334109675964E-2</v>
      </c>
      <c r="W37" s="5"/>
    </row>
    <row r="38" spans="1:23" x14ac:dyDescent="0.2">
      <c r="A38" s="4">
        <v>44614</v>
      </c>
      <c r="B38" s="5">
        <f>(Cotacoes!B38-Cotacoes!B37)/Cotacoes!B37</f>
        <v>9.8705158140522907E-3</v>
      </c>
      <c r="C38" s="5">
        <f>(Cotacoes!C38-Cotacoes!C37)/Cotacoes!C37</f>
        <v>1.7351162050302394E-2</v>
      </c>
      <c r="D38" s="5">
        <f>(Cotacoes!D38-Cotacoes!D37)/Cotacoes!D37</f>
        <v>-3.2128514056224216E-3</v>
      </c>
      <c r="E38" s="5">
        <f>(Cotacoes!E38-Cotacoes!E37)/Cotacoes!E37</f>
        <v>8.9615181866105273E-3</v>
      </c>
      <c r="F38" s="5">
        <f>(Cotacoes!F38-Cotacoes!F37)/Cotacoes!F37</f>
        <v>-1.4925373134328401E-2</v>
      </c>
      <c r="G38" s="5">
        <f>(Cotacoes!G38-Cotacoes!G37)/Cotacoes!G37</f>
        <v>3.5932446999646292E-4</v>
      </c>
      <c r="H38" s="5">
        <f>(Cotacoes!H38-Cotacoes!H37)/Cotacoes!H37</f>
        <v>9.2449922958396935E-3</v>
      </c>
      <c r="I38" s="5">
        <f>(Cotacoes!I38-Cotacoes!I37)/Cotacoes!I37</f>
        <v>7.3406740073407549E-3</v>
      </c>
      <c r="J38" s="5">
        <f>(Cotacoes!J38-Cotacoes!J37)/Cotacoes!J37</f>
        <v>1.3527309851965317E-2</v>
      </c>
      <c r="K38" s="5">
        <f>(Cotacoes!K38-Cotacoes!K37)/Cotacoes!K37</f>
        <v>-3.313452617627615E-3</v>
      </c>
      <c r="L38" s="5">
        <f>(Cotacoes!L38-Cotacoes!L37)/Cotacoes!L37</f>
        <v>2.2151898734177163E-2</v>
      </c>
      <c r="M38" s="5">
        <f>(Cotacoes!M38-Cotacoes!M37)/Cotacoes!M37</f>
        <v>1.7973856209150377E-2</v>
      </c>
      <c r="N38" s="5">
        <f>(Cotacoes!N38-Cotacoes!N37)/Cotacoes!N37</f>
        <v>1.5197568389057428E-3</v>
      </c>
      <c r="O38" s="5">
        <f>(Cotacoes!O38-Cotacoes!O37)/Cotacoes!O37</f>
        <v>2.593418851087562E-2</v>
      </c>
      <c r="P38" s="5">
        <f>(Cotacoes!P38-Cotacoes!P37)/Cotacoes!P37</f>
        <v>-4.6372067648663279E-2</v>
      </c>
      <c r="Q38" s="5">
        <f>(Cotacoes!Q38-Cotacoes!Q37)/Cotacoes!Q37</f>
        <v>5.7881535790085164E-4</v>
      </c>
      <c r="R38" s="5">
        <f>(Cotacoes!R38-Cotacoes!R37)/Cotacoes!R37</f>
        <v>4.4267374944665781E-2</v>
      </c>
      <c r="S38" s="5">
        <f>(Cotacoes!S38-Cotacoes!S37)/Cotacoes!S37</f>
        <v>2.9508196721311577E-2</v>
      </c>
      <c r="T38" s="5">
        <f>(Cotacoes!T38-Cotacoes!T37)/Cotacoes!T37</f>
        <v>-2.8933808957590186E-2</v>
      </c>
      <c r="U38" s="5">
        <f>(Cotacoes!U38-Cotacoes!U37)/Cotacoes!U37</f>
        <v>6.0675883256528493E-2</v>
      </c>
      <c r="V38" s="5">
        <f>(Cotacoes!V38-Cotacoes!V37)/Cotacoes!V37</f>
        <v>4.0406222990492596E-2</v>
      </c>
      <c r="W38" s="5"/>
    </row>
    <row r="39" spans="1:23" x14ac:dyDescent="0.2">
      <c r="A39" s="4">
        <v>44615</v>
      </c>
      <c r="B39" s="5">
        <f>(Cotacoes!B39-Cotacoes!B38)/Cotacoes!B38</f>
        <v>-1.4188124014713699E-2</v>
      </c>
      <c r="C39" s="5">
        <f>(Cotacoes!C39-Cotacoes!C38)/Cotacoes!C38</f>
        <v>-1.0483492411203171E-2</v>
      </c>
      <c r="D39" s="5">
        <f>(Cotacoes!D39-Cotacoes!D38)/Cotacoes!D38</f>
        <v>1.3698630136986295E-2</v>
      </c>
      <c r="E39" s="5">
        <f>(Cotacoes!E39-Cotacoes!E38)/Cotacoes!E38</f>
        <v>-1.410658307210029E-2</v>
      </c>
      <c r="F39" s="5">
        <f>(Cotacoes!F39-Cotacoes!F38)/Cotacoes!F38</f>
        <v>0</v>
      </c>
      <c r="G39" s="5">
        <f>(Cotacoes!G39-Cotacoes!G38)/Cotacoes!G38</f>
        <v>-3.1609195402298812E-2</v>
      </c>
      <c r="H39" s="5">
        <f>(Cotacoes!H39-Cotacoes!H38)/Cotacoes!H38</f>
        <v>5.3435114503817011E-3</v>
      </c>
      <c r="I39" s="5">
        <f>(Cotacoes!I39-Cotacoes!I38)/Cotacoes!I38</f>
        <v>2.1530308049022808E-2</v>
      </c>
      <c r="J39" s="5">
        <f>(Cotacoes!J39-Cotacoes!J38)/Cotacoes!J38</f>
        <v>2.5182573659022941E-4</v>
      </c>
      <c r="K39" s="5">
        <f>(Cotacoes!K39-Cotacoes!K38)/Cotacoes!K38</f>
        <v>-4.6542553191488371E-3</v>
      </c>
      <c r="L39" s="5">
        <f>(Cotacoes!L39-Cotacoes!L38)/Cotacoes!L38</f>
        <v>1.393188854489162E-2</v>
      </c>
      <c r="M39" s="5">
        <f>(Cotacoes!M39-Cotacoes!M38)/Cotacoes!M38</f>
        <v>7.2231139646869863E-3</v>
      </c>
      <c r="N39" s="5">
        <f>(Cotacoes!N39-Cotacoes!N38)/Cotacoes!N38</f>
        <v>-1.3657056145675243E-2</v>
      </c>
      <c r="O39" s="5">
        <f>(Cotacoes!O39-Cotacoes!O38)/Cotacoes!O38</f>
        <v>-5.4362598532208678E-3</v>
      </c>
      <c r="P39" s="5">
        <f>(Cotacoes!P39-Cotacoes!P38)/Cotacoes!P38</f>
        <v>-2.3455377574370717E-2</v>
      </c>
      <c r="Q39" s="5">
        <f>(Cotacoes!Q39-Cotacoes!Q38)/Cotacoes!Q38</f>
        <v>-6.1126108754338639E-2</v>
      </c>
      <c r="R39" s="5">
        <f>(Cotacoes!R39-Cotacoes!R38)/Cotacoes!R38</f>
        <v>-1.3565069944891915E-2</v>
      </c>
      <c r="S39" s="5">
        <f>(Cotacoes!S39-Cotacoes!S38)/Cotacoes!S38</f>
        <v>1.1146496815286528E-2</v>
      </c>
      <c r="T39" s="5">
        <f>(Cotacoes!T39-Cotacoes!T38)/Cotacoes!T38</f>
        <v>1.4285714285714344E-2</v>
      </c>
      <c r="U39" s="5">
        <f>(Cotacoes!U39-Cotacoes!U38)/Cotacoes!U38</f>
        <v>-5.2317161477190448E-2</v>
      </c>
      <c r="V39" s="5">
        <f>(Cotacoes!V39-Cotacoes!V38)/Cotacoes!V38</f>
        <v>8.8265835929387332E-2</v>
      </c>
      <c r="W39" s="5"/>
    </row>
    <row r="40" spans="1:23" x14ac:dyDescent="0.2">
      <c r="A40" s="4">
        <v>44616</v>
      </c>
      <c r="B40" s="5">
        <f>(Cotacoes!B40-Cotacoes!B39)/Cotacoes!B39</f>
        <v>-5.3304904051169682E-4</v>
      </c>
      <c r="C40" s="5">
        <f>(Cotacoes!C40-Cotacoes!C39)/Cotacoes!C39</f>
        <v>1.2333965844402182E-2</v>
      </c>
      <c r="D40" s="5">
        <f>(Cotacoes!D40-Cotacoes!D39)/Cotacoes!D39</f>
        <v>-2.3847376788553316E-2</v>
      </c>
      <c r="E40" s="5">
        <f>(Cotacoes!E40-Cotacoes!E39)/Cotacoes!E39</f>
        <v>-1.6958134605193444E-2</v>
      </c>
      <c r="F40" s="5">
        <f>(Cotacoes!F40-Cotacoes!F39)/Cotacoes!F39</f>
        <v>-1.5840220385674959E-2</v>
      </c>
      <c r="G40" s="5">
        <f>(Cotacoes!G40-Cotacoes!G39)/Cotacoes!G39</f>
        <v>2.5222551928783372E-2</v>
      </c>
      <c r="H40" s="5">
        <f>(Cotacoes!H40-Cotacoes!H39)/Cotacoes!H39</f>
        <v>-3.1890660592255121E-2</v>
      </c>
      <c r="I40" s="5">
        <f>(Cotacoes!I40-Cotacoes!I39)/Cotacoes!I39</f>
        <v>-2.9831387808041444E-2</v>
      </c>
      <c r="J40" s="5">
        <f>(Cotacoes!J40-Cotacoes!J39)/Cotacoes!J39</f>
        <v>1.2588116817724069E-2</v>
      </c>
      <c r="K40" s="5">
        <f>(Cotacoes!K40-Cotacoes!K39)/Cotacoes!K39</f>
        <v>-3.0728122912491707E-2</v>
      </c>
      <c r="L40" s="5">
        <f>(Cotacoes!L40-Cotacoes!L39)/Cotacoes!L39</f>
        <v>7.6335877862595148E-3</v>
      </c>
      <c r="M40" s="5">
        <f>(Cotacoes!M40-Cotacoes!M39)/Cotacoes!M39</f>
        <v>1.5936254980079341E-3</v>
      </c>
      <c r="N40" s="5">
        <f>(Cotacoes!N40-Cotacoes!N39)/Cotacoes!N39</f>
        <v>-1.6923076923076971E-2</v>
      </c>
      <c r="O40" s="5">
        <f>(Cotacoes!O40-Cotacoes!O39)/Cotacoes!O39</f>
        <v>-2.4596884394644273E-3</v>
      </c>
      <c r="P40" s="5">
        <f>(Cotacoes!P40-Cotacoes!P39)/Cotacoes!P39</f>
        <v>2.1089630931458665E-2</v>
      </c>
      <c r="Q40" s="5">
        <f>(Cotacoes!Q40-Cotacoes!Q39)/Cotacoes!Q39</f>
        <v>8.4206202505648746E-3</v>
      </c>
      <c r="R40" s="5">
        <f>(Cotacoes!R40-Cotacoes!R39)/Cotacoes!R39</f>
        <v>1.6330038676407348E-2</v>
      </c>
      <c r="S40" s="5">
        <f>(Cotacoes!S40-Cotacoes!S39)/Cotacoes!S39</f>
        <v>8.661417322834741E-3</v>
      </c>
      <c r="T40" s="5">
        <f>(Cotacoes!T40-Cotacoes!T39)/Cotacoes!T39</f>
        <v>-1.2072434607646332E-3</v>
      </c>
      <c r="U40" s="5">
        <f>(Cotacoes!U40-Cotacoes!U39)/Cotacoes!U39</f>
        <v>-1.9102196752622752E-4</v>
      </c>
      <c r="V40" s="5">
        <f>(Cotacoes!V40-Cotacoes!V39)/Cotacoes!V39</f>
        <v>-7.6526717557251878E-2</v>
      </c>
      <c r="W40" s="5"/>
    </row>
    <row r="41" spans="1:23" x14ac:dyDescent="0.2">
      <c r="A41" s="4">
        <v>44617</v>
      </c>
      <c r="B41" s="5">
        <f>(Cotacoes!B41-Cotacoes!B40)/Cotacoes!B40</f>
        <v>1.3333333333333334E-2</v>
      </c>
      <c r="C41" s="5">
        <f>(Cotacoes!C41-Cotacoes!C40)/Cotacoes!C40</f>
        <v>5.4201811933770681E-2</v>
      </c>
      <c r="D41" s="5">
        <f>(Cotacoes!D41-Cotacoes!D40)/Cotacoes!D40</f>
        <v>1.7915309446254125E-2</v>
      </c>
      <c r="E41" s="5">
        <f>(Cotacoes!E41-Cotacoes!E40)/Cotacoes!E40</f>
        <v>2.0485175202156279E-2</v>
      </c>
      <c r="F41" s="5">
        <f>(Cotacoes!F41-Cotacoes!F40)/Cotacoes!F40</f>
        <v>1.8894331700489948E-2</v>
      </c>
      <c r="G41" s="5">
        <f>(Cotacoes!G41-Cotacoes!G40)/Cotacoes!G40</f>
        <v>2.8943560057886502E-3</v>
      </c>
      <c r="H41" s="5">
        <f>(Cotacoes!H41-Cotacoes!H40)/Cotacoes!H40</f>
        <v>1.6470588235294185E-2</v>
      </c>
      <c r="I41" s="5">
        <f>(Cotacoes!I41-Cotacoes!I40)/Cotacoes!I40</f>
        <v>2.874331550802137E-2</v>
      </c>
      <c r="J41" s="5">
        <f>(Cotacoes!J41-Cotacoes!J40)/Cotacoes!J40</f>
        <v>2.9587270014917896E-2</v>
      </c>
      <c r="K41" s="5">
        <f>(Cotacoes!K41-Cotacoes!K40)/Cotacoes!K40</f>
        <v>5.5134390075809838E-3</v>
      </c>
      <c r="L41" s="5">
        <f>(Cotacoes!L41-Cotacoes!L40)/Cotacoes!L40</f>
        <v>-8.3333333333332916E-3</v>
      </c>
      <c r="M41" s="5">
        <f>(Cotacoes!M41-Cotacoes!M40)/Cotacoes!M40</f>
        <v>2.4661893396976969E-2</v>
      </c>
      <c r="N41" s="5">
        <f>(Cotacoes!N41-Cotacoes!N40)/Cotacoes!N40</f>
        <v>1.0954616588419451E-2</v>
      </c>
      <c r="O41" s="5">
        <f>(Cotacoes!O41-Cotacoes!O40)/Cotacoes!O40</f>
        <v>-1.6712328767123273E-2</v>
      </c>
      <c r="P41" s="5">
        <f>(Cotacoes!P41-Cotacoes!P40)/Cotacoes!P40</f>
        <v>8.6058519793458747E-3</v>
      </c>
      <c r="Q41" s="5">
        <f>(Cotacoes!Q41-Cotacoes!Q40)/Cotacoes!Q40</f>
        <v>2.1181262729124219E-2</v>
      </c>
      <c r="R41" s="5">
        <f>(Cotacoes!R41-Cotacoes!R40)/Cotacoes!R40</f>
        <v>1.2684989429175956E-3</v>
      </c>
      <c r="S41" s="5">
        <f>(Cotacoes!S41-Cotacoes!S40)/Cotacoes!S40</f>
        <v>-1.9516003122560777E-3</v>
      </c>
      <c r="T41" s="5">
        <f>(Cotacoes!T41-Cotacoes!T40)/Cotacoes!T40</f>
        <v>3.867848509266724E-2</v>
      </c>
      <c r="U41" s="5">
        <f>(Cotacoes!U41-Cotacoes!U40)/Cotacoes!U40</f>
        <v>-1.4138326327856362E-2</v>
      </c>
      <c r="V41" s="5">
        <f>(Cotacoes!V41-Cotacoes!V40)/Cotacoes!V40</f>
        <v>-4.9597024178549701E-3</v>
      </c>
      <c r="W41" s="5"/>
    </row>
    <row r="42" spans="1:23" x14ac:dyDescent="0.2">
      <c r="A42" s="4">
        <v>44622</v>
      </c>
      <c r="B42" s="5">
        <f>(Cotacoes!B42-Cotacoes!B41)/Cotacoes!B41</f>
        <v>2.6315789473684209E-2</v>
      </c>
      <c r="C42" s="5">
        <f>(Cotacoes!C42-Cotacoes!C41)/Cotacoes!C41</f>
        <v>7.986368350866796E-2</v>
      </c>
      <c r="D42" s="5">
        <f>(Cotacoes!D42-Cotacoes!D41)/Cotacoes!D41</f>
        <v>0.02</v>
      </c>
      <c r="E42" s="5">
        <f>(Cotacoes!E42-Cotacoes!E41)/Cotacoes!E41</f>
        <v>-1.690438457474909E-2</v>
      </c>
      <c r="F42" s="5">
        <f>(Cotacoes!F42-Cotacoes!F41)/Cotacoes!F41</f>
        <v>3.159340659340653E-2</v>
      </c>
      <c r="G42" s="5">
        <f>(Cotacoes!G42-Cotacoes!G41)/Cotacoes!G41</f>
        <v>2.8860028860028888E-2</v>
      </c>
      <c r="H42" s="5">
        <f>(Cotacoes!H42-Cotacoes!H41)/Cotacoes!H41</f>
        <v>1.0802469135802375E-2</v>
      </c>
      <c r="I42" s="5">
        <f>(Cotacoes!I42-Cotacoes!I41)/Cotacoes!I41</f>
        <v>-7.7972709551657566E-3</v>
      </c>
      <c r="J42" s="5">
        <f>(Cotacoes!J42-Cotacoes!J41)/Cotacoes!J41</f>
        <v>9.1765274088385067E-3</v>
      </c>
      <c r="K42" s="5">
        <f>(Cotacoes!K42-Cotacoes!K41)/Cotacoes!K41</f>
        <v>-1.0966415352981504E-2</v>
      </c>
      <c r="L42" s="5">
        <f>(Cotacoes!L42-Cotacoes!L41)/Cotacoes!L41</f>
        <v>-1.757066462948819E-2</v>
      </c>
      <c r="M42" s="5">
        <f>(Cotacoes!M42-Cotacoes!M41)/Cotacoes!M41</f>
        <v>-4.503105590062112E-2</v>
      </c>
      <c r="N42" s="5">
        <f>(Cotacoes!N42-Cotacoes!N41)/Cotacoes!N41</f>
        <v>-7.7399380804953283E-3</v>
      </c>
      <c r="O42" s="5">
        <f>(Cotacoes!O42-Cotacoes!O41)/Cotacoes!O41</f>
        <v>1.8389523544162623E-2</v>
      </c>
      <c r="P42" s="5">
        <f>(Cotacoes!P42-Cotacoes!P41)/Cotacoes!P41</f>
        <v>9.1012514220705429E-3</v>
      </c>
      <c r="Q42" s="5">
        <f>(Cotacoes!Q42-Cotacoes!Q41)/Cotacoes!Q41</f>
        <v>-1.3960909453530172E-3</v>
      </c>
      <c r="R42" s="5">
        <f>(Cotacoes!R42-Cotacoes!R41)/Cotacoes!R41</f>
        <v>-2.9560810810810779E-2</v>
      </c>
      <c r="S42" s="5">
        <f>(Cotacoes!S42-Cotacoes!S41)/Cotacoes!S41</f>
        <v>0</v>
      </c>
      <c r="T42" s="5">
        <f>(Cotacoes!T42-Cotacoes!T41)/Cotacoes!T41</f>
        <v>8.9992242048099302E-2</v>
      </c>
      <c r="U42" s="5">
        <f>(Cotacoes!U42-Cotacoes!U41)/Cotacoes!U41</f>
        <v>-1.6666666666666656E-2</v>
      </c>
      <c r="V42" s="5">
        <f>(Cotacoes!V42-Cotacoes!V41)/Cotacoes!V41</f>
        <v>1.7445482866043686E-2</v>
      </c>
      <c r="W42" s="5"/>
    </row>
    <row r="43" spans="1:23" x14ac:dyDescent="0.2">
      <c r="A43" s="4">
        <v>44623</v>
      </c>
      <c r="B43" s="5">
        <f>(Cotacoes!B43-Cotacoes!B42)/Cotacoes!B42</f>
        <v>-2.7692307692307283E-3</v>
      </c>
      <c r="C43" s="5">
        <f>(Cotacoes!C43-Cotacoes!C42)/Cotacoes!C42</f>
        <v>5.4884742041720982E-4</v>
      </c>
      <c r="D43" s="5">
        <f>(Cotacoes!D43-Cotacoes!D42)/Cotacoes!D42</f>
        <v>-1.2549019607843149E-2</v>
      </c>
      <c r="E43" s="5">
        <f>(Cotacoes!E43-Cotacoes!E42)/Cotacoes!E42</f>
        <v>1.0746910263299072E-3</v>
      </c>
      <c r="F43" s="5">
        <f>(Cotacoes!F43-Cotacoes!F42)/Cotacoes!F42</f>
        <v>-7.9893475366177909E-3</v>
      </c>
      <c r="G43" s="5">
        <f>(Cotacoes!G43-Cotacoes!G42)/Cotacoes!G42</f>
        <v>3.2959326788218841E-2</v>
      </c>
      <c r="H43" s="5">
        <f>(Cotacoes!H43-Cotacoes!H42)/Cotacoes!H42</f>
        <v>-2.2900763358778137E-3</v>
      </c>
      <c r="I43" s="5">
        <f>(Cotacoes!I43-Cotacoes!I42)/Cotacoes!I42</f>
        <v>1.7026850032743929E-2</v>
      </c>
      <c r="J43" s="5">
        <f>(Cotacoes!J43-Cotacoes!J42)/Cotacoes!J42</f>
        <v>7.8966259870782082E-3</v>
      </c>
      <c r="K43" s="5">
        <f>(Cotacoes!K43-Cotacoes!K42)/Cotacoes!K42</f>
        <v>1.9404019404019483E-2</v>
      </c>
      <c r="L43" s="5">
        <f>(Cotacoes!L43-Cotacoes!L42)/Cotacoes!L42</f>
        <v>3.1104199066874057E-2</v>
      </c>
      <c r="M43" s="5">
        <f>(Cotacoes!M43-Cotacoes!M42)/Cotacoes!M42</f>
        <v>-2.3577235772357798E-2</v>
      </c>
      <c r="N43" s="5">
        <f>(Cotacoes!N43-Cotacoes!N42)/Cotacoes!N42</f>
        <v>3.120124804992133E-3</v>
      </c>
      <c r="O43" s="5">
        <f>(Cotacoes!O43-Cotacoes!O42)/Cotacoes!O42</f>
        <v>-1.6689466484268112E-2</v>
      </c>
      <c r="P43" s="5">
        <f>(Cotacoes!P43-Cotacoes!P42)/Cotacoes!P42</f>
        <v>-4.1713641488162263E-2</v>
      </c>
      <c r="Q43" s="5">
        <f>(Cotacoes!Q43-Cotacoes!Q42)/Cotacoes!Q42</f>
        <v>-2.2967845016976206E-2</v>
      </c>
      <c r="R43" s="5">
        <f>(Cotacoes!R43-Cotacoes!R42)/Cotacoes!R42</f>
        <v>-6.5274151436032256E-3</v>
      </c>
      <c r="S43" s="5">
        <f>(Cotacoes!S43-Cotacoes!S42)/Cotacoes!S42</f>
        <v>1.9554165037153192E-3</v>
      </c>
      <c r="T43" s="5">
        <f>(Cotacoes!T43-Cotacoes!T42)/Cotacoes!T42</f>
        <v>1.1032028469750843E-2</v>
      </c>
      <c r="U43" s="5">
        <f>(Cotacoes!U43-Cotacoes!U42)/Cotacoes!U42</f>
        <v>-1.773748521876229E-2</v>
      </c>
      <c r="V43" s="5">
        <f>(Cotacoes!V43-Cotacoes!V42)/Cotacoes!V42</f>
        <v>-1.0410287813839663E-2</v>
      </c>
      <c r="W43" s="5"/>
    </row>
    <row r="44" spans="1:23" x14ac:dyDescent="0.2">
      <c r="A44" s="4">
        <v>44624</v>
      </c>
      <c r="B44" s="5">
        <f>(Cotacoes!B44-Cotacoes!B43)/Cotacoes!B43</f>
        <v>-9.3592512598993181E-3</v>
      </c>
      <c r="C44" s="5">
        <f>(Cotacoes!C44-Cotacoes!C43)/Cotacoes!C43</f>
        <v>2.2764673614920412E-2</v>
      </c>
      <c r="D44" s="5">
        <f>(Cotacoes!D44-Cotacoes!D43)/Cotacoes!D43</f>
        <v>0</v>
      </c>
      <c r="E44" s="5">
        <f>(Cotacoes!E44-Cotacoes!E43)/Cotacoes!E43</f>
        <v>-1.5029522275898958E-2</v>
      </c>
      <c r="F44" s="5">
        <f>(Cotacoes!F44-Cotacoes!F43)/Cotacoes!F43</f>
        <v>-6.7114093959731299E-3</v>
      </c>
      <c r="G44" s="5">
        <f>(Cotacoes!G44-Cotacoes!G43)/Cotacoes!G43</f>
        <v>8.4860828241683645E-3</v>
      </c>
      <c r="H44" s="5">
        <f>(Cotacoes!H44-Cotacoes!H43)/Cotacoes!H43</f>
        <v>-2.4483550114766661E-2</v>
      </c>
      <c r="I44" s="5">
        <f>(Cotacoes!I44-Cotacoes!I43)/Cotacoes!I43</f>
        <v>-1.1268512556342494E-2</v>
      </c>
      <c r="J44" s="5">
        <f>(Cotacoes!J44-Cotacoes!J43)/Cotacoes!J43</f>
        <v>6.4102564102564846E-3</v>
      </c>
      <c r="K44" s="5">
        <f>(Cotacoes!K44-Cotacoes!K43)/Cotacoes!K43</f>
        <v>-2.855200543847734E-2</v>
      </c>
      <c r="L44" s="5">
        <f>(Cotacoes!L44-Cotacoes!L43)/Cotacoes!L43</f>
        <v>-2.1870286576168865E-2</v>
      </c>
      <c r="M44" s="5">
        <f>(Cotacoes!M44-Cotacoes!M43)/Cotacoes!M43</f>
        <v>-1.7485428809325486E-2</v>
      </c>
      <c r="N44" s="5">
        <f>(Cotacoes!N44-Cotacoes!N43)/Cotacoes!N43</f>
        <v>-1.0886469673405817E-2</v>
      </c>
      <c r="O44" s="5">
        <f>(Cotacoes!O44-Cotacoes!O43)/Cotacoes!O43</f>
        <v>-3.0606566499721604E-3</v>
      </c>
      <c r="P44" s="5">
        <f>(Cotacoes!P44-Cotacoes!P43)/Cotacoes!P43</f>
        <v>-3.470588235294117E-2</v>
      </c>
      <c r="Q44" s="5">
        <f>(Cotacoes!Q44-Cotacoes!Q43)/Cotacoes!Q43</f>
        <v>6.7048242027800506E-2</v>
      </c>
      <c r="R44" s="5">
        <f>(Cotacoes!R44-Cotacoes!R43)/Cotacoes!R43</f>
        <v>-2.7595269382391548E-2</v>
      </c>
      <c r="S44" s="5">
        <f>(Cotacoes!S44-Cotacoes!S43)/Cotacoes!S43</f>
        <v>-1.0538641686182652E-2</v>
      </c>
      <c r="T44" s="5">
        <f>(Cotacoes!T44-Cotacoes!T43)/Cotacoes!T43</f>
        <v>-9.1517071453714027E-3</v>
      </c>
      <c r="U44" s="5">
        <f>(Cotacoes!U44-Cotacoes!U43)/Cotacoes!U43</f>
        <v>-4.2335473515248925E-2</v>
      </c>
      <c r="V44" s="5">
        <f>(Cotacoes!V44-Cotacoes!V43)/Cotacoes!V43</f>
        <v>-1.0313531353134727E-3</v>
      </c>
      <c r="W44" s="5"/>
    </row>
    <row r="45" spans="1:23" x14ac:dyDescent="0.2">
      <c r="A45" s="4">
        <v>44627</v>
      </c>
      <c r="B45" s="5">
        <f>(Cotacoes!B45-Cotacoes!B44)/Cotacoes!B44</f>
        <v>-2.0971760797342153E-2</v>
      </c>
      <c r="C45" s="5">
        <f>(Cotacoes!C45-Cotacoes!C44)/Cotacoes!C44</f>
        <v>3.0303030303030373E-2</v>
      </c>
      <c r="D45" s="5">
        <f>(Cotacoes!D45-Cotacoes!D44)/Cotacoes!D44</f>
        <v>-7.1485305798252616E-2</v>
      </c>
      <c r="E45" s="5">
        <f>(Cotacoes!E45-Cotacoes!E44)/Cotacoes!E44</f>
        <v>-2.1798365122615918E-2</v>
      </c>
      <c r="F45" s="5">
        <f>(Cotacoes!F45-Cotacoes!F44)/Cotacoes!F44</f>
        <v>-7.7027027027027059E-2</v>
      </c>
      <c r="G45" s="5">
        <f>(Cotacoes!G45-Cotacoes!G44)/Cotacoes!G44</f>
        <v>-1.3800067317401552E-2</v>
      </c>
      <c r="H45" s="5">
        <f>(Cotacoes!H45-Cotacoes!H44)/Cotacoes!H44</f>
        <v>-4.3137254901960839E-2</v>
      </c>
      <c r="I45" s="5">
        <f>(Cotacoes!I45-Cotacoes!I44)/Cotacoes!I44</f>
        <v>-5.2100293064148533E-2</v>
      </c>
      <c r="J45" s="5">
        <f>(Cotacoes!J45-Cotacoes!J44)/Cotacoes!J44</f>
        <v>-2.3354564755838688E-2</v>
      </c>
      <c r="K45" s="5">
        <f>(Cotacoes!K45-Cotacoes!K44)/Cotacoes!K44</f>
        <v>-2.5892232330300857E-2</v>
      </c>
      <c r="L45" s="5">
        <f>(Cotacoes!L45-Cotacoes!L44)/Cotacoes!L44</f>
        <v>-3.7779491133384746E-2</v>
      </c>
      <c r="M45" s="5">
        <f>(Cotacoes!M45-Cotacoes!M44)/Cotacoes!M44</f>
        <v>-3.5593220338983045E-2</v>
      </c>
      <c r="N45" s="5">
        <f>(Cotacoes!N45-Cotacoes!N44)/Cotacoes!N44</f>
        <v>-3.1446540880503172E-2</v>
      </c>
      <c r="O45" s="5">
        <f>(Cotacoes!O45-Cotacoes!O44)/Cotacoes!O44</f>
        <v>-2.037398827797926E-2</v>
      </c>
      <c r="P45" s="5">
        <f>(Cotacoes!P45-Cotacoes!P44)/Cotacoes!P44</f>
        <v>-6.7641681901279671E-2</v>
      </c>
      <c r="Q45" s="5">
        <f>(Cotacoes!Q45-Cotacoes!Q44)/Cotacoes!Q44</f>
        <v>1.3026819923371642E-2</v>
      </c>
      <c r="R45" s="5">
        <f>(Cotacoes!R45-Cotacoes!R44)/Cotacoes!R44</f>
        <v>-4.504504504504505E-2</v>
      </c>
      <c r="S45" s="5">
        <f>(Cotacoes!S45-Cotacoes!S44)/Cotacoes!S44</f>
        <v>-1.420118343195278E-2</v>
      </c>
      <c r="T45" s="5">
        <f>(Cotacoes!T45-Cotacoes!T44)/Cotacoes!T44</f>
        <v>-2.2735346358792079E-2</v>
      </c>
      <c r="U45" s="5">
        <f>(Cotacoes!U45-Cotacoes!U44)/Cotacoes!U44</f>
        <v>-4.1483343808925141E-2</v>
      </c>
      <c r="V45" s="5">
        <f>(Cotacoes!V45-Cotacoes!V44)/Cotacoes!V44</f>
        <v>1.3421432996076782E-2</v>
      </c>
      <c r="W45" s="5"/>
    </row>
    <row r="46" spans="1:23" x14ac:dyDescent="0.2">
      <c r="A46" s="4">
        <v>44628</v>
      </c>
      <c r="B46" s="5">
        <f>(Cotacoes!B46-Cotacoes!B45)/Cotacoes!B45</f>
        <v>2.6511134676564158E-3</v>
      </c>
      <c r="C46" s="5">
        <f>(Cotacoes!C46-Cotacoes!C45)/Cotacoes!C45</f>
        <v>-4.3857365955231709E-2</v>
      </c>
      <c r="D46" s="5">
        <f>(Cotacoes!D46-Cotacoes!D45)/Cotacoes!D45</f>
        <v>2.1385799828913601E-2</v>
      </c>
      <c r="E46" s="5">
        <f>(Cotacoes!E46-Cotacoes!E45)/Cotacoes!E45</f>
        <v>-9.4707520891363882E-3</v>
      </c>
      <c r="F46" s="5">
        <f>(Cotacoes!F46-Cotacoes!F45)/Cotacoes!F45</f>
        <v>1.6105417276720397E-2</v>
      </c>
      <c r="G46" s="5">
        <f>(Cotacoes!G46-Cotacoes!G45)/Cotacoes!G45</f>
        <v>1.56996587030717E-2</v>
      </c>
      <c r="H46" s="5">
        <f>(Cotacoes!H46-Cotacoes!H45)/Cotacoes!H45</f>
        <v>7.3770491803278578E-3</v>
      </c>
      <c r="I46" s="5">
        <f>(Cotacoes!I46-Cotacoes!I45)/Cotacoes!I45</f>
        <v>1.3053933356234938E-2</v>
      </c>
      <c r="J46" s="5">
        <f>(Cotacoes!J46-Cotacoes!J45)/Cotacoes!J45</f>
        <v>-7.0048309178743755E-3</v>
      </c>
      <c r="K46" s="5">
        <f>(Cotacoes!K46-Cotacoes!K45)/Cotacoes!K45</f>
        <v>1.29310344827586E-2</v>
      </c>
      <c r="L46" s="5">
        <f>(Cotacoes!L46-Cotacoes!L45)/Cotacoes!L45</f>
        <v>-2.003205128205128E-2</v>
      </c>
      <c r="M46" s="5">
        <f>(Cotacoes!M46-Cotacoes!M45)/Cotacoes!M45</f>
        <v>8.7873462214409367E-4</v>
      </c>
      <c r="N46" s="5">
        <f>(Cotacoes!N46-Cotacoes!N45)/Cotacoes!N45</f>
        <v>-3.2467532467533216E-3</v>
      </c>
      <c r="O46" s="5">
        <f>(Cotacoes!O46-Cotacoes!O45)/Cotacoes!O45</f>
        <v>3.7037037037035742E-3</v>
      </c>
      <c r="P46" s="5">
        <f>(Cotacoes!P46-Cotacoes!P45)/Cotacoes!P45</f>
        <v>1.8300653594771198E-2</v>
      </c>
      <c r="Q46" s="5">
        <f>(Cotacoes!Q46-Cotacoes!Q45)/Cotacoes!Q45</f>
        <v>-2.4583963691377185E-3</v>
      </c>
      <c r="R46" s="5">
        <f>(Cotacoes!R46-Cotacoes!R45)/Cotacoes!R45</f>
        <v>1.933962264150944E-2</v>
      </c>
      <c r="S46" s="5">
        <f>(Cotacoes!S46-Cotacoes!S45)/Cotacoes!S45</f>
        <v>-4.0016006402560176E-3</v>
      </c>
      <c r="T46" s="5">
        <f>(Cotacoes!T46-Cotacoes!T45)/Cotacoes!T45</f>
        <v>1.4176663031624754E-2</v>
      </c>
      <c r="U46" s="5">
        <f>(Cotacoes!U46-Cotacoes!U45)/Cotacoes!U45</f>
        <v>1.5300546448087494E-2</v>
      </c>
      <c r="V46" s="5">
        <f>(Cotacoes!V46-Cotacoes!V45)/Cotacoes!V45</f>
        <v>-5.908720456397701E-3</v>
      </c>
      <c r="W46" s="5"/>
    </row>
    <row r="47" spans="1:23" x14ac:dyDescent="0.2">
      <c r="A47" s="4">
        <v>44629</v>
      </c>
      <c r="B47" s="5">
        <f>(Cotacoes!B47-Cotacoes!B46)/Cotacoes!B46</f>
        <v>1.3537810682178754E-2</v>
      </c>
      <c r="C47" s="5">
        <f>(Cotacoes!C47-Cotacoes!C46)/Cotacoes!C46</f>
        <v>-2.6269225534231559E-2</v>
      </c>
      <c r="D47" s="5">
        <f>(Cotacoes!D47-Cotacoes!D46)/Cotacoes!D46</f>
        <v>2.5125628140704472E-3</v>
      </c>
      <c r="E47" s="5">
        <f>(Cotacoes!E47-Cotacoes!E46)/Cotacoes!E46</f>
        <v>5.0056242969628822E-2</v>
      </c>
      <c r="F47" s="5">
        <f>(Cotacoes!F47-Cotacoes!F46)/Cotacoes!F46</f>
        <v>0</v>
      </c>
      <c r="G47" s="5">
        <f>(Cotacoes!G47-Cotacoes!G46)/Cotacoes!G46</f>
        <v>3.4946236559139754E-2</v>
      </c>
      <c r="H47" s="5">
        <f>(Cotacoes!H47-Cotacoes!H46)/Cotacoes!H46</f>
        <v>5.6956875508543621E-2</v>
      </c>
      <c r="I47" s="5">
        <f>(Cotacoes!I47-Cotacoes!I46)/Cotacoes!I46</f>
        <v>4.8830111902339823E-2</v>
      </c>
      <c r="J47" s="5">
        <f>(Cotacoes!J47-Cotacoes!J46)/Cotacoes!J46</f>
        <v>5.5460958404281224E-2</v>
      </c>
      <c r="K47" s="5">
        <f>(Cotacoes!K47-Cotacoes!K46)/Cotacoes!K46</f>
        <v>6.4539007092198591E-2</v>
      </c>
      <c r="L47" s="5">
        <f>(Cotacoes!L47-Cotacoes!L46)/Cotacoes!L46</f>
        <v>1.3082583810302546E-2</v>
      </c>
      <c r="M47" s="5">
        <f>(Cotacoes!M47-Cotacoes!M46)/Cotacoes!M46</f>
        <v>3.5996488147497813E-2</v>
      </c>
      <c r="N47" s="5">
        <f>(Cotacoes!N47-Cotacoes!N46)/Cotacoes!N46</f>
        <v>5.3745928338762232E-2</v>
      </c>
      <c r="O47" s="5">
        <f>(Cotacoes!O47-Cotacoes!O46)/Cotacoes!O46</f>
        <v>2.7533352256599662E-2</v>
      </c>
      <c r="P47" s="5">
        <f>(Cotacoes!P47-Cotacoes!P46)/Cotacoes!P46</f>
        <v>5.6482670089858841E-2</v>
      </c>
      <c r="Q47" s="5">
        <f>(Cotacoes!Q47-Cotacoes!Q46)/Cotacoes!Q46</f>
        <v>1.9715639810426525E-2</v>
      </c>
      <c r="R47" s="5">
        <f>(Cotacoes!R47-Cotacoes!R46)/Cotacoes!R46</f>
        <v>6.8486811661267952E-2</v>
      </c>
      <c r="S47" s="5">
        <f>(Cotacoes!S47-Cotacoes!S46)/Cotacoes!S46</f>
        <v>3.5355564483728362E-2</v>
      </c>
      <c r="T47" s="5">
        <f>(Cotacoes!T47-Cotacoes!T46)/Cotacoes!T46</f>
        <v>-6.4516129032257966E-2</v>
      </c>
      <c r="U47" s="5">
        <f>(Cotacoes!U47-Cotacoes!U46)/Cotacoes!U46</f>
        <v>7.7287405812701743E-2</v>
      </c>
      <c r="V47" s="5">
        <f>(Cotacoes!V47-Cotacoes!V46)/Cotacoes!V46</f>
        <v>1.3527362164378023E-2</v>
      </c>
      <c r="W47" s="5"/>
    </row>
    <row r="48" spans="1:23" x14ac:dyDescent="0.2">
      <c r="A48" s="4">
        <v>44630</v>
      </c>
      <c r="B48" s="5">
        <f>(Cotacoes!B48-Cotacoes!B47)/Cotacoes!B47</f>
        <v>-1.0435145570286045E-4</v>
      </c>
      <c r="C48" s="5">
        <f>(Cotacoes!C48-Cotacoes!C47)/Cotacoes!C47</f>
        <v>3.2988537880905777E-2</v>
      </c>
      <c r="D48" s="5">
        <f>(Cotacoes!D48-Cotacoes!D47)/Cotacoes!D47</f>
        <v>3.5087719298245605E-2</v>
      </c>
      <c r="E48" s="5">
        <f>(Cotacoes!E48-Cotacoes!E47)/Cotacoes!E47</f>
        <v>5.3561863952854901E-4</v>
      </c>
      <c r="F48" s="5">
        <f>(Cotacoes!F48-Cotacoes!F47)/Cotacoes!F47</f>
        <v>2.8097982708933628E-2</v>
      </c>
      <c r="G48" s="5">
        <f>(Cotacoes!G48-Cotacoes!G47)/Cotacoes!G47</f>
        <v>-2.8896103896103913E-2</v>
      </c>
      <c r="H48" s="5">
        <f>(Cotacoes!H48-Cotacoes!H47)/Cotacoes!H47</f>
        <v>-1.3086989992301765E-2</v>
      </c>
      <c r="I48" s="5">
        <f>(Cotacoes!I48-Cotacoes!I47)/Cotacoes!I47</f>
        <v>-7.4361461364371301E-3</v>
      </c>
      <c r="J48" s="5">
        <f>(Cotacoes!J48-Cotacoes!J47)/Cotacoes!J47</f>
        <v>-2.535146347084585E-2</v>
      </c>
      <c r="K48" s="5">
        <f>(Cotacoes!K48-Cotacoes!K47)/Cotacoes!K47</f>
        <v>-6.6622251832111692E-3</v>
      </c>
      <c r="L48" s="5">
        <f>(Cotacoes!L48-Cotacoes!L47)/Cotacoes!L47</f>
        <v>-3.5512510088781375E-2</v>
      </c>
      <c r="M48" s="5">
        <f>(Cotacoes!M48-Cotacoes!M47)/Cotacoes!M47</f>
        <v>-3.8983050847457699E-2</v>
      </c>
      <c r="N48" s="5">
        <f>(Cotacoes!N48-Cotacoes!N47)/Cotacoes!N47</f>
        <v>-1.2364760432766627E-2</v>
      </c>
      <c r="O48" s="5">
        <f>(Cotacoes!O48-Cotacoes!O47)/Cotacoes!O47</f>
        <v>-2.4033149171270841E-2</v>
      </c>
      <c r="P48" s="5">
        <f>(Cotacoes!P48-Cotacoes!P47)/Cotacoes!P47</f>
        <v>-0.14884568651275826</v>
      </c>
      <c r="Q48" s="5">
        <f>(Cotacoes!Q48-Cotacoes!Q47)/Cotacoes!Q47</f>
        <v>2.9559397657557232E-2</v>
      </c>
      <c r="R48" s="5">
        <f>(Cotacoes!R48-Cotacoes!R47)/Cotacoes!R47</f>
        <v>-2.4252923343438662E-2</v>
      </c>
      <c r="S48" s="5">
        <f>(Cotacoes!S48-Cotacoes!S47)/Cotacoes!S47</f>
        <v>-2.716336825766406E-3</v>
      </c>
      <c r="T48" s="5">
        <f>(Cotacoes!T48-Cotacoes!T47)/Cotacoes!T47</f>
        <v>-1.2260536398467444E-2</v>
      </c>
      <c r="U48" s="5">
        <f>(Cotacoes!U48-Cotacoes!U47)/Cotacoes!U47</f>
        <v>-1.2989608313349292E-2</v>
      </c>
      <c r="V48" s="5">
        <f>(Cotacoes!V48-Cotacoes!V47)/Cotacoes!V47</f>
        <v>-2.1031344792720043E-2</v>
      </c>
      <c r="W48" s="5"/>
    </row>
    <row r="49" spans="1:23" x14ac:dyDescent="0.2">
      <c r="A49" s="4">
        <v>44631</v>
      </c>
      <c r="B49" s="5">
        <f>(Cotacoes!B49-Cotacoes!B48)/Cotacoes!B48</f>
        <v>3.1308703819663057E-4</v>
      </c>
      <c r="C49" s="5">
        <f>(Cotacoes!C49-Cotacoes!C48)/Cotacoes!C48</f>
        <v>-5.2774018944519692E-3</v>
      </c>
      <c r="D49" s="5">
        <f>(Cotacoes!D49-Cotacoes!D48)/Cotacoes!D48</f>
        <v>-3.5512510088781375E-2</v>
      </c>
      <c r="E49" s="5">
        <f>(Cotacoes!E49-Cotacoes!E48)/Cotacoes!E48</f>
        <v>-1.1241970021413321E-2</v>
      </c>
      <c r="F49" s="5">
        <f>(Cotacoes!F49-Cotacoes!F48)/Cotacoes!F48</f>
        <v>-2.3826208829712675E-2</v>
      </c>
      <c r="G49" s="5">
        <f>(Cotacoes!G49-Cotacoes!G48)/Cotacoes!G48</f>
        <v>-1.0698762955533276E-2</v>
      </c>
      <c r="H49" s="5">
        <f>(Cotacoes!H49-Cotacoes!H48)/Cotacoes!H48</f>
        <v>-1.9500780031201249E-2</v>
      </c>
      <c r="I49" s="5">
        <f>(Cotacoes!I49-Cotacoes!I48)/Cotacoes!I48</f>
        <v>-1.8892508143322419E-2</v>
      </c>
      <c r="J49" s="5">
        <f>(Cotacoes!J49-Cotacoes!J48)/Cotacoes!J48</f>
        <v>-1.0640813431071075E-2</v>
      </c>
      <c r="K49" s="5">
        <f>(Cotacoes!K49-Cotacoes!K48)/Cotacoes!K48</f>
        <v>-4.024144869215325E-3</v>
      </c>
      <c r="L49" s="5">
        <f>(Cotacoes!L49-Cotacoes!L48)/Cotacoes!L48</f>
        <v>-3.3472803347279621E-3</v>
      </c>
      <c r="M49" s="5">
        <f>(Cotacoes!M49-Cotacoes!M48)/Cotacoes!M48</f>
        <v>-1.4991181657848318E-2</v>
      </c>
      <c r="N49" s="5">
        <f>(Cotacoes!N49-Cotacoes!N48)/Cotacoes!N48</f>
        <v>-9.3896713615022869E-3</v>
      </c>
      <c r="O49" s="5">
        <f>(Cotacoes!O49-Cotacoes!O48)/Cotacoes!O48</f>
        <v>-6.5100481177468687E-3</v>
      </c>
      <c r="P49" s="5">
        <f>(Cotacoes!P49-Cotacoes!P48)/Cotacoes!P48</f>
        <v>-5.9957173447537461E-2</v>
      </c>
      <c r="Q49" s="5">
        <f>(Cotacoes!Q49-Cotacoes!Q48)/Cotacoes!Q48</f>
        <v>4.1531238714336742E-3</v>
      </c>
      <c r="R49" s="5">
        <f>(Cotacoes!R49-Cotacoes!R48)/Cotacoes!R48</f>
        <v>-1.5534842432312535E-2</v>
      </c>
      <c r="S49" s="5">
        <f>(Cotacoes!S49-Cotacoes!S48)/Cotacoes!S48</f>
        <v>-1.4007782101167293E-2</v>
      </c>
      <c r="T49" s="5">
        <f>(Cotacoes!T49-Cotacoes!T48)/Cotacoes!T48</f>
        <v>-3.5298681148176886E-2</v>
      </c>
      <c r="U49" s="5">
        <f>(Cotacoes!U49-Cotacoes!U48)/Cotacoes!U48</f>
        <v>-2.4498886414253913E-2</v>
      </c>
      <c r="V49" s="5">
        <f>(Cotacoes!V49-Cotacoes!V48)/Cotacoes!V48</f>
        <v>-3.5116711423258543E-3</v>
      </c>
      <c r="W49" s="5"/>
    </row>
    <row r="50" spans="1:23" x14ac:dyDescent="0.2">
      <c r="A50" s="4">
        <v>44634</v>
      </c>
      <c r="B50" s="5">
        <f>(Cotacoes!B50-Cotacoes!B49)/Cotacoes!B49</f>
        <v>-3.2550860719874702E-2</v>
      </c>
      <c r="C50" s="5">
        <f>(Cotacoes!C50-Cotacoes!C49)/Cotacoes!C49</f>
        <v>-5.3598149911576812E-2</v>
      </c>
      <c r="D50" s="5">
        <f>(Cotacoes!D50-Cotacoes!D49)/Cotacoes!D49</f>
        <v>-1.9246861924686082E-2</v>
      </c>
      <c r="E50" s="5">
        <f>(Cotacoes!E50-Cotacoes!E49)/Cotacoes!E49</f>
        <v>1.4076881429344969E-2</v>
      </c>
      <c r="F50" s="5">
        <f>(Cotacoes!F50-Cotacoes!F49)/Cotacoes!F49</f>
        <v>-1.2203876525484561E-2</v>
      </c>
      <c r="G50" s="5">
        <f>(Cotacoes!G50-Cotacoes!G49)/Cotacoes!G49</f>
        <v>-1.1490368367691782E-2</v>
      </c>
      <c r="H50" s="5">
        <f>(Cotacoes!H50-Cotacoes!H49)/Cotacoes!H49</f>
        <v>5.5688146380270713E-3</v>
      </c>
      <c r="I50" s="5">
        <f>(Cotacoes!I50-Cotacoes!I49)/Cotacoes!I49</f>
        <v>-9.9601593625498249E-3</v>
      </c>
      <c r="J50" s="5">
        <f>(Cotacoes!J50-Cotacoes!J49)/Cotacoes!J49</f>
        <v>1.4101338432122282E-2</v>
      </c>
      <c r="K50" s="5">
        <f>(Cotacoes!K50-Cotacoes!K49)/Cotacoes!K49</f>
        <v>7.4074074074074892E-3</v>
      </c>
      <c r="L50" s="5">
        <f>(Cotacoes!L50-Cotacoes!L49)/Cotacoes!L49</f>
        <v>0</v>
      </c>
      <c r="M50" s="5">
        <f>(Cotacoes!M50-Cotacoes!M49)/Cotacoes!M49</f>
        <v>9.847806624888043E-3</v>
      </c>
      <c r="N50" s="5">
        <f>(Cotacoes!N50-Cotacoes!N49)/Cotacoes!N49</f>
        <v>7.8988941548182971E-3</v>
      </c>
      <c r="O50" s="5">
        <f>(Cotacoes!O50-Cotacoes!O49)/Cotacoes!O49</f>
        <v>3.1339031339031177E-3</v>
      </c>
      <c r="P50" s="5">
        <f>(Cotacoes!P50-Cotacoes!P49)/Cotacoes!P49</f>
        <v>-3.0372057706908994E-3</v>
      </c>
      <c r="Q50" s="5">
        <f>(Cotacoes!Q50-Cotacoes!Q49)/Cotacoes!Q49</f>
        <v>-2.0679733860816375E-2</v>
      </c>
      <c r="R50" s="5">
        <f>(Cotacoes!R50-Cotacoes!R49)/Cotacoes!R49</f>
        <v>-1.9837691614066785E-2</v>
      </c>
      <c r="S50" s="5">
        <f>(Cotacoes!S50-Cotacoes!S49)/Cotacoes!S49</f>
        <v>1.1444356748224117E-2</v>
      </c>
      <c r="T50" s="5">
        <f>(Cotacoes!T50-Cotacoes!T49)/Cotacoes!T49</f>
        <v>-5.4282267792521162E-2</v>
      </c>
      <c r="U50" s="5">
        <f>(Cotacoes!U50-Cotacoes!U49)/Cotacoes!U49</f>
        <v>-3.9435450394354034E-3</v>
      </c>
      <c r="V50" s="5">
        <f>(Cotacoes!V50-Cotacoes!V49)/Cotacoes!V49</f>
        <v>-1.4096185737976776E-2</v>
      </c>
      <c r="W50" s="5"/>
    </row>
    <row r="51" spans="1:23" x14ac:dyDescent="0.2">
      <c r="A51" s="4">
        <v>44635</v>
      </c>
      <c r="B51" s="5">
        <f>(Cotacoes!B51-Cotacoes!B50)/Cotacoes!B50</f>
        <v>-6.7939178259463998E-3</v>
      </c>
      <c r="C51" s="5">
        <f>(Cotacoes!C51-Cotacoes!C50)/Cotacoes!C50</f>
        <v>-2.8748023573379335E-2</v>
      </c>
      <c r="D51" s="5">
        <f>(Cotacoes!D51-Cotacoes!D50)/Cotacoes!D50</f>
        <v>-2.3890784982935249E-2</v>
      </c>
      <c r="E51" s="5">
        <f>(Cotacoes!E51-Cotacoes!E50)/Cotacoes!E50</f>
        <v>-3.2034169781099157E-3</v>
      </c>
      <c r="F51" s="5">
        <f>(Cotacoes!F51-Cotacoes!F50)/Cotacoes!F50</f>
        <v>-1.8895348837209287E-2</v>
      </c>
      <c r="G51" s="5">
        <f>(Cotacoes!G51-Cotacoes!G50)/Cotacoes!G50</f>
        <v>-2.6666666666666707E-2</v>
      </c>
      <c r="H51" s="5">
        <f>(Cotacoes!H51-Cotacoes!H50)/Cotacoes!H50</f>
        <v>-1.1867088607594964E-2</v>
      </c>
      <c r="I51" s="5">
        <f>(Cotacoes!I51-Cotacoes!I50)/Cotacoes!I50</f>
        <v>2.0120724346076031E-3</v>
      </c>
      <c r="J51" s="5">
        <f>(Cotacoes!J51-Cotacoes!J50)/Cotacoes!J50</f>
        <v>7.0704690077774491E-3</v>
      </c>
      <c r="K51" s="5">
        <f>(Cotacoes!K51-Cotacoes!K50)/Cotacoes!K50</f>
        <v>-2.6737967914439117E-3</v>
      </c>
      <c r="L51" s="5">
        <f>(Cotacoes!L51-Cotacoes!L50)/Cotacoes!L50</f>
        <v>2.5188916876573769E-3</v>
      </c>
      <c r="M51" s="5">
        <f>(Cotacoes!M51-Cotacoes!M50)/Cotacoes!M50</f>
        <v>1.1524822695035531E-2</v>
      </c>
      <c r="N51" s="5">
        <f>(Cotacoes!N51-Cotacoes!N50)/Cotacoes!N50</f>
        <v>-9.4043887147334804E-3</v>
      </c>
      <c r="O51" s="5">
        <f>(Cotacoes!O51-Cotacoes!O50)/Cotacoes!O50</f>
        <v>1.2780460096563355E-2</v>
      </c>
      <c r="P51" s="5">
        <f>(Cotacoes!P51-Cotacoes!P50)/Cotacoes!P50</f>
        <v>2.8179741051028117E-2</v>
      </c>
      <c r="Q51" s="5">
        <f>(Cotacoes!Q51-Cotacoes!Q50)/Cotacoes!Q50</f>
        <v>-2.0932794711715032E-2</v>
      </c>
      <c r="R51" s="5">
        <f>(Cotacoes!R51-Cotacoes!R50)/Cotacoes!R50</f>
        <v>5.5197792088316931E-3</v>
      </c>
      <c r="S51" s="5">
        <f>(Cotacoes!S51-Cotacoes!S50)/Cotacoes!S50</f>
        <v>1.9508388607101333E-3</v>
      </c>
      <c r="T51" s="5">
        <f>(Cotacoes!T51-Cotacoes!T50)/Cotacoes!T50</f>
        <v>6.3775510204082536E-3</v>
      </c>
      <c r="U51" s="5">
        <f>(Cotacoes!U51-Cotacoes!U50)/Cotacoes!U50</f>
        <v>-6.6680558449677069E-3</v>
      </c>
      <c r="V51" s="5">
        <f>(Cotacoes!V51-Cotacoes!V50)/Cotacoes!V50</f>
        <v>1.5138772077375922E-2</v>
      </c>
      <c r="W51" s="5"/>
    </row>
    <row r="52" spans="1:23" x14ac:dyDescent="0.2">
      <c r="A52" s="4">
        <v>44636</v>
      </c>
      <c r="B52" s="5">
        <f>(Cotacoes!B52-Cotacoes!B51)/Cotacoes!B51</f>
        <v>3.0401737242128249E-3</v>
      </c>
      <c r="C52" s="5">
        <f>(Cotacoes!C52-Cotacoes!C51)/Cotacoes!C51</f>
        <v>2.427112623945539E-2</v>
      </c>
      <c r="D52" s="5">
        <f>(Cotacoes!D52-Cotacoes!D51)/Cotacoes!D51</f>
        <v>-8.7412587412587107E-3</v>
      </c>
      <c r="E52" s="5">
        <f>(Cotacoes!E52-Cotacoes!E51)/Cotacoes!E51</f>
        <v>1.928227102303157E-2</v>
      </c>
      <c r="F52" s="5">
        <f>(Cotacoes!F52-Cotacoes!F51)/Cotacoes!F51</f>
        <v>7.4074074074072498E-4</v>
      </c>
      <c r="G52" s="5">
        <f>(Cotacoes!G52-Cotacoes!G51)/Cotacoes!G51</f>
        <v>5.9009483667017908E-2</v>
      </c>
      <c r="H52" s="5">
        <f>(Cotacoes!H52-Cotacoes!H51)/Cotacoes!H51</f>
        <v>1.361088871096877E-2</v>
      </c>
      <c r="I52" s="5">
        <f>(Cotacoes!I52-Cotacoes!I51)/Cotacoes!I51</f>
        <v>-8.7014725568941766E-3</v>
      </c>
      <c r="J52" s="5">
        <f>(Cotacoes!J52-Cotacoes!J51)/Cotacoes!J51</f>
        <v>1.2871518839223129E-2</v>
      </c>
      <c r="K52" s="5">
        <f>(Cotacoes!K52-Cotacoes!K51)/Cotacoes!K51</f>
        <v>1.4745308310992E-2</v>
      </c>
      <c r="L52" s="5">
        <f>(Cotacoes!L52-Cotacoes!L51)/Cotacoes!L51</f>
        <v>2.2613065326633281E-2</v>
      </c>
      <c r="M52" s="5">
        <f>(Cotacoes!M52-Cotacoes!M51)/Cotacoes!M51</f>
        <v>2.2787028921998229E-2</v>
      </c>
      <c r="N52" s="5">
        <f>(Cotacoes!N52-Cotacoes!N51)/Cotacoes!N51</f>
        <v>1.8987341772151913E-2</v>
      </c>
      <c r="O52" s="5">
        <f>(Cotacoes!O52-Cotacoes!O51)/Cotacoes!O51</f>
        <v>2.0471116096466742E-2</v>
      </c>
      <c r="P52" s="5">
        <f>(Cotacoes!P52-Cotacoes!P51)/Cotacoes!P51</f>
        <v>5.7777777777777733E-2</v>
      </c>
      <c r="Q52" s="5">
        <f>(Cotacoes!Q52-Cotacoes!Q51)/Cotacoes!Q51</f>
        <v>3.4883720930232551E-2</v>
      </c>
      <c r="R52" s="5">
        <f>(Cotacoes!R52-Cotacoes!R51)/Cotacoes!R51</f>
        <v>3.1564501372369685E-2</v>
      </c>
      <c r="S52" s="5">
        <f>(Cotacoes!S52-Cotacoes!S51)/Cotacoes!S51</f>
        <v>6.6199376947041165E-3</v>
      </c>
      <c r="T52" s="5">
        <f>(Cotacoes!T52-Cotacoes!T51)/Cotacoes!T51</f>
        <v>-2.3236163920574596E-2</v>
      </c>
      <c r="U52" s="5">
        <f>(Cotacoes!U52-Cotacoes!U51)/Cotacoes!U51</f>
        <v>1.5733165512901194E-2</v>
      </c>
      <c r="V52" s="5">
        <f>(Cotacoes!V52-Cotacoes!V51)/Cotacoes!V51</f>
        <v>1.6984258492129253E-2</v>
      </c>
      <c r="W52" s="5"/>
    </row>
    <row r="53" spans="1:23" x14ac:dyDescent="0.2">
      <c r="A53" s="4">
        <v>44637</v>
      </c>
      <c r="B53" s="5">
        <f>(Cotacoes!B53-Cotacoes!B52)/Cotacoes!B52</f>
        <v>3.1067330591037071E-2</v>
      </c>
      <c r="C53" s="5">
        <f>(Cotacoes!C53-Cotacoes!C52)/Cotacoes!C52</f>
        <v>3.4821557578384787E-2</v>
      </c>
      <c r="D53" s="5">
        <f>(Cotacoes!D53-Cotacoes!D52)/Cotacoes!D52</f>
        <v>-2.7336860670194047E-2</v>
      </c>
      <c r="E53" s="5">
        <f>(Cotacoes!E53-Cotacoes!E52)/Cotacoes!E52</f>
        <v>2.207041513399885E-2</v>
      </c>
      <c r="F53" s="5">
        <f>(Cotacoes!F53-Cotacoes!F52)/Cotacoes!F52</f>
        <v>-2.5906735751295311E-2</v>
      </c>
      <c r="G53" s="5">
        <f>(Cotacoes!G53-Cotacoes!G52)/Cotacoes!G52</f>
        <v>3.5157545605306879E-2</v>
      </c>
      <c r="H53" s="5">
        <f>(Cotacoes!H53-Cotacoes!H52)/Cotacoes!H52</f>
        <v>8.688783570300113E-3</v>
      </c>
      <c r="I53" s="5">
        <f>(Cotacoes!I53-Cotacoes!I52)/Cotacoes!I52</f>
        <v>1.9243754220121548E-2</v>
      </c>
      <c r="J53" s="5">
        <f>(Cotacoes!J53-Cotacoes!J52)/Cotacoes!J52</f>
        <v>2.4260628465803999E-2</v>
      </c>
      <c r="K53" s="5">
        <f>(Cotacoes!K53-Cotacoes!K52)/Cotacoes!K52</f>
        <v>3.302509907529652E-3</v>
      </c>
      <c r="L53" s="5">
        <f>(Cotacoes!L53-Cotacoes!L52)/Cotacoes!L52</f>
        <v>2.2113022113022077E-2</v>
      </c>
      <c r="M53" s="5">
        <f>(Cotacoes!M53-Cotacoes!M52)/Cotacoes!M52</f>
        <v>1.1139674378748996E-2</v>
      </c>
      <c r="N53" s="5">
        <f>(Cotacoes!N53-Cotacoes!N52)/Cotacoes!N52</f>
        <v>2.6397515527950298E-2</v>
      </c>
      <c r="O53" s="5">
        <f>(Cotacoes!O53-Cotacoes!O52)/Cotacoes!O52</f>
        <v>1.5938444627644911E-2</v>
      </c>
      <c r="P53" s="5">
        <f>(Cotacoes!P53-Cotacoes!P52)/Cotacoes!P52</f>
        <v>2.8011204481792742E-2</v>
      </c>
      <c r="Q53" s="5">
        <f>(Cotacoes!Q53-Cotacoes!Q52)/Cotacoes!Q52</f>
        <v>1.6129032258064526E-2</v>
      </c>
      <c r="R53" s="5">
        <f>(Cotacoes!R53-Cotacoes!R52)/Cotacoes!R52</f>
        <v>2.7494456762749489E-2</v>
      </c>
      <c r="S53" s="5">
        <f>(Cotacoes!S53-Cotacoes!S52)/Cotacoes!S52</f>
        <v>1.5087040618955397E-2</v>
      </c>
      <c r="T53" s="5">
        <f>(Cotacoes!T53-Cotacoes!T52)/Cotacoes!T52</f>
        <v>8.1747404844290675E-2</v>
      </c>
      <c r="U53" s="5">
        <f>(Cotacoes!U53-Cotacoes!U52)/Cotacoes!U52</f>
        <v>1.1565468814539346E-2</v>
      </c>
      <c r="V53" s="5">
        <f>(Cotacoes!V53-Cotacoes!V52)/Cotacoes!V52</f>
        <v>-3.8696537678208722E-3</v>
      </c>
      <c r="W53" s="5"/>
    </row>
    <row r="54" spans="1:23" x14ac:dyDescent="0.2">
      <c r="A54" s="4">
        <v>44638</v>
      </c>
      <c r="B54" s="5">
        <f>(Cotacoes!B54-Cotacoes!B53)/Cotacoes!B53</f>
        <v>2.0997375328083989E-2</v>
      </c>
      <c r="C54" s="5">
        <f>(Cotacoes!C54-Cotacoes!C53)/Cotacoes!C53</f>
        <v>1.8989109187377819E-2</v>
      </c>
      <c r="D54" s="5">
        <f>(Cotacoes!D54-Cotacoes!D53)/Cotacoes!D53</f>
        <v>1.9945602901178663E-2</v>
      </c>
      <c r="E54" s="5">
        <f>(Cotacoes!E54-Cotacoes!E53)/Cotacoes!E53</f>
        <v>7.197943444730107E-3</v>
      </c>
      <c r="F54" s="5">
        <f>(Cotacoes!F54-Cotacoes!F53)/Cotacoes!F53</f>
        <v>8.358662613981719E-3</v>
      </c>
      <c r="G54" s="5">
        <f>(Cotacoes!G54-Cotacoes!G53)/Cotacoes!G53</f>
        <v>5.7673822492790676E-3</v>
      </c>
      <c r="H54" s="5">
        <f>(Cotacoes!H54-Cotacoes!H53)/Cotacoes!H53</f>
        <v>-1.5661707126076408E-3</v>
      </c>
      <c r="I54" s="5">
        <f>(Cotacoes!I54-Cotacoes!I53)/Cotacoes!I53</f>
        <v>2.8155018217952892E-2</v>
      </c>
      <c r="J54" s="5">
        <f>(Cotacoes!J54-Cotacoes!J53)/Cotacoes!J53</f>
        <v>1.8723212271599329E-2</v>
      </c>
      <c r="K54" s="5">
        <f>(Cotacoes!K54-Cotacoes!K53)/Cotacoes!K53</f>
        <v>-1.9749835418037764E-3</v>
      </c>
      <c r="L54" s="5">
        <f>(Cotacoes!L54-Cotacoes!L53)/Cotacoes!L53</f>
        <v>1.5224358974358934E-2</v>
      </c>
      <c r="M54" s="5">
        <f>(Cotacoes!M54-Cotacoes!M53)/Cotacoes!M53</f>
        <v>2.2881355932203352E-2</v>
      </c>
      <c r="N54" s="5">
        <f>(Cotacoes!N54-Cotacoes!N53)/Cotacoes!N53</f>
        <v>1.5128593040847146E-2</v>
      </c>
      <c r="O54" s="5">
        <f>(Cotacoes!O54-Cotacoes!O53)/Cotacoes!O53</f>
        <v>9.4671355152827E-3</v>
      </c>
      <c r="P54" s="5">
        <f>(Cotacoes!P54-Cotacoes!P53)/Cotacoes!P53</f>
        <v>2.588555858310632E-2</v>
      </c>
      <c r="Q54" s="5">
        <f>(Cotacoes!Q54-Cotacoes!Q53)/Cotacoes!Q53</f>
        <v>4.3338683788121987E-2</v>
      </c>
      <c r="R54" s="5">
        <f>(Cotacoes!R54-Cotacoes!R53)/Cotacoes!R53</f>
        <v>1.8558480794130326E-2</v>
      </c>
      <c r="S54" s="5">
        <f>(Cotacoes!S54-Cotacoes!S53)/Cotacoes!S53</f>
        <v>1.9054878048780487E-2</v>
      </c>
      <c r="T54" s="5">
        <f>(Cotacoes!T54-Cotacoes!T53)/Cotacoes!T53</f>
        <v>3.4386245501799258E-2</v>
      </c>
      <c r="U54" s="5">
        <f>(Cotacoes!U54-Cotacoes!U53)/Cotacoes!U53</f>
        <v>3.1441404654961341E-2</v>
      </c>
      <c r="V54" s="5">
        <f>(Cotacoes!V54-Cotacoes!V53)/Cotacoes!V53</f>
        <v>1.8401144960131551E-3</v>
      </c>
      <c r="W54" s="5"/>
    </row>
    <row r="55" spans="1:23" x14ac:dyDescent="0.2">
      <c r="A55" s="4">
        <v>44641</v>
      </c>
      <c r="B55" s="5">
        <f>(Cotacoes!B55-Cotacoes!B54)/Cotacoes!B54</f>
        <v>6.9922879177378595E-3</v>
      </c>
      <c r="C55" s="5">
        <f>(Cotacoes!C55-Cotacoes!C54)/Cotacoes!C54</f>
        <v>2.8226911482598E-2</v>
      </c>
      <c r="D55" s="5">
        <f>(Cotacoes!D55-Cotacoes!D54)/Cotacoes!D54</f>
        <v>3.8222222222222199E-2</v>
      </c>
      <c r="E55" s="5">
        <f>(Cotacoes!E55-Cotacoes!E54)/Cotacoes!E54</f>
        <v>2.4502297090352242E-2</v>
      </c>
      <c r="F55" s="5">
        <f>(Cotacoes!F55-Cotacoes!F54)/Cotacoes!F54</f>
        <v>3.3911077618688855E-2</v>
      </c>
      <c r="G55" s="5">
        <f>(Cotacoes!G55-Cotacoes!G54)/Cotacoes!G54</f>
        <v>-2.2300095571838142E-2</v>
      </c>
      <c r="H55" s="5">
        <f>(Cotacoes!H55-Cotacoes!H54)/Cotacoes!H54</f>
        <v>2.0392156862745082E-2</v>
      </c>
      <c r="I55" s="5">
        <f>(Cotacoes!I55-Cotacoes!I54)/Cotacoes!I54</f>
        <v>-1.1920103092783423E-2</v>
      </c>
      <c r="J55" s="5">
        <f>(Cotacoes!J55-Cotacoes!J54)/Cotacoes!J54</f>
        <v>7.5287865367582689E-3</v>
      </c>
      <c r="K55" s="5">
        <f>(Cotacoes!K55-Cotacoes!K54)/Cotacoes!K54</f>
        <v>2.3746701846965663E-2</v>
      </c>
      <c r="L55" s="5">
        <f>(Cotacoes!L55-Cotacoes!L54)/Cotacoes!L54</f>
        <v>-1.6574585635359042E-2</v>
      </c>
      <c r="M55" s="5">
        <f>(Cotacoes!M55-Cotacoes!M54)/Cotacoes!M54</f>
        <v>-4.9710024855012837E-3</v>
      </c>
      <c r="N55" s="5">
        <f>(Cotacoes!N55-Cotacoes!N54)/Cotacoes!N54</f>
        <v>2.5335320417287619E-2</v>
      </c>
      <c r="O55" s="5">
        <f>(Cotacoes!O55-Cotacoes!O54)/Cotacoes!O54</f>
        <v>8.306538049303383E-3</v>
      </c>
      <c r="P55" s="5">
        <f>(Cotacoes!P55-Cotacoes!P54)/Cotacoes!P54</f>
        <v>8.6321381142097607E-3</v>
      </c>
      <c r="Q55" s="5">
        <f>(Cotacoes!Q55-Cotacoes!Q54)/Cotacoes!Q54</f>
        <v>-3.709401709401712E-2</v>
      </c>
      <c r="R55" s="5">
        <f>(Cotacoes!R55-Cotacoes!R54)/Cotacoes!R54</f>
        <v>-2.4576271186440755E-2</v>
      </c>
      <c r="S55" s="5">
        <f>(Cotacoes!S55-Cotacoes!S54)/Cotacoes!S54</f>
        <v>2.991772625280548E-3</v>
      </c>
      <c r="T55" s="5">
        <f>(Cotacoes!T55-Cotacoes!T54)/Cotacoes!T54</f>
        <v>1.0050251256281329E-2</v>
      </c>
      <c r="U55" s="5">
        <f>(Cotacoes!U55-Cotacoes!U54)/Cotacoes!U54</f>
        <v>-1.9002375296912129E-2</v>
      </c>
      <c r="V55" s="5">
        <f>(Cotacoes!V55-Cotacoes!V54)/Cotacoes!V54</f>
        <v>-1.2448979591836723E-2</v>
      </c>
      <c r="W55" s="5"/>
    </row>
    <row r="56" spans="1:23" x14ac:dyDescent="0.2">
      <c r="A56" s="4">
        <v>44642</v>
      </c>
      <c r="B56" s="5">
        <f>(Cotacoes!B56-Cotacoes!B55)/Cotacoes!B55</f>
        <v>7.9648728683752359E-3</v>
      </c>
      <c r="C56" s="5">
        <f>(Cotacoes!C56-Cotacoes!C55)/Cotacoes!C55</f>
        <v>-2.2254797441364625E-2</v>
      </c>
      <c r="D56" s="5">
        <f>(Cotacoes!D56-Cotacoes!D55)/Cotacoes!D55</f>
        <v>-4.2808219178081279E-3</v>
      </c>
      <c r="E56" s="5">
        <f>(Cotacoes!E56-Cotacoes!E55)/Cotacoes!E55</f>
        <v>1.3951170901843604E-2</v>
      </c>
      <c r="F56" s="5">
        <f>(Cotacoes!F56-Cotacoes!F55)/Cotacoes!F55</f>
        <v>-6.5597667638483854E-3</v>
      </c>
      <c r="G56" s="5">
        <f>(Cotacoes!G56-Cotacoes!G55)/Cotacoes!G55</f>
        <v>1.3685239491691044E-2</v>
      </c>
      <c r="H56" s="5">
        <f>(Cotacoes!H56-Cotacoes!H55)/Cotacoes!H55</f>
        <v>1.9984627209838568E-2</v>
      </c>
      <c r="I56" s="5">
        <f>(Cotacoes!I56-Cotacoes!I55)/Cotacoes!I55</f>
        <v>3.4887512226931747E-2</v>
      </c>
      <c r="J56" s="5">
        <f>(Cotacoes!J56-Cotacoes!J55)/Cotacoes!J55</f>
        <v>1.098901098901099E-2</v>
      </c>
      <c r="K56" s="5">
        <f>(Cotacoes!K56-Cotacoes!K55)/Cotacoes!K55</f>
        <v>1.2242268041237197E-2</v>
      </c>
      <c r="L56" s="5">
        <f>(Cotacoes!L56-Cotacoes!L55)/Cotacoes!L55</f>
        <v>5.4574638844301741E-2</v>
      </c>
      <c r="M56" s="5">
        <f>(Cotacoes!M56-Cotacoes!M55)/Cotacoes!M55</f>
        <v>1.4154870940882592E-2</v>
      </c>
      <c r="N56" s="5">
        <f>(Cotacoes!N56-Cotacoes!N55)/Cotacoes!N55</f>
        <v>1.5988372093023302E-2</v>
      </c>
      <c r="O56" s="5">
        <f>(Cotacoes!O56-Cotacoes!O55)/Cotacoes!O55</f>
        <v>-1.8070688280627151E-2</v>
      </c>
      <c r="P56" s="5">
        <f>(Cotacoes!P56-Cotacoes!P55)/Cotacoes!P55</f>
        <v>8.5582620144832641E-3</v>
      </c>
      <c r="Q56" s="5">
        <f>(Cotacoes!Q56-Cotacoes!Q55)/Cotacoes!Q55</f>
        <v>-9.763891354517969E-3</v>
      </c>
      <c r="R56" s="5">
        <f>(Cotacoes!R56-Cotacoes!R55)/Cotacoes!R55</f>
        <v>2.8670721112076462E-2</v>
      </c>
      <c r="S56" s="5">
        <f>(Cotacoes!S56-Cotacoes!S55)/Cotacoes!S55</f>
        <v>1.5659955257270625E-2</v>
      </c>
      <c r="T56" s="5">
        <f>(Cotacoes!T56-Cotacoes!T55)/Cotacoes!T55</f>
        <v>1.492537313432838E-2</v>
      </c>
      <c r="U56" s="5">
        <f>(Cotacoes!U56-Cotacoes!U55)/Cotacoes!U55</f>
        <v>3.8740920096852191E-2</v>
      </c>
      <c r="V56" s="5">
        <f>(Cotacoes!V56-Cotacoes!V55)/Cotacoes!V55</f>
        <v>2.0252118206240895E-2</v>
      </c>
      <c r="W56" s="5"/>
    </row>
    <row r="57" spans="1:23" x14ac:dyDescent="0.2">
      <c r="A57" s="4">
        <v>44643</v>
      </c>
      <c r="B57" s="5">
        <f>(Cotacoes!B57-Cotacoes!B56)/Cotacoes!B56</f>
        <v>9.1176172626890306E-4</v>
      </c>
      <c r="C57" s="5">
        <f>(Cotacoes!C57-Cotacoes!C56)/Cotacoes!C56</f>
        <v>-2.1807278179093743E-3</v>
      </c>
      <c r="D57" s="5">
        <f>(Cotacoes!D57-Cotacoes!D56)/Cotacoes!D56</f>
        <v>1.2897678417884658E-2</v>
      </c>
      <c r="E57" s="5">
        <f>(Cotacoes!E57-Cotacoes!E56)/Cotacoes!E56</f>
        <v>-4.4226044226044151E-3</v>
      </c>
      <c r="F57" s="5">
        <f>(Cotacoes!F57-Cotacoes!F56)/Cotacoes!F56</f>
        <v>9.5377842993396179E-3</v>
      </c>
      <c r="G57" s="5">
        <f>(Cotacoes!G57-Cotacoes!G56)/Cotacoes!G56</f>
        <v>-7.393121182899403E-3</v>
      </c>
      <c r="H57" s="5">
        <f>(Cotacoes!H57-Cotacoes!H56)/Cotacoes!H56</f>
        <v>-5.2750565184627191E-3</v>
      </c>
      <c r="I57" s="5">
        <f>(Cotacoes!I57-Cotacoes!I56)/Cotacoes!I56</f>
        <v>-9.451795841209069E-4</v>
      </c>
      <c r="J57" s="5">
        <f>(Cotacoes!J57-Cotacoes!J56)/Cotacoes!J56</f>
        <v>-5.8695652173913725E-3</v>
      </c>
      <c r="K57" s="5">
        <f>(Cotacoes!K57-Cotacoes!K56)/Cotacoes!K56</f>
        <v>-6.365372374283986E-3</v>
      </c>
      <c r="L57" s="5">
        <f>(Cotacoes!L57-Cotacoes!L56)/Cotacoes!L56</f>
        <v>9.1324200913241414E-3</v>
      </c>
      <c r="M57" s="5">
        <f>(Cotacoes!M57-Cotacoes!M56)/Cotacoes!M56</f>
        <v>-1.3136288998357976E-2</v>
      </c>
      <c r="N57" s="5">
        <f>(Cotacoes!N57-Cotacoes!N56)/Cotacoes!N56</f>
        <v>-4.2918454935622673E-3</v>
      </c>
      <c r="O57" s="5">
        <f>(Cotacoes!O57-Cotacoes!O56)/Cotacoes!O56</f>
        <v>-1.5967523680649617E-2</v>
      </c>
      <c r="P57" s="5">
        <f>(Cotacoes!P57-Cotacoes!P56)/Cotacoes!P56</f>
        <v>-1.1096605744125321E-2</v>
      </c>
      <c r="Q57" s="5">
        <f>(Cotacoes!Q57-Cotacoes!Q56)/Cotacoes!Q56</f>
        <v>-2.3843671566869815E-2</v>
      </c>
      <c r="R57" s="5">
        <f>(Cotacoes!R57-Cotacoes!R56)/Cotacoes!R56</f>
        <v>1.3513513513513526E-2</v>
      </c>
      <c r="S57" s="5">
        <f>(Cotacoes!S57-Cotacoes!S56)/Cotacoes!S56</f>
        <v>-5.1395007342142814E-3</v>
      </c>
      <c r="T57" s="5">
        <f>(Cotacoes!T57-Cotacoes!T56)/Cotacoes!T56</f>
        <v>2.9411764705882398E-2</v>
      </c>
      <c r="U57" s="5">
        <f>(Cotacoes!U57-Cotacoes!U56)/Cotacoes!U56</f>
        <v>2.3310023310024195E-3</v>
      </c>
      <c r="V57" s="5">
        <f>(Cotacoes!V57-Cotacoes!V56)/Cotacoes!V56</f>
        <v>2.8357302005266472E-3</v>
      </c>
      <c r="W57" s="5"/>
    </row>
    <row r="58" spans="1:23" x14ac:dyDescent="0.2">
      <c r="A58" s="4">
        <v>44644</v>
      </c>
      <c r="B58" s="5">
        <f>(Cotacoes!B58-Cotacoes!B57)/Cotacoes!B57</f>
        <v>1.2854251012145709E-2</v>
      </c>
      <c r="C58" s="5">
        <f>(Cotacoes!C58-Cotacoes!C57)/Cotacoes!C57</f>
        <v>5.3271411009425023E-3</v>
      </c>
      <c r="D58" s="5">
        <f>(Cotacoes!D58-Cotacoes!D57)/Cotacoes!D57</f>
        <v>1.1884550084889693E-2</v>
      </c>
      <c r="E58" s="5">
        <f>(Cotacoes!E58-Cotacoes!E57)/Cotacoes!E57</f>
        <v>6.4165844027640178E-3</v>
      </c>
      <c r="F58" s="5">
        <f>(Cotacoes!F58-Cotacoes!F57)/Cotacoes!F57</f>
        <v>1.7441860465116296E-2</v>
      </c>
      <c r="G58" s="5">
        <f>(Cotacoes!G58-Cotacoes!G57)/Cotacoes!G57</f>
        <v>1.1658031088082884E-2</v>
      </c>
      <c r="H58" s="5">
        <f>(Cotacoes!H58-Cotacoes!H57)/Cotacoes!H57</f>
        <v>1.1363636363636392E-2</v>
      </c>
      <c r="I58" s="5">
        <f>(Cotacoes!I58-Cotacoes!I57)/Cotacoes!I57</f>
        <v>1.009145380006308E-2</v>
      </c>
      <c r="J58" s="5">
        <f>(Cotacoes!J58-Cotacoes!J57)/Cotacoes!J57</f>
        <v>9.1843428821343047E-3</v>
      </c>
      <c r="K58" s="5">
        <f>(Cotacoes!K58-Cotacoes!K57)/Cotacoes!K57</f>
        <v>1.4734144778987856E-2</v>
      </c>
      <c r="L58" s="5">
        <f>(Cotacoes!L58-Cotacoes!L57)/Cotacoes!L57</f>
        <v>8.2956259426847229E-3</v>
      </c>
      <c r="M58" s="5">
        <f>(Cotacoes!M58-Cotacoes!M57)/Cotacoes!M57</f>
        <v>8.3194675540763626E-4</v>
      </c>
      <c r="N58" s="5">
        <f>(Cotacoes!N58-Cotacoes!N57)/Cotacoes!N57</f>
        <v>1.1494252873563229E-2</v>
      </c>
      <c r="O58" s="5">
        <f>(Cotacoes!O58-Cotacoes!O57)/Cotacoes!O57</f>
        <v>1.1826182618261818E-2</v>
      </c>
      <c r="P58" s="5">
        <f>(Cotacoes!P58-Cotacoes!P57)/Cotacoes!P57</f>
        <v>1.1881188118811862E-2</v>
      </c>
      <c r="Q58" s="5">
        <f>(Cotacoes!Q58-Cotacoes!Q57)/Cotacoes!Q57</f>
        <v>9.3663911845729662E-3</v>
      </c>
      <c r="R58" s="5">
        <f>(Cotacoes!R58-Cotacoes!R57)/Cotacoes!R57</f>
        <v>1.9583333333333286E-2</v>
      </c>
      <c r="S58" s="5">
        <f>(Cotacoes!S58-Cotacoes!S57)/Cotacoes!S57</f>
        <v>1.4760147601475962E-2</v>
      </c>
      <c r="T58" s="5">
        <f>(Cotacoes!T58-Cotacoes!T57)/Cotacoes!T57</f>
        <v>-4.5054945054945068E-2</v>
      </c>
      <c r="U58" s="5">
        <f>(Cotacoes!U58-Cotacoes!U57)/Cotacoes!U57</f>
        <v>2.8488372093023233E-2</v>
      </c>
      <c r="V58" s="5">
        <f>(Cotacoes!V58-Cotacoes!V57)/Cotacoes!V57</f>
        <v>-2.0197939810135348E-4</v>
      </c>
      <c r="W58" s="5"/>
    </row>
    <row r="59" spans="1:23" x14ac:dyDescent="0.2">
      <c r="A59" s="4">
        <v>44645</v>
      </c>
      <c r="B59" s="5">
        <f>(Cotacoes!B59-Cotacoes!B58)/Cotacoes!B58</f>
        <v>8.9937044069155012E-4</v>
      </c>
      <c r="C59" s="5">
        <f>(Cotacoes!C59-Cotacoes!C58)/Cotacoes!C58</f>
        <v>-1.7255434782608645E-2</v>
      </c>
      <c r="D59" s="5">
        <f>(Cotacoes!D59-Cotacoes!D58)/Cotacoes!D58</f>
        <v>-3.3557046979865056E-3</v>
      </c>
      <c r="E59" s="5">
        <f>(Cotacoes!E59-Cotacoes!E58)/Cotacoes!E58</f>
        <v>1.9617459538989281E-3</v>
      </c>
      <c r="F59" s="5">
        <f>(Cotacoes!F59-Cotacoes!F58)/Cotacoes!F58</f>
        <v>7.1428571428569911E-4</v>
      </c>
      <c r="G59" s="5">
        <f>(Cotacoes!G59-Cotacoes!G58)/Cotacoes!G58</f>
        <v>-7.6824583866836891E-3</v>
      </c>
      <c r="H59" s="5">
        <f>(Cotacoes!H59-Cotacoes!H58)/Cotacoes!H58</f>
        <v>-7.4906367041196911E-4</v>
      </c>
      <c r="I59" s="5">
        <f>(Cotacoes!I59-Cotacoes!I58)/Cotacoes!I58</f>
        <v>9.6784264751795905E-3</v>
      </c>
      <c r="J59" s="5">
        <f>(Cotacoes!J59-Cotacoes!J58)/Cotacoes!J58</f>
        <v>-2.8385698808233915E-2</v>
      </c>
      <c r="K59" s="5">
        <f>(Cotacoes!K59-Cotacoes!K58)/Cotacoes!K58</f>
        <v>8.8383838383838745E-3</v>
      </c>
      <c r="L59" s="5">
        <f>(Cotacoes!L59-Cotacoes!L58)/Cotacoes!L58</f>
        <v>2.916978309648471E-2</v>
      </c>
      <c r="M59" s="5">
        <f>(Cotacoes!M59-Cotacoes!M58)/Cotacoes!M58</f>
        <v>8.3125519534498274E-3</v>
      </c>
      <c r="N59" s="5">
        <f>(Cotacoes!N59-Cotacoes!N58)/Cotacoes!N58</f>
        <v>-2.8409090909091565E-3</v>
      </c>
      <c r="O59" s="5">
        <f>(Cotacoes!O59-Cotacoes!O58)/Cotacoes!O58</f>
        <v>-3.723837999456367E-2</v>
      </c>
      <c r="P59" s="5">
        <f>(Cotacoes!P59-Cotacoes!P58)/Cotacoes!P58</f>
        <v>-1.0437051532941954E-2</v>
      </c>
      <c r="Q59" s="5">
        <f>(Cotacoes!Q59-Cotacoes!Q58)/Cotacoes!Q58</f>
        <v>-5.9861717612809298E-2</v>
      </c>
      <c r="R59" s="5">
        <f>(Cotacoes!R59-Cotacoes!R58)/Cotacoes!R58</f>
        <v>1.5529219452390788E-2</v>
      </c>
      <c r="S59" s="5">
        <f>(Cotacoes!S59-Cotacoes!S58)/Cotacoes!S58</f>
        <v>-7.2727272727272467E-3</v>
      </c>
      <c r="T59" s="5">
        <f>(Cotacoes!T59-Cotacoes!T58)/Cotacoes!T58</f>
        <v>-3.3755274261603338E-2</v>
      </c>
      <c r="U59" s="5">
        <f>(Cotacoes!U59-Cotacoes!U58)/Cotacoes!U58</f>
        <v>2.826455624646693E-2</v>
      </c>
      <c r="V59" s="5">
        <f>(Cotacoes!V59-Cotacoes!V58)/Cotacoes!V58</f>
        <v>-3.2323232323231634E-3</v>
      </c>
      <c r="W59" s="5"/>
    </row>
    <row r="60" spans="1:23" x14ac:dyDescent="0.2">
      <c r="A60" s="4">
        <v>44648</v>
      </c>
      <c r="B60" s="5">
        <f>(Cotacoes!B60-Cotacoes!B59)/Cotacoes!B59</f>
        <v>-3.5942492012779499E-3</v>
      </c>
      <c r="C60" s="5">
        <f>(Cotacoes!C60-Cotacoes!C59)/Cotacoes!C59</f>
        <v>1.1060417530761551E-3</v>
      </c>
      <c r="D60" s="5">
        <f>(Cotacoes!D60-Cotacoes!D59)/Cotacoes!D59</f>
        <v>-2.1885521885522015E-2</v>
      </c>
      <c r="E60" s="5">
        <f>(Cotacoes!E60-Cotacoes!E59)/Cotacoes!E59</f>
        <v>-9.7895252080272012E-4</v>
      </c>
      <c r="F60" s="5">
        <f>(Cotacoes!F60-Cotacoes!F59)/Cotacoes!F59</f>
        <v>-2.6409707351891451E-2</v>
      </c>
      <c r="G60" s="5">
        <f>(Cotacoes!G60-Cotacoes!G59)/Cotacoes!G59</f>
        <v>2.2903225806451641E-2</v>
      </c>
      <c r="H60" s="5">
        <f>(Cotacoes!H60-Cotacoes!H59)/Cotacoes!H59</f>
        <v>-9.7451274362817843E-3</v>
      </c>
      <c r="I60" s="5">
        <f>(Cotacoes!I60-Cotacoes!I59)/Cotacoes!I59</f>
        <v>1.236858379715496E-3</v>
      </c>
      <c r="J60" s="5">
        <f>(Cotacoes!J60-Cotacoes!J59)/Cotacoes!J59</f>
        <v>-1.6949152542372996E-2</v>
      </c>
      <c r="K60" s="5">
        <f>(Cotacoes!K60-Cotacoes!K59)/Cotacoes!K59</f>
        <v>-5.0062578222778518E-3</v>
      </c>
      <c r="L60" s="5">
        <f>(Cotacoes!L60-Cotacoes!L59)/Cotacoes!L59</f>
        <v>-3.6337209302324809E-3</v>
      </c>
      <c r="M60" s="5">
        <f>(Cotacoes!M60-Cotacoes!M59)/Cotacoes!M59</f>
        <v>2.9678483099752632E-2</v>
      </c>
      <c r="N60" s="5">
        <f>(Cotacoes!N60-Cotacoes!N59)/Cotacoes!N59</f>
        <v>-2.8490028490027884E-3</v>
      </c>
      <c r="O60" s="5">
        <f>(Cotacoes!O60-Cotacoes!O59)/Cotacoes!O59</f>
        <v>1.6374929418407631E-2</v>
      </c>
      <c r="P60" s="5">
        <f>(Cotacoes!P60-Cotacoes!P59)/Cotacoes!P59</f>
        <v>-6.5919578114699831E-3</v>
      </c>
      <c r="Q60" s="5">
        <f>(Cotacoes!Q60-Cotacoes!Q59)/Cotacoes!Q59</f>
        <v>1.3160441261854068E-2</v>
      </c>
      <c r="R60" s="5">
        <f>(Cotacoes!R60-Cotacoes!R59)/Cotacoes!R59</f>
        <v>1.6096579476860824E-3</v>
      </c>
      <c r="S60" s="5">
        <f>(Cotacoes!S60-Cotacoes!S59)/Cotacoes!S59</f>
        <v>7.3260073260073E-3</v>
      </c>
      <c r="T60" s="5">
        <f>(Cotacoes!T60-Cotacoes!T59)/Cotacoes!T59</f>
        <v>-7.9396585946805414E-3</v>
      </c>
      <c r="U60" s="5">
        <f>(Cotacoes!U60-Cotacoes!U59)/Cotacoes!U59</f>
        <v>6.5970313358988354E-3</v>
      </c>
      <c r="V60" s="5">
        <f>(Cotacoes!V60-Cotacoes!V59)/Cotacoes!V59</f>
        <v>-1.2363194162951084E-2</v>
      </c>
      <c r="W60" s="5"/>
    </row>
    <row r="61" spans="1:23" x14ac:dyDescent="0.2">
      <c r="A61" s="4">
        <v>44649</v>
      </c>
      <c r="B61" s="5">
        <f>(Cotacoes!B61-Cotacoes!B60)/Cotacoes!B60</f>
        <v>1.3026052104208388E-2</v>
      </c>
      <c r="C61" s="5">
        <f>(Cotacoes!C61-Cotacoes!C60)/Cotacoes!C60</f>
        <v>-8.5623532661233299E-3</v>
      </c>
      <c r="D61" s="5">
        <f>(Cotacoes!D61-Cotacoes!D60)/Cotacoes!D60</f>
        <v>2.2375215146299619E-2</v>
      </c>
      <c r="E61" s="5">
        <f>(Cotacoes!E61-Cotacoes!E60)/Cotacoes!E60</f>
        <v>1.1758941695247351E-2</v>
      </c>
      <c r="F61" s="5">
        <f>(Cotacoes!F61-Cotacoes!F60)/Cotacoes!F60</f>
        <v>1.2463343108504393E-2</v>
      </c>
      <c r="G61" s="5">
        <f>(Cotacoes!G61-Cotacoes!G60)/Cotacoes!G60</f>
        <v>1.0406811731314988E-2</v>
      </c>
      <c r="H61" s="5">
        <f>(Cotacoes!H61-Cotacoes!H60)/Cotacoes!H60</f>
        <v>4.542013626040781E-3</v>
      </c>
      <c r="I61" s="5">
        <f>(Cotacoes!I61-Cotacoes!I60)/Cotacoes!I60</f>
        <v>1.2662137121679943E-2</v>
      </c>
      <c r="J61" s="5">
        <f>(Cotacoes!J61-Cotacoes!J60)/Cotacoes!J60</f>
        <v>1.9509981851179661E-2</v>
      </c>
      <c r="K61" s="5">
        <f>(Cotacoes!K61-Cotacoes!K60)/Cotacoes!K60</f>
        <v>1.8238993710691882E-2</v>
      </c>
      <c r="L61" s="5">
        <f>(Cotacoes!L61-Cotacoes!L60)/Cotacoes!L60</f>
        <v>2.9905178701677488E-2</v>
      </c>
      <c r="M61" s="5">
        <f>(Cotacoes!M61-Cotacoes!M60)/Cotacoes!M60</f>
        <v>3.4427542033626878E-2</v>
      </c>
      <c r="N61" s="5">
        <f>(Cotacoes!N61-Cotacoes!N60)/Cotacoes!N60</f>
        <v>8.5714285714285163E-3</v>
      </c>
      <c r="O61" s="5">
        <f>(Cotacoes!O61-Cotacoes!O60)/Cotacoes!O60</f>
        <v>1.0833333333333349E-2</v>
      </c>
      <c r="P61" s="5">
        <f>(Cotacoes!P61-Cotacoes!P60)/Cotacoes!P60</f>
        <v>3.5169210351692064E-2</v>
      </c>
      <c r="Q61" s="5">
        <f>(Cotacoes!Q61-Cotacoes!Q60)/Cotacoes!Q60</f>
        <v>-1.3944603629417459E-2</v>
      </c>
      <c r="R61" s="5">
        <f>(Cotacoes!R61-Cotacoes!R60)/Cotacoes!R60</f>
        <v>5.6247488951386322E-3</v>
      </c>
      <c r="S61" s="5">
        <f>(Cotacoes!S61-Cotacoes!S60)/Cotacoes!S60</f>
        <v>2.5454545454545556E-3</v>
      </c>
      <c r="T61" s="5">
        <f>(Cotacoes!T61-Cotacoes!T60)/Cotacoes!T60</f>
        <v>8.4033613445378495E-3</v>
      </c>
      <c r="U61" s="5">
        <f>(Cotacoes!U61-Cotacoes!U60)/Cotacoes!U60</f>
        <v>1.4928090296741312E-2</v>
      </c>
      <c r="V61" s="5">
        <f>(Cotacoes!V61-Cotacoes!V60)/Cotacoes!V60</f>
        <v>-2.2573363431151127E-3</v>
      </c>
      <c r="W61" s="5"/>
    </row>
    <row r="62" spans="1:23" x14ac:dyDescent="0.2">
      <c r="A62" s="4">
        <v>44650</v>
      </c>
      <c r="B62" s="5">
        <f>(Cotacoes!B62-Cotacoes!B61)/Cotacoes!B61</f>
        <v>-1.7804154302669894E-3</v>
      </c>
      <c r="C62" s="5">
        <f>(Cotacoes!C62-Cotacoes!C61)/Cotacoes!C61</f>
        <v>1.4208106978687783E-2</v>
      </c>
      <c r="D62" s="5">
        <f>(Cotacoes!D62-Cotacoes!D61)/Cotacoes!D61</f>
        <v>2.1043771043771042E-2</v>
      </c>
      <c r="E62" s="5">
        <f>(Cotacoes!E62-Cotacoes!E61)/Cotacoes!E61</f>
        <v>2.4213075060533031E-3</v>
      </c>
      <c r="F62" s="5">
        <f>(Cotacoes!F62-Cotacoes!F61)/Cotacoes!F61</f>
        <v>1.7378711078928327E-2</v>
      </c>
      <c r="G62" s="5">
        <f>(Cotacoes!G62-Cotacoes!G61)/Cotacoes!G61</f>
        <v>5.9300873907614775E-3</v>
      </c>
      <c r="H62" s="5">
        <f>(Cotacoes!H62-Cotacoes!H61)/Cotacoes!H61</f>
        <v>-6.0286360211002313E-3</v>
      </c>
      <c r="I62" s="5">
        <f>(Cotacoes!I62-Cotacoes!I61)/Cotacoes!I61</f>
        <v>-2.4397682220188561E-3</v>
      </c>
      <c r="J62" s="5">
        <f>(Cotacoes!J62-Cotacoes!J61)/Cotacoes!J61</f>
        <v>6.6755674232310694E-3</v>
      </c>
      <c r="K62" s="5">
        <f>(Cotacoes!K62-Cotacoes!K61)/Cotacoes!K61</f>
        <v>-6.1766522544781603E-3</v>
      </c>
      <c r="L62" s="5">
        <f>(Cotacoes!L62-Cotacoes!L61)/Cotacoes!L61</f>
        <v>8.4985835694051694E-3</v>
      </c>
      <c r="M62" s="5">
        <f>(Cotacoes!M62-Cotacoes!M61)/Cotacoes!M61</f>
        <v>-5.417956656346771E-3</v>
      </c>
      <c r="N62" s="5">
        <f>(Cotacoes!N62-Cotacoes!N61)/Cotacoes!N61</f>
        <v>-1.4164305949008198E-3</v>
      </c>
      <c r="O62" s="5">
        <f>(Cotacoes!O62-Cotacoes!O61)/Cotacoes!O61</f>
        <v>1.2915636163781228E-2</v>
      </c>
      <c r="P62" s="5">
        <f>(Cotacoes!P62-Cotacoes!P61)/Cotacoes!P61</f>
        <v>-2.3717948717948668E-2</v>
      </c>
      <c r="Q62" s="5">
        <f>(Cotacoes!Q62-Cotacoes!Q61)/Cotacoes!Q61</f>
        <v>8.3301046106160348E-3</v>
      </c>
      <c r="R62" s="5">
        <f>(Cotacoes!R62-Cotacoes!R61)/Cotacoes!R61</f>
        <v>-2.9964043148222132E-2</v>
      </c>
      <c r="S62" s="5">
        <f>(Cotacoes!S62-Cotacoes!S61)/Cotacoes!S61</f>
        <v>-9.0678273485672832E-3</v>
      </c>
      <c r="T62" s="5">
        <f>(Cotacoes!T62-Cotacoes!T61)/Cotacoes!T61</f>
        <v>-6.3492063492063553E-3</v>
      </c>
      <c r="U62" s="5">
        <f>(Cotacoes!U62-Cotacoes!U61)/Cotacoes!U61</f>
        <v>-6.8161434977578933E-3</v>
      </c>
      <c r="V62" s="5">
        <f>(Cotacoes!V62-Cotacoes!V61)/Cotacoes!V61</f>
        <v>-3.3319621554915621E-2</v>
      </c>
      <c r="W62" s="5"/>
    </row>
    <row r="63" spans="1:23" x14ac:dyDescent="0.2">
      <c r="A63" s="4">
        <v>44651</v>
      </c>
      <c r="B63" s="5">
        <f>(Cotacoes!B63-Cotacoes!B62)/Cotacoes!B62</f>
        <v>1.7835909631390469E-3</v>
      </c>
      <c r="C63" s="5">
        <f>(Cotacoes!C63-Cotacoes!C62)/Cotacoes!C62</f>
        <v>-2.7468754291993247E-3</v>
      </c>
      <c r="D63" s="5">
        <f>(Cotacoes!D63-Cotacoes!D62)/Cotacoes!D62</f>
        <v>1.401483924154987E-2</v>
      </c>
      <c r="E63" s="5">
        <f>(Cotacoes!E63-Cotacoes!E62)/Cotacoes!E62</f>
        <v>-1.2560386473429856E-2</v>
      </c>
      <c r="F63" s="5">
        <f>(Cotacoes!F63-Cotacoes!F62)/Cotacoes!F62</f>
        <v>3.5587188612098883E-3</v>
      </c>
      <c r="G63" s="5">
        <f>(Cotacoes!G63-Cotacoes!G62)/Cotacoes!G62</f>
        <v>2.1098355569345324E-2</v>
      </c>
      <c r="H63" s="5">
        <f>(Cotacoes!H63-Cotacoes!H62)/Cotacoes!H62</f>
        <v>-5.3070507960576415E-3</v>
      </c>
      <c r="I63" s="5">
        <f>(Cotacoes!I63-Cotacoes!I62)/Cotacoes!I62</f>
        <v>2.7820238459186689E-2</v>
      </c>
      <c r="J63" s="5">
        <f>(Cotacoes!J63-Cotacoes!J62)/Cotacoes!J62</f>
        <v>5.4597701149425262E-2</v>
      </c>
      <c r="K63" s="5">
        <f>(Cotacoes!K63-Cotacoes!K62)/Cotacoes!K62</f>
        <v>-9.3225605966438998E-3</v>
      </c>
      <c r="L63" s="5">
        <f>(Cotacoes!L63-Cotacoes!L62)/Cotacoes!L62</f>
        <v>2.8089887640448839E-3</v>
      </c>
      <c r="M63" s="5">
        <f>(Cotacoes!M63-Cotacoes!M62)/Cotacoes!M62</f>
        <v>1.5564202334630434E-2</v>
      </c>
      <c r="N63" s="5">
        <f>(Cotacoes!N63-Cotacoes!N62)/Cotacoes!N62</f>
        <v>-8.5106382978722851E-3</v>
      </c>
      <c r="O63" s="5">
        <f>(Cotacoes!O63-Cotacoes!O62)/Cotacoes!O62</f>
        <v>1.0037981551817619E-2</v>
      </c>
      <c r="P63" s="5">
        <f>(Cotacoes!P63-Cotacoes!P62)/Cotacoes!P62</f>
        <v>-1.9041365725541753E-2</v>
      </c>
      <c r="Q63" s="5">
        <f>(Cotacoes!Q63-Cotacoes!Q62)/Cotacoes!Q62</f>
        <v>-3.5350624399615685E-2</v>
      </c>
      <c r="R63" s="5">
        <f>(Cotacoes!R63-Cotacoes!R62)/Cotacoes!R62</f>
        <v>-1.1532125205930853E-2</v>
      </c>
      <c r="S63" s="5">
        <f>(Cotacoes!S63-Cotacoes!S62)/Cotacoes!S62</f>
        <v>-4.0263543191800671E-3</v>
      </c>
      <c r="T63" s="5">
        <f>(Cotacoes!T63-Cotacoes!T62)/Cotacoes!T62</f>
        <v>-5.0718849840255577E-2</v>
      </c>
      <c r="U63" s="5">
        <f>(Cotacoes!U63-Cotacoes!U62)/Cotacoes!U62</f>
        <v>-8.1271446631749275E-3</v>
      </c>
      <c r="V63" s="5">
        <f>(Cotacoes!V63-Cotacoes!V62)/Cotacoes!V62</f>
        <v>2.3404255319148816E-3</v>
      </c>
      <c r="W63" s="5"/>
    </row>
    <row r="64" spans="1:23" x14ac:dyDescent="0.2">
      <c r="A64" s="4">
        <v>44652</v>
      </c>
      <c r="B64" s="5">
        <f>(Cotacoes!B64-Cotacoes!B63)/Cotacoes!B63</f>
        <v>9.990108803165235E-3</v>
      </c>
      <c r="C64" s="5">
        <f>(Cotacoes!C64-Cotacoes!C63)/Cotacoes!C63</f>
        <v>1.418537391543866E-2</v>
      </c>
      <c r="D64" s="5">
        <f>(Cotacoes!D64-Cotacoes!D63)/Cotacoes!D63</f>
        <v>-1.3008130081300823E-2</v>
      </c>
      <c r="E64" s="5">
        <f>(Cotacoes!E64-Cotacoes!E63)/Cotacoes!E63</f>
        <v>2.4461839530331288E-3</v>
      </c>
      <c r="F64" s="5">
        <f>(Cotacoes!F64-Cotacoes!F63)/Cotacoes!F63</f>
        <v>0</v>
      </c>
      <c r="G64" s="5">
        <f>(Cotacoes!G64-Cotacoes!G63)/Cotacoes!G63</f>
        <v>1.4585232452142329E-2</v>
      </c>
      <c r="H64" s="5">
        <f>(Cotacoes!H64-Cotacoes!H63)/Cotacoes!H63</f>
        <v>-7.6219512195120328E-4</v>
      </c>
      <c r="I64" s="5">
        <f>(Cotacoes!I64-Cotacoes!I63)/Cotacoes!I63</f>
        <v>3.4800713860797201E-2</v>
      </c>
      <c r="J64" s="5">
        <f>(Cotacoes!J64-Cotacoes!J63)/Cotacoes!J63</f>
        <v>7.4617480612031065E-2</v>
      </c>
      <c r="K64" s="5">
        <f>(Cotacoes!K64-Cotacoes!K63)/Cotacoes!K63</f>
        <v>-1.0664993726474274E-2</v>
      </c>
      <c r="L64" s="5">
        <f>(Cotacoes!L64-Cotacoes!L63)/Cotacoes!L63</f>
        <v>2.1008403361344588E-2</v>
      </c>
      <c r="M64" s="5">
        <f>(Cotacoes!M64-Cotacoes!M63)/Cotacoes!M63</f>
        <v>-7.6628352490433428E-4</v>
      </c>
      <c r="N64" s="5">
        <f>(Cotacoes!N64-Cotacoes!N63)/Cotacoes!N63</f>
        <v>4.2918454935621398E-3</v>
      </c>
      <c r="O64" s="5">
        <f>(Cotacoes!O64-Cotacoes!O63)/Cotacoes!O63</f>
        <v>7.520816545796432E-3</v>
      </c>
      <c r="P64" s="5">
        <f>(Cotacoes!P64-Cotacoes!P63)/Cotacoes!P63</f>
        <v>6.693440428380164E-3</v>
      </c>
      <c r="Q64" s="5">
        <f>(Cotacoes!Q64-Cotacoes!Q63)/Cotacoes!Q63</f>
        <v>-1.6928898625771786E-2</v>
      </c>
      <c r="R64" s="5">
        <f>(Cotacoes!R64-Cotacoes!R63)/Cotacoes!R63</f>
        <v>2.2916666666666696E-2</v>
      </c>
      <c r="S64" s="5">
        <f>(Cotacoes!S64-Cotacoes!S63)/Cotacoes!S63</f>
        <v>1.102535832414556E-2</v>
      </c>
      <c r="T64" s="5">
        <f>(Cotacoes!T64-Cotacoes!T63)/Cotacoes!T63</f>
        <v>2.8607488430795108E-2</v>
      </c>
      <c r="U64" s="5">
        <f>(Cotacoes!U64-Cotacoes!U63)/Cotacoes!U63</f>
        <v>2.0211216314639464E-2</v>
      </c>
      <c r="V64" s="5">
        <f>(Cotacoes!V64-Cotacoes!V63)/Cotacoes!V63</f>
        <v>1.4434302695818291E-2</v>
      </c>
      <c r="W64" s="5"/>
    </row>
    <row r="65" spans="1:23" x14ac:dyDescent="0.2">
      <c r="A65" s="4">
        <v>44655</v>
      </c>
      <c r="B65" s="5">
        <f>(Cotacoes!B65-Cotacoes!B64)/Cotacoes!B64</f>
        <v>-9.7933601018503893E-4</v>
      </c>
      <c r="C65" s="5">
        <f>(Cotacoes!C65-Cotacoes!C64)/Cotacoes!C64</f>
        <v>1.0048886474741919E-2</v>
      </c>
      <c r="D65" s="5">
        <f>(Cotacoes!D65-Cotacoes!D64)/Cotacoes!D64</f>
        <v>-9.8846787479407727E-3</v>
      </c>
      <c r="E65" s="5">
        <f>(Cotacoes!E65-Cotacoes!E64)/Cotacoes!E64</f>
        <v>-8.7847730600292689E-3</v>
      </c>
      <c r="F65" s="5">
        <f>(Cotacoes!F65-Cotacoes!F64)/Cotacoes!F64</f>
        <v>-9.9290780141843109E-3</v>
      </c>
      <c r="G65" s="5">
        <f>(Cotacoes!G65-Cotacoes!G64)/Cotacoes!G64</f>
        <v>-1.0182689427972548E-2</v>
      </c>
      <c r="H65" s="5">
        <f>(Cotacoes!H65-Cotacoes!H64)/Cotacoes!H64</f>
        <v>-9.1533180778031447E-3</v>
      </c>
      <c r="I65" s="5">
        <f>(Cotacoes!I65-Cotacoes!I64)/Cotacoes!I64</f>
        <v>7.4734118999711992E-3</v>
      </c>
      <c r="J65" s="5">
        <f>(Cotacoes!J65-Cotacoes!J64)/Cotacoes!J64</f>
        <v>5.461283401599259E-3</v>
      </c>
      <c r="K65" s="5">
        <f>(Cotacoes!K65-Cotacoes!K64)/Cotacoes!K64</f>
        <v>-4.4388078630310896E-3</v>
      </c>
      <c r="L65" s="5">
        <f>(Cotacoes!L65-Cotacoes!L64)/Cotacoes!L64</f>
        <v>6.1728395061728296E-3</v>
      </c>
      <c r="M65" s="5">
        <f>(Cotacoes!M65-Cotacoes!M64)/Cotacoes!M64</f>
        <v>-1.3036809815950916E-2</v>
      </c>
      <c r="N65" s="5">
        <f>(Cotacoes!N65-Cotacoes!N64)/Cotacoes!N64</f>
        <v>-7.1225071225070975E-3</v>
      </c>
      <c r="O65" s="5">
        <f>(Cotacoes!O65-Cotacoes!O64)/Cotacoes!O64</f>
        <v>1.3063183151159745E-2</v>
      </c>
      <c r="P65" s="5">
        <f>(Cotacoes!P65-Cotacoes!P64)/Cotacoes!P64</f>
        <v>1.2632978723404341E-2</v>
      </c>
      <c r="Q65" s="5">
        <f>(Cotacoes!Q65-Cotacoes!Q64)/Cotacoes!Q64</f>
        <v>-1.8233387358184017E-3</v>
      </c>
      <c r="R65" s="5">
        <f>(Cotacoes!R65-Cotacoes!R64)/Cotacoes!R64</f>
        <v>-9.3686354378818906E-3</v>
      </c>
      <c r="S65" s="5">
        <f>(Cotacoes!S65-Cotacoes!S64)/Cotacoes!S64</f>
        <v>-4.7255543438750472E-3</v>
      </c>
      <c r="T65" s="5">
        <f>(Cotacoes!T65-Cotacoes!T64)/Cotacoes!T64</f>
        <v>-5.3169734151328838E-3</v>
      </c>
      <c r="U65" s="5">
        <f>(Cotacoes!U65-Cotacoes!U64)/Cotacoes!U64</f>
        <v>-4.8188470462252921E-3</v>
      </c>
      <c r="V65" s="5">
        <f>(Cotacoes!V65-Cotacoes!V64)/Cotacoes!V64</f>
        <v>8.3699518727767021E-3</v>
      </c>
      <c r="W65" s="5"/>
    </row>
    <row r="66" spans="1:23" x14ac:dyDescent="0.2">
      <c r="A66" s="4">
        <v>44656</v>
      </c>
      <c r="B66" s="5">
        <f>(Cotacoes!B66-Cotacoes!B65)/Cotacoes!B65</f>
        <v>-2.1174394667189594E-2</v>
      </c>
      <c r="C66" s="5">
        <f>(Cotacoes!C66-Cotacoes!C65)/Cotacoes!C65</f>
        <v>-2.8905619790266089E-2</v>
      </c>
      <c r="D66" s="5">
        <f>(Cotacoes!D66-Cotacoes!D65)/Cotacoes!D65</f>
        <v>-9.1514143094841467E-3</v>
      </c>
      <c r="E66" s="5">
        <f>(Cotacoes!E66-Cotacoes!E65)/Cotacoes!E65</f>
        <v>-2.018709995076318E-2</v>
      </c>
      <c r="F66" s="5">
        <f>(Cotacoes!F66-Cotacoes!F65)/Cotacoes!F65</f>
        <v>-1.4326647564470881E-3</v>
      </c>
      <c r="G66" s="5">
        <f>(Cotacoes!G66-Cotacoes!G65)/Cotacoes!G65</f>
        <v>-1.1195158850226853E-2</v>
      </c>
      <c r="H66" s="5">
        <f>(Cotacoes!H66-Cotacoes!H65)/Cotacoes!H65</f>
        <v>-2.6943802925327148E-2</v>
      </c>
      <c r="I66" s="5">
        <f>(Cotacoes!I66-Cotacoes!I65)/Cotacoes!I65</f>
        <v>-3.8516405135520529E-2</v>
      </c>
      <c r="J66" s="5">
        <f>(Cotacoes!J66-Cotacoes!J65)/Cotacoes!J65</f>
        <v>-8.5354025218234292E-3</v>
      </c>
      <c r="K66" s="5">
        <f>(Cotacoes!K66-Cotacoes!K65)/Cotacoes!K65</f>
        <v>-2.8025477707006339E-2</v>
      </c>
      <c r="L66" s="5">
        <f>(Cotacoes!L66-Cotacoes!L65)/Cotacoes!L65</f>
        <v>-1.9768234492160815E-2</v>
      </c>
      <c r="M66" s="5">
        <f>(Cotacoes!M66-Cotacoes!M65)/Cotacoes!M65</f>
        <v>-7.7700077700077431E-3</v>
      </c>
      <c r="N66" s="5">
        <f>(Cotacoes!N66-Cotacoes!N65)/Cotacoes!N65</f>
        <v>-2.582496413199422E-2</v>
      </c>
      <c r="O66" s="5">
        <f>(Cotacoes!O66-Cotacoes!O65)/Cotacoes!O65</f>
        <v>-5.5263157894737064E-3</v>
      </c>
      <c r="P66" s="5">
        <f>(Cotacoes!P66-Cotacoes!P65)/Cotacoes!P65</f>
        <v>-5.4497701904136574E-2</v>
      </c>
      <c r="Q66" s="5">
        <f>(Cotacoes!Q66-Cotacoes!Q65)/Cotacoes!Q65</f>
        <v>1.0148163182463396E-3</v>
      </c>
      <c r="R66" s="5">
        <f>(Cotacoes!R66-Cotacoes!R65)/Cotacoes!R65</f>
        <v>-3.9473684210526348E-2</v>
      </c>
      <c r="S66" s="5">
        <f>(Cotacoes!S66-Cotacoes!S65)/Cotacoes!S65</f>
        <v>-1.2052593133674154E-2</v>
      </c>
      <c r="T66" s="5">
        <f>(Cotacoes!T66-Cotacoes!T65)/Cotacoes!T65</f>
        <v>-1.2746710526315737E-2</v>
      </c>
      <c r="U66" s="5">
        <f>(Cotacoes!U66-Cotacoes!U65)/Cotacoes!U65</f>
        <v>-1.8292682926829198E-2</v>
      </c>
      <c r="V66" s="5">
        <f>(Cotacoes!V66-Cotacoes!V65)/Cotacoes!V65</f>
        <v>-2.095870512554468E-2</v>
      </c>
      <c r="W66" s="5"/>
    </row>
    <row r="67" spans="1:23" x14ac:dyDescent="0.2">
      <c r="A67" s="4">
        <v>44657</v>
      </c>
      <c r="B67" s="5">
        <f>(Cotacoes!B67-Cotacoes!B66)/Cotacoes!B66</f>
        <v>-4.5067601402102022E-3</v>
      </c>
      <c r="C67" s="5">
        <f>(Cotacoes!C67-Cotacoes!C66)/Cotacoes!C66</f>
        <v>1.5229129170704615E-2</v>
      </c>
      <c r="D67" s="5">
        <f>(Cotacoes!D67-Cotacoes!D66)/Cotacoes!D66</f>
        <v>-8.39630562552459E-4</v>
      </c>
      <c r="E67" s="5">
        <f>(Cotacoes!E67-Cotacoes!E66)/Cotacoes!E66</f>
        <v>-5.0251256281397044E-4</v>
      </c>
      <c r="F67" s="5">
        <f>(Cotacoes!F67-Cotacoes!F66)/Cotacoes!F66</f>
        <v>2.86944045911054E-3</v>
      </c>
      <c r="G67" s="5">
        <f>(Cotacoes!G67-Cotacoes!G66)/Cotacoes!G66</f>
        <v>-8.5679314565483833E-3</v>
      </c>
      <c r="H67" s="5">
        <f>(Cotacoes!H67-Cotacoes!H66)/Cotacoes!H66</f>
        <v>5.5379746835443264E-3</v>
      </c>
      <c r="I67" s="5">
        <f>(Cotacoes!I67-Cotacoes!I66)/Cotacoes!I66</f>
        <v>3.7685459940652699E-2</v>
      </c>
      <c r="J67" s="5">
        <f>(Cotacoes!J67-Cotacoes!J66)/Cotacoes!J66</f>
        <v>-1.5456857757777326E-2</v>
      </c>
      <c r="K67" s="5">
        <f>(Cotacoes!K67-Cotacoes!K66)/Cotacoes!K66</f>
        <v>-5.2424639580602927E-3</v>
      </c>
      <c r="L67" s="5">
        <f>(Cotacoes!L67-Cotacoes!L66)/Cotacoes!L66</f>
        <v>2.7816411682892311E-3</v>
      </c>
      <c r="M67" s="5">
        <f>(Cotacoes!M67-Cotacoes!M66)/Cotacoes!M66</f>
        <v>-7.8308535630383438E-3</v>
      </c>
      <c r="N67" s="5">
        <f>(Cotacoes!N67-Cotacoes!N66)/Cotacoes!N66</f>
        <v>-7.3637702503681624E-3</v>
      </c>
      <c r="O67" s="5">
        <f>(Cotacoes!O67-Cotacoes!O66)/Cotacoes!O66</f>
        <v>-5.2924053982533938E-3</v>
      </c>
      <c r="P67" s="5">
        <f>(Cotacoes!P67-Cotacoes!P66)/Cotacoes!P66</f>
        <v>-1.3888888888888963E-2</v>
      </c>
      <c r="Q67" s="5">
        <f>(Cotacoes!Q67-Cotacoes!Q66)/Cotacoes!Q66</f>
        <v>2.1492295214922998E-2</v>
      </c>
      <c r="R67" s="5">
        <f>(Cotacoes!R67-Cotacoes!R66)/Cotacoes!R66</f>
        <v>-8.9897260273972962E-3</v>
      </c>
      <c r="S67" s="5">
        <f>(Cotacoes!S67-Cotacoes!S66)/Cotacoes!S66</f>
        <v>-1.7005545286506499E-2</v>
      </c>
      <c r="T67" s="5">
        <f>(Cotacoes!T67-Cotacoes!T66)/Cotacoes!T66</f>
        <v>-2.0824656393169511E-2</v>
      </c>
      <c r="U67" s="5">
        <f>(Cotacoes!U67-Cotacoes!U66)/Cotacoes!U66</f>
        <v>-2.9959810010960916E-2</v>
      </c>
      <c r="V67" s="5">
        <f>(Cotacoes!V67-Cotacoes!V66)/Cotacoes!V66</f>
        <v>-2.6282323018228106E-2</v>
      </c>
      <c r="W67" s="5"/>
    </row>
    <row r="68" spans="1:23" x14ac:dyDescent="0.2">
      <c r="A68" s="4">
        <v>44658</v>
      </c>
      <c r="B68" s="5">
        <f>(Cotacoes!B68-Cotacoes!B67)/Cotacoes!B67</f>
        <v>6.03621730382288E-3</v>
      </c>
      <c r="C68" s="5">
        <f>(Cotacoes!C68-Cotacoes!C67)/Cotacoes!C67</f>
        <v>6.0002727396699538E-3</v>
      </c>
      <c r="D68" s="5">
        <f>(Cotacoes!D68-Cotacoes!D67)/Cotacoes!D67</f>
        <v>5.2100840336134387E-2</v>
      </c>
      <c r="E68" s="5">
        <f>(Cotacoes!E68-Cotacoes!E67)/Cotacoes!E67</f>
        <v>-1.0055304172951016E-3</v>
      </c>
      <c r="F68" s="5">
        <f>(Cotacoes!F68-Cotacoes!F67)/Cotacoes!F67</f>
        <v>5.0071530758225985E-2</v>
      </c>
      <c r="G68" s="5">
        <f>(Cotacoes!G68-Cotacoes!G67)/Cotacoes!G67</f>
        <v>-6.1728395061727082E-3</v>
      </c>
      <c r="H68" s="5">
        <f>(Cotacoes!H68-Cotacoes!H67)/Cotacoes!H67</f>
        <v>1.8095987411486911E-2</v>
      </c>
      <c r="I68" s="5">
        <f>(Cotacoes!I68-Cotacoes!I67)/Cotacoes!I67</f>
        <v>3.1169573920503388E-2</v>
      </c>
      <c r="J68" s="5">
        <f>(Cotacoes!J68-Cotacoes!J67)/Cotacoes!J67</f>
        <v>2.941176470588229E-2</v>
      </c>
      <c r="K68" s="5">
        <f>(Cotacoes!K68-Cotacoes!K67)/Cotacoes!K67</f>
        <v>4.6113306982872391E-3</v>
      </c>
      <c r="L68" s="5">
        <f>(Cotacoes!L68-Cotacoes!L67)/Cotacoes!L67</f>
        <v>-1.3869625520110662E-3</v>
      </c>
      <c r="M68" s="5">
        <f>(Cotacoes!M68-Cotacoes!M67)/Cotacoes!M67</f>
        <v>7.1033938437253244E-3</v>
      </c>
      <c r="N68" s="5">
        <f>(Cotacoes!N68-Cotacoes!N67)/Cotacoes!N67</f>
        <v>-8.9020771513353848E-3</v>
      </c>
      <c r="O68" s="5">
        <f>(Cotacoes!O68-Cotacoes!O67)/Cotacoes!O67</f>
        <v>2.6602819898903989E-4</v>
      </c>
      <c r="P68" s="5">
        <f>(Cotacoes!P68-Cotacoes!P67)/Cotacoes!P67</f>
        <v>-6.3380281690140752E-3</v>
      </c>
      <c r="Q68" s="5">
        <f>(Cotacoes!Q68-Cotacoes!Q67)/Cotacoes!Q67</f>
        <v>-1.5680825724493828E-2</v>
      </c>
      <c r="R68" s="5">
        <f>(Cotacoes!R68-Cotacoes!R67)/Cotacoes!R67</f>
        <v>2.0734341252699805E-2</v>
      </c>
      <c r="S68" s="5">
        <f>(Cotacoes!S68-Cotacoes!S67)/Cotacoes!S67</f>
        <v>-2.1436630312147435E-2</v>
      </c>
      <c r="T68" s="5">
        <f>(Cotacoes!T68-Cotacoes!T67)/Cotacoes!T67</f>
        <v>4.2535091450438152E-4</v>
      </c>
      <c r="U68" s="5">
        <f>(Cotacoes!U68-Cotacoes!U67)/Cotacoes!U67</f>
        <v>-1.4877589453860625E-2</v>
      </c>
      <c r="V68" s="5">
        <f>(Cotacoes!V68-Cotacoes!V67)/Cotacoes!V67</f>
        <v>-2.046147148454501E-2</v>
      </c>
      <c r="W68" s="5"/>
    </row>
    <row r="69" spans="1:23" x14ac:dyDescent="0.2">
      <c r="A69" s="4">
        <v>44659</v>
      </c>
      <c r="B69" s="5">
        <f>(Cotacoes!B69-Cotacoes!B68)/Cotacoes!B68</f>
        <v>-1.8000000000000683E-3</v>
      </c>
      <c r="C69" s="5">
        <f>(Cotacoes!C69-Cotacoes!C68)/Cotacoes!C68</f>
        <v>-2.046902534905776E-2</v>
      </c>
      <c r="D69" s="5">
        <f>(Cotacoes!D69-Cotacoes!D68)/Cotacoes!D68</f>
        <v>4.7923322683706467E-3</v>
      </c>
      <c r="E69" s="5">
        <f>(Cotacoes!E69-Cotacoes!E68)/Cotacoes!E68</f>
        <v>-1.5098137896326692E-3</v>
      </c>
      <c r="F69" s="5">
        <f>(Cotacoes!F69-Cotacoes!F68)/Cotacoes!F68</f>
        <v>1.0899182561307912E-2</v>
      </c>
      <c r="G69" s="5">
        <f>(Cotacoes!G69-Cotacoes!G68)/Cotacoes!G68</f>
        <v>6.2111801242223667E-4</v>
      </c>
      <c r="H69" s="5">
        <f>(Cotacoes!H69-Cotacoes!H68)/Cotacoes!H68</f>
        <v>1.7774343122102042E-2</v>
      </c>
      <c r="I69" s="5">
        <f>(Cotacoes!I69-Cotacoes!I68)/Cotacoes!I68</f>
        <v>5.3244592346089699E-2</v>
      </c>
      <c r="J69" s="5">
        <f>(Cotacoes!J69-Cotacoes!J68)/Cotacoes!J68</f>
        <v>-2.8957528957528683E-3</v>
      </c>
      <c r="K69" s="5">
        <f>(Cotacoes!K69-Cotacoes!K68)/Cotacoes!K68</f>
        <v>1.1147540983606553E-2</v>
      </c>
      <c r="L69" s="5">
        <f>(Cotacoes!L69-Cotacoes!L68)/Cotacoes!L68</f>
        <v>-1.5277777777777822E-2</v>
      </c>
      <c r="M69" s="5">
        <f>(Cotacoes!M69-Cotacoes!M68)/Cotacoes!M68</f>
        <v>-8.6206896551723686E-3</v>
      </c>
      <c r="N69" s="5">
        <f>(Cotacoes!N69-Cotacoes!N68)/Cotacoes!N68</f>
        <v>0</v>
      </c>
      <c r="O69" s="5">
        <f>(Cotacoes!O69-Cotacoes!O68)/Cotacoes!O68</f>
        <v>3.0851063829787143E-2</v>
      </c>
      <c r="P69" s="5">
        <f>(Cotacoes!P69-Cotacoes!P68)/Cotacoes!P68</f>
        <v>-1.2756909992912808E-2</v>
      </c>
      <c r="Q69" s="5">
        <f>(Cotacoes!Q69-Cotacoes!Q68)/Cotacoes!Q68</f>
        <v>6.0496067755583846E-4</v>
      </c>
      <c r="R69" s="5">
        <f>(Cotacoes!R69-Cotacoes!R68)/Cotacoes!R68</f>
        <v>-1.6927634363097398E-3</v>
      </c>
      <c r="S69" s="5">
        <f>(Cotacoes!S69-Cotacoes!S68)/Cotacoes!S68</f>
        <v>-6.9177555726364229E-3</v>
      </c>
      <c r="T69" s="5">
        <f>(Cotacoes!T69-Cotacoes!T68)/Cotacoes!T68</f>
        <v>8.5034013605440363E-4</v>
      </c>
      <c r="U69" s="5">
        <f>(Cotacoes!U69-Cotacoes!U68)/Cotacoes!U68</f>
        <v>-7.2643853947620442E-3</v>
      </c>
      <c r="V69" s="5">
        <f>(Cotacoes!V69-Cotacoes!V68)/Cotacoes!V68</f>
        <v>-1.9333333333333275E-2</v>
      </c>
      <c r="W69" s="5"/>
    </row>
    <row r="70" spans="1:23" x14ac:dyDescent="0.2">
      <c r="A70" s="4">
        <v>44662</v>
      </c>
      <c r="B70" s="5">
        <f>(Cotacoes!B70-Cotacoes!B69)/Cotacoes!B69</f>
        <v>-1.4726507713884982E-2</v>
      </c>
      <c r="C70" s="5">
        <f>(Cotacoes!C70-Cotacoes!C69)/Cotacoes!C69</f>
        <v>-1.203985607528376E-2</v>
      </c>
      <c r="D70" s="5">
        <f>(Cotacoes!D70-Cotacoes!D69)/Cotacoes!D69</f>
        <v>-7.9491255961843914E-3</v>
      </c>
      <c r="E70" s="5">
        <f>(Cotacoes!E70-Cotacoes!E69)/Cotacoes!E69</f>
        <v>-4.0322580645160431E-3</v>
      </c>
      <c r="F70" s="5">
        <f>(Cotacoes!F70-Cotacoes!F69)/Cotacoes!F69</f>
        <v>-1.2803234501347675E-2</v>
      </c>
      <c r="G70" s="5">
        <f>(Cotacoes!G70-Cotacoes!G69)/Cotacoes!G69</f>
        <v>-4.6554934823091247E-2</v>
      </c>
      <c r="H70" s="5">
        <f>(Cotacoes!H70-Cotacoes!H69)/Cotacoes!H69</f>
        <v>6.8337129840546585E-3</v>
      </c>
      <c r="I70" s="5">
        <f>(Cotacoes!I70-Cotacoes!I69)/Cotacoes!I69</f>
        <v>-2.738283307003684E-2</v>
      </c>
      <c r="J70" s="5">
        <f>(Cotacoes!J70-Cotacoes!J69)/Cotacoes!J69</f>
        <v>-6.1955469506292408E-3</v>
      </c>
      <c r="K70" s="5">
        <f>(Cotacoes!K70-Cotacoes!K69)/Cotacoes!K69</f>
        <v>-1.2970168612191683E-3</v>
      </c>
      <c r="L70" s="5">
        <f>(Cotacoes!L70-Cotacoes!L69)/Cotacoes!L69</f>
        <v>-4.6544428772919616E-2</v>
      </c>
      <c r="M70" s="5">
        <f>(Cotacoes!M70-Cotacoes!M69)/Cotacoes!M69</f>
        <v>1.8181818181818216E-2</v>
      </c>
      <c r="N70" s="5">
        <f>(Cotacoes!N70-Cotacoes!N69)/Cotacoes!N69</f>
        <v>-8.982035928143655E-3</v>
      </c>
      <c r="O70" s="5">
        <f>(Cotacoes!O70-Cotacoes!O69)/Cotacoes!O69</f>
        <v>-1.7027863777089695E-2</v>
      </c>
      <c r="P70" s="5">
        <f>(Cotacoes!P70-Cotacoes!P69)/Cotacoes!P69</f>
        <v>-1.076812634601582E-2</v>
      </c>
      <c r="Q70" s="5">
        <f>(Cotacoes!Q70-Cotacoes!Q69)/Cotacoes!Q69</f>
        <v>-5.6428859330913753E-3</v>
      </c>
      <c r="R70" s="5">
        <f>(Cotacoes!R70-Cotacoes!R69)/Cotacoes!R69</f>
        <v>-1.3565069944891915E-2</v>
      </c>
      <c r="S70" s="5">
        <f>(Cotacoes!S70-Cotacoes!S69)/Cotacoes!S69</f>
        <v>-1.3157894736842099E-2</v>
      </c>
      <c r="T70" s="5">
        <f>(Cotacoes!T70-Cotacoes!T69)/Cotacoes!T69</f>
        <v>-9.7706032285471717E-3</v>
      </c>
      <c r="U70" s="5">
        <f>(Cotacoes!U70-Cotacoes!U69)/Cotacoes!U69</f>
        <v>-1.1554015020219964E-3</v>
      </c>
      <c r="V70" s="5">
        <f>(Cotacoes!V70-Cotacoes!V69)/Cotacoes!V69</f>
        <v>-2.673917969635168E-2</v>
      </c>
      <c r="W70" s="5"/>
    </row>
    <row r="71" spans="1:23" x14ac:dyDescent="0.2">
      <c r="A71" s="4">
        <v>44663</v>
      </c>
      <c r="B71" s="5">
        <f>(Cotacoes!B71-Cotacoes!B70)/Cotacoes!B70</f>
        <v>-2.4402643619724951E-3</v>
      </c>
      <c r="C71" s="5">
        <f>(Cotacoes!C71-Cotacoes!C70)/Cotacoes!C70</f>
        <v>-6.7236307606107857E-3</v>
      </c>
      <c r="D71" s="5">
        <f>(Cotacoes!D71-Cotacoes!D70)/Cotacoes!D70</f>
        <v>-2.4038461538462451E-3</v>
      </c>
      <c r="E71" s="5">
        <f>(Cotacoes!E71-Cotacoes!E70)/Cotacoes!E70</f>
        <v>-1.7712550607287519E-2</v>
      </c>
      <c r="F71" s="5">
        <f>(Cotacoes!F71-Cotacoes!F70)/Cotacoes!F70</f>
        <v>6.8259385665527558E-4</v>
      </c>
      <c r="G71" s="5">
        <f>(Cotacoes!G71-Cotacoes!G70)/Cotacoes!G70</f>
        <v>-5.5338541666666071E-3</v>
      </c>
      <c r="H71" s="5">
        <f>(Cotacoes!H71-Cotacoes!H70)/Cotacoes!H70</f>
        <v>-2.2624434389139788E-3</v>
      </c>
      <c r="I71" s="5">
        <f>(Cotacoes!I71-Cotacoes!I70)/Cotacoes!I70</f>
        <v>1.2452625879805113E-2</v>
      </c>
      <c r="J71" s="5">
        <f>(Cotacoes!J71-Cotacoes!J70)/Cotacoes!J70</f>
        <v>-1.5975063315799735E-2</v>
      </c>
      <c r="K71" s="5">
        <f>(Cotacoes!K71-Cotacoes!K70)/Cotacoes!K70</f>
        <v>-9.0909090909091269E-3</v>
      </c>
      <c r="L71" s="5">
        <f>(Cotacoes!L71-Cotacoes!L70)/Cotacoes!L70</f>
        <v>-3.5502958579881692E-2</v>
      </c>
      <c r="M71" s="5">
        <f>(Cotacoes!M71-Cotacoes!M70)/Cotacoes!M70</f>
        <v>-1.0093167701863415E-2</v>
      </c>
      <c r="N71" s="5">
        <f>(Cotacoes!N71-Cotacoes!N70)/Cotacoes!N70</f>
        <v>-9.0634441087614048E-3</v>
      </c>
      <c r="O71" s="5">
        <f>(Cotacoes!O71-Cotacoes!O70)/Cotacoes!O70</f>
        <v>-1.9422572178477742E-2</v>
      </c>
      <c r="P71" s="5">
        <f>(Cotacoes!P71-Cotacoes!P70)/Cotacoes!P70</f>
        <v>-1.6690856313497725E-2</v>
      </c>
      <c r="Q71" s="5">
        <f>(Cotacoes!Q71-Cotacoes!Q70)/Cotacoes!Q70</f>
        <v>-1.2768544791244478E-2</v>
      </c>
      <c r="R71" s="5">
        <f>(Cotacoes!R71-Cotacoes!R70)/Cotacoes!R70</f>
        <v>-1.761925225612377E-2</v>
      </c>
      <c r="S71" s="5">
        <f>(Cotacoes!S71-Cotacoes!S70)/Cotacoes!S70</f>
        <v>-7.8431372549017935E-4</v>
      </c>
      <c r="T71" s="5">
        <f>(Cotacoes!T71-Cotacoes!T70)/Cotacoes!T70</f>
        <v>1.7160017160017253E-2</v>
      </c>
      <c r="U71" s="5">
        <f>(Cotacoes!U71-Cotacoes!U70)/Cotacoes!U70</f>
        <v>5.0125313283209006E-3</v>
      </c>
      <c r="V71" s="5">
        <f>(Cotacoes!V71-Cotacoes!V70)/Cotacoes!V70</f>
        <v>-1.5366705471478549E-2</v>
      </c>
      <c r="W71" s="5"/>
    </row>
    <row r="72" spans="1:23" x14ac:dyDescent="0.2">
      <c r="A72" s="4">
        <v>44664</v>
      </c>
      <c r="B72" s="5">
        <f>(Cotacoes!B72-Cotacoes!B71)/Cotacoes!B71</f>
        <v>4.0770563653043084E-3</v>
      </c>
      <c r="C72" s="5">
        <f>(Cotacoes!C72-Cotacoes!C71)/Cotacoes!C71</f>
        <v>4.2307149908336113E-4</v>
      </c>
      <c r="D72" s="5">
        <f>(Cotacoes!D72-Cotacoes!D71)/Cotacoes!D71</f>
        <v>2.0883534136546311E-2</v>
      </c>
      <c r="E72" s="5">
        <f>(Cotacoes!E72-Cotacoes!E71)/Cotacoes!E71</f>
        <v>3.0911901081915878E-3</v>
      </c>
      <c r="F72" s="5">
        <f>(Cotacoes!F72-Cotacoes!F71)/Cotacoes!F71</f>
        <v>2.4556616643929021E-2</v>
      </c>
      <c r="G72" s="5">
        <f>(Cotacoes!G72-Cotacoes!G71)/Cotacoes!G71</f>
        <v>5.8919803600654573E-3</v>
      </c>
      <c r="H72" s="5">
        <f>(Cotacoes!H72-Cotacoes!H71)/Cotacoes!H71</f>
        <v>4.5351473922901524E-3</v>
      </c>
      <c r="I72" s="5">
        <f>(Cotacoes!I72-Cotacoes!I71)/Cotacoes!I71</f>
        <v>2.7272727272727358E-2</v>
      </c>
      <c r="J72" s="5">
        <f>(Cotacoes!J72-Cotacoes!J71)/Cotacoes!J71</f>
        <v>5.3454761433380151E-3</v>
      </c>
      <c r="K72" s="5">
        <f>(Cotacoes!K72-Cotacoes!K71)/Cotacoes!K71</f>
        <v>1.0484927916120585E-2</v>
      </c>
      <c r="L72" s="5">
        <f>(Cotacoes!L72-Cotacoes!L71)/Cotacoes!L71</f>
        <v>3.8343558282209135E-3</v>
      </c>
      <c r="M72" s="5">
        <f>(Cotacoes!M72-Cotacoes!M71)/Cotacoes!M71</f>
        <v>-1.4901960784313686E-2</v>
      </c>
      <c r="N72" s="5">
        <f>(Cotacoes!N72-Cotacoes!N71)/Cotacoes!N71</f>
        <v>0</v>
      </c>
      <c r="O72" s="5">
        <f>(Cotacoes!O72-Cotacoes!O71)/Cotacoes!O71</f>
        <v>2.4089935760172221E-3</v>
      </c>
      <c r="P72" s="5">
        <f>(Cotacoes!P72-Cotacoes!P71)/Cotacoes!P71</f>
        <v>2.5092250922509215E-2</v>
      </c>
      <c r="Q72" s="5">
        <f>(Cotacoes!Q72-Cotacoes!Q71)/Cotacoes!Q71</f>
        <v>5.3377129952781356E-3</v>
      </c>
      <c r="R72" s="5">
        <f>(Cotacoes!R72-Cotacoes!R71)/Cotacoes!R71</f>
        <v>2.3184601924759456E-2</v>
      </c>
      <c r="S72" s="5">
        <f>(Cotacoes!S72-Cotacoes!S71)/Cotacoes!S71</f>
        <v>-3.1397174254317838E-3</v>
      </c>
      <c r="T72" s="5">
        <f>(Cotacoes!T72-Cotacoes!T71)/Cotacoes!T71</f>
        <v>2.4884015183466886E-2</v>
      </c>
      <c r="U72" s="5">
        <f>(Cotacoes!U72-Cotacoes!U71)/Cotacoes!U71</f>
        <v>-5.9466717820832972E-3</v>
      </c>
      <c r="V72" s="5">
        <f>(Cotacoes!V72-Cotacoes!V71)/Cotacoes!V71</f>
        <v>-1.7734689051785293E-2</v>
      </c>
      <c r="W72" s="5"/>
    </row>
    <row r="73" spans="1:23" x14ac:dyDescent="0.2">
      <c r="A73" s="4">
        <v>44665</v>
      </c>
      <c r="B73" s="5">
        <f>(Cotacoes!B73-Cotacoes!B72)/Cotacoes!B72</f>
        <v>-1.0963353974215797E-2</v>
      </c>
      <c r="C73" s="5">
        <f>(Cotacoes!C73-Cotacoes!C72)/Cotacoes!C72</f>
        <v>-1.4096419509444602E-2</v>
      </c>
      <c r="D73" s="5">
        <f>(Cotacoes!D73-Cotacoes!D72)/Cotacoes!D72</f>
        <v>-1.0228166797797072E-2</v>
      </c>
      <c r="E73" s="5">
        <f>(Cotacoes!E73-Cotacoes!E72)/Cotacoes!E72</f>
        <v>6.1633281972265537E-3</v>
      </c>
      <c r="F73" s="5">
        <f>(Cotacoes!F73-Cotacoes!F72)/Cotacoes!F72</f>
        <v>5.3262316910785666E-3</v>
      </c>
      <c r="G73" s="5">
        <f>(Cotacoes!G73-Cotacoes!G72)/Cotacoes!G72</f>
        <v>-8.4607875040677363E-3</v>
      </c>
      <c r="H73" s="5">
        <f>(Cotacoes!H73-Cotacoes!H72)/Cotacoes!H72</f>
        <v>1.5048908954101844E-3</v>
      </c>
      <c r="I73" s="5">
        <f>(Cotacoes!I73-Cotacoes!I72)/Cotacoes!I72</f>
        <v>0</v>
      </c>
      <c r="J73" s="5">
        <f>(Cotacoes!J73-Cotacoes!J72)/Cotacoes!J72</f>
        <v>-9.8463962189838522E-3</v>
      </c>
      <c r="K73" s="5">
        <f>(Cotacoes!K73-Cotacoes!K72)/Cotacoes!K72</f>
        <v>-2.5940337224383365E-3</v>
      </c>
      <c r="L73" s="5">
        <f>(Cotacoes!L73-Cotacoes!L72)/Cotacoes!L72</f>
        <v>6.1115355233002343E-3</v>
      </c>
      <c r="M73" s="5">
        <f>(Cotacoes!M73-Cotacoes!M72)/Cotacoes!M72</f>
        <v>-8.7579617834395856E-3</v>
      </c>
      <c r="N73" s="5">
        <f>(Cotacoes!N73-Cotacoes!N72)/Cotacoes!N72</f>
        <v>1.5243902439025421E-3</v>
      </c>
      <c r="O73" s="5">
        <f>(Cotacoes!O73-Cotacoes!O72)/Cotacoes!O72</f>
        <v>2.7503337783711453E-2</v>
      </c>
      <c r="P73" s="5">
        <f>(Cotacoes!P73-Cotacoes!P72)/Cotacoes!P72</f>
        <v>-1.4398848092152704E-2</v>
      </c>
      <c r="Q73" s="5">
        <f>(Cotacoes!Q73-Cotacoes!Q72)/Cotacoes!Q72</f>
        <v>-3.2673065141922931E-3</v>
      </c>
      <c r="R73" s="5">
        <f>(Cotacoes!R73-Cotacoes!R72)/Cotacoes!R72</f>
        <v>-1.0688328345446772E-2</v>
      </c>
      <c r="S73" s="5">
        <f>(Cotacoes!S73-Cotacoes!S72)/Cotacoes!S72</f>
        <v>1.9291338582677245E-2</v>
      </c>
      <c r="T73" s="5">
        <f>(Cotacoes!T73-Cotacoes!T72)/Cotacoes!T72</f>
        <v>2.304526748971188E-2</v>
      </c>
      <c r="U73" s="5">
        <f>(Cotacoes!U73-Cotacoes!U72)/Cotacoes!U72</f>
        <v>-8.1049787726746765E-3</v>
      </c>
      <c r="V73" s="5">
        <f>(Cotacoes!V73-Cotacoes!V72)/Cotacoes!V72</f>
        <v>-3.322099181511802E-2</v>
      </c>
      <c r="W73" s="5"/>
    </row>
    <row r="74" spans="1:23" x14ac:dyDescent="0.2">
      <c r="A74" s="4">
        <v>44669</v>
      </c>
      <c r="B74" s="5">
        <f>(Cotacoes!B74-Cotacoes!B73)/Cotacoes!B73</f>
        <v>-2.0527558246946818E-3</v>
      </c>
      <c r="C74" s="5">
        <f>(Cotacoes!C74-Cotacoes!C73)/Cotacoes!C73</f>
        <v>-1.6442665141549778E-2</v>
      </c>
      <c r="D74" s="5">
        <f>(Cotacoes!D74-Cotacoes!D73)/Cotacoes!D73</f>
        <v>-1.7488076311605774E-2</v>
      </c>
      <c r="E74" s="5">
        <f>(Cotacoes!E74-Cotacoes!E73)/Cotacoes!E73</f>
        <v>5.6151097498723553E-3</v>
      </c>
      <c r="F74" s="5">
        <f>(Cotacoes!F74-Cotacoes!F73)/Cotacoes!F73</f>
        <v>-1.7880794701986728E-2</v>
      </c>
      <c r="G74" s="5">
        <f>(Cotacoes!G74-Cotacoes!G73)/Cotacoes!G73</f>
        <v>-1.1814899901542483E-2</v>
      </c>
      <c r="H74" s="5">
        <f>(Cotacoes!H74-Cotacoes!H73)/Cotacoes!H73</f>
        <v>3.6814425244177322E-2</v>
      </c>
      <c r="I74" s="5">
        <f>(Cotacoes!I74-Cotacoes!I73)/Cotacoes!I73</f>
        <v>-2.1343050494534103E-2</v>
      </c>
      <c r="J74" s="5">
        <f>(Cotacoes!J74-Cotacoes!J73)/Cotacoes!J73</f>
        <v>-1.3922036595067678E-3</v>
      </c>
      <c r="K74" s="5">
        <f>(Cotacoes!K74-Cotacoes!K73)/Cotacoes!K73</f>
        <v>1.8205461638491505E-2</v>
      </c>
      <c r="L74" s="5">
        <f>(Cotacoes!L74-Cotacoes!L73)/Cotacoes!L73</f>
        <v>1.5186028853454497E-3</v>
      </c>
      <c r="M74" s="5">
        <f>(Cotacoes!M74-Cotacoes!M73)/Cotacoes!M73</f>
        <v>8.0321285140574808E-4</v>
      </c>
      <c r="N74" s="5">
        <f>(Cotacoes!N74-Cotacoes!N73)/Cotacoes!N73</f>
        <v>6.0882800608828055E-3</v>
      </c>
      <c r="O74" s="5">
        <f>(Cotacoes!O74-Cotacoes!O73)/Cotacoes!O73</f>
        <v>2.5987525987526358E-3</v>
      </c>
      <c r="P74" s="5">
        <f>(Cotacoes!P74-Cotacoes!P73)/Cotacoes!P73</f>
        <v>-1.3148283418553669E-2</v>
      </c>
      <c r="Q74" s="5">
        <f>(Cotacoes!Q74-Cotacoes!Q73)/Cotacoes!Q73</f>
        <v>-2.8272894898586406E-2</v>
      </c>
      <c r="R74" s="5">
        <f>(Cotacoes!R74-Cotacoes!R73)/Cotacoes!R73</f>
        <v>5.6179775280898441E-3</v>
      </c>
      <c r="S74" s="5">
        <f>(Cotacoes!S74-Cotacoes!S73)/Cotacoes!S73</f>
        <v>-1.1201235998454968E-2</v>
      </c>
      <c r="T74" s="5">
        <f>(Cotacoes!T74-Cotacoes!T73)/Cotacoes!T73</f>
        <v>-2.4135156878519197E-3</v>
      </c>
      <c r="U74" s="5">
        <f>(Cotacoes!U74-Cotacoes!U73)/Cotacoes!U73</f>
        <v>2.1400778210116621E-3</v>
      </c>
      <c r="V74" s="5">
        <f>(Cotacoes!V74-Cotacoes!V73)/Cotacoes!V73</f>
        <v>-4.9800796812739104E-4</v>
      </c>
      <c r="W74" s="5"/>
    </row>
    <row r="75" spans="1:23" x14ac:dyDescent="0.2">
      <c r="A75" s="4">
        <v>44670</v>
      </c>
      <c r="B75" s="5">
        <f>(Cotacoes!B75-Cotacoes!B74)/Cotacoes!B74</f>
        <v>-6.4794816414687813E-3</v>
      </c>
      <c r="C75" s="5">
        <f>(Cotacoes!C75-Cotacoes!C74)/Cotacoes!C74</f>
        <v>-3.1981392644279731E-2</v>
      </c>
      <c r="D75" s="5">
        <f>(Cotacoes!D75-Cotacoes!D74)/Cotacoes!D74</f>
        <v>2.993527508090623E-2</v>
      </c>
      <c r="E75" s="5">
        <f>(Cotacoes!E75-Cotacoes!E74)/Cotacoes!E74</f>
        <v>-1.7766497461928828E-2</v>
      </c>
      <c r="F75" s="5">
        <f>(Cotacoes!F75-Cotacoes!F74)/Cotacoes!F74</f>
        <v>1.7532029669588656E-2</v>
      </c>
      <c r="G75" s="5">
        <f>(Cotacoes!G75-Cotacoes!G74)/Cotacoes!G74</f>
        <v>-1.6937894387246695E-2</v>
      </c>
      <c r="H75" s="5">
        <f>(Cotacoes!H75-Cotacoes!H74)/Cotacoes!H74</f>
        <v>-3.5507246376811609E-2</v>
      </c>
      <c r="I75" s="5">
        <f>(Cotacoes!I75-Cotacoes!I74)/Cotacoes!I74</f>
        <v>-4.4148936170212864E-2</v>
      </c>
      <c r="J75" s="5">
        <f>(Cotacoes!J75-Cotacoes!J74)/Cotacoes!J74</f>
        <v>-3.8438558056164106E-2</v>
      </c>
      <c r="K75" s="5">
        <f>(Cotacoes!K75-Cotacoes!K74)/Cotacoes!K74</f>
        <v>-1.3409961685823809E-2</v>
      </c>
      <c r="L75" s="5">
        <f>(Cotacoes!L75-Cotacoes!L74)/Cotacoes!L74</f>
        <v>1.5163002274451364E-3</v>
      </c>
      <c r="M75" s="5">
        <f>(Cotacoes!M75-Cotacoes!M74)/Cotacoes!M74</f>
        <v>-4.0128410914928338E-3</v>
      </c>
      <c r="N75" s="5">
        <f>(Cotacoes!N75-Cotacoes!N74)/Cotacoes!N74</f>
        <v>-1.0590015128593084E-2</v>
      </c>
      <c r="O75" s="5">
        <f>(Cotacoes!O75-Cotacoes!O74)/Cotacoes!O74</f>
        <v>-2.5142560912389811E-2</v>
      </c>
      <c r="P75" s="5">
        <f>(Cotacoes!P75-Cotacoes!P74)/Cotacoes!P74</f>
        <v>3.923019985196146E-2</v>
      </c>
      <c r="Q75" s="5">
        <f>(Cotacoes!Q75-Cotacoes!Q74)/Cotacoes!Q74</f>
        <v>7.5901328273244662E-3</v>
      </c>
      <c r="R75" s="5">
        <f>(Cotacoes!R75-Cotacoes!R74)/Cotacoes!R74</f>
        <v>2.6214009454232894E-2</v>
      </c>
      <c r="S75" s="5">
        <f>(Cotacoes!S75-Cotacoes!S74)/Cotacoes!S74</f>
        <v>-1.3671875000000056E-2</v>
      </c>
      <c r="T75" s="5">
        <f>(Cotacoes!T75-Cotacoes!T74)/Cotacoes!T74</f>
        <v>-7.2580645161290204E-3</v>
      </c>
      <c r="U75" s="5">
        <f>(Cotacoes!U75-Cotacoes!U74)/Cotacoes!U74</f>
        <v>1.8248883711900695E-2</v>
      </c>
      <c r="V75" s="5">
        <f>(Cotacoes!V75-Cotacoes!V74)/Cotacoes!V74</f>
        <v>3.487792725460901E-3</v>
      </c>
      <c r="W75" s="5"/>
    </row>
    <row r="76" spans="1:23" x14ac:dyDescent="0.2">
      <c r="A76" s="4">
        <v>44671</v>
      </c>
      <c r="B76" s="5">
        <f>(Cotacoes!B76-Cotacoes!B75)/Cotacoes!B75</f>
        <v>-6.7287784679088145E-3</v>
      </c>
      <c r="C76" s="5">
        <f>(Cotacoes!C76-Cotacoes!C75)/Cotacoes!C75</f>
        <v>-2.5979876858387204E-2</v>
      </c>
      <c r="D76" s="5">
        <f>(Cotacoes!D76-Cotacoes!D75)/Cotacoes!D75</f>
        <v>4.7132757266299076E-3</v>
      </c>
      <c r="E76" s="5">
        <f>(Cotacoes!E76-Cotacoes!E75)/Cotacoes!E75</f>
        <v>6.7183462532299223E-3</v>
      </c>
      <c r="F76" s="5">
        <f>(Cotacoes!F76-Cotacoes!F75)/Cotacoes!F75</f>
        <v>1.1265738899933726E-2</v>
      </c>
      <c r="G76" s="5">
        <f>(Cotacoes!G76-Cotacoes!G75)/Cotacoes!G75</f>
        <v>1.689189189189093E-3</v>
      </c>
      <c r="H76" s="5">
        <f>(Cotacoes!H76-Cotacoes!H75)/Cotacoes!H75</f>
        <v>-1.5026296018032569E-3</v>
      </c>
      <c r="I76" s="5">
        <f>(Cotacoes!I76-Cotacoes!I75)/Cotacoes!I75</f>
        <v>3.9510294936004504E-2</v>
      </c>
      <c r="J76" s="5">
        <f>(Cotacoes!J76-Cotacoes!J75)/Cotacoes!J75</f>
        <v>-1.9262634631317308E-2</v>
      </c>
      <c r="K76" s="5">
        <f>(Cotacoes!K76-Cotacoes!K75)/Cotacoes!K75</f>
        <v>-3.2362459546924878E-3</v>
      </c>
      <c r="L76" s="5">
        <f>(Cotacoes!L76-Cotacoes!L75)/Cotacoes!L75</f>
        <v>1.059803179409529E-2</v>
      </c>
      <c r="M76" s="5">
        <f>(Cotacoes!M76-Cotacoes!M75)/Cotacoes!M75</f>
        <v>5.6406124093473231E-3</v>
      </c>
      <c r="N76" s="5">
        <f>(Cotacoes!N76-Cotacoes!N75)/Cotacoes!N75</f>
        <v>0</v>
      </c>
      <c r="O76" s="5">
        <f>(Cotacoes!O76-Cotacoes!O75)/Cotacoes!O75</f>
        <v>2.0207391651156554E-2</v>
      </c>
      <c r="P76" s="5">
        <f>(Cotacoes!P76-Cotacoes!P75)/Cotacoes!P75</f>
        <v>-9.9715099715098864E-3</v>
      </c>
      <c r="Q76" s="5">
        <f>(Cotacoes!Q76-Cotacoes!Q75)/Cotacoes!Q75</f>
        <v>-9.6254446536932596E-3</v>
      </c>
      <c r="R76" s="5">
        <f>(Cotacoes!R76-Cotacoes!R75)/Cotacoes!R75</f>
        <v>1.3400335008375222E-2</v>
      </c>
      <c r="S76" s="5">
        <f>(Cotacoes!S76-Cotacoes!S75)/Cotacoes!S75</f>
        <v>7.9207920792078931E-3</v>
      </c>
      <c r="T76" s="5">
        <f>(Cotacoes!T76-Cotacoes!T75)/Cotacoes!T75</f>
        <v>4.2242079610073077E-2</v>
      </c>
      <c r="U76" s="5">
        <f>(Cotacoes!U76-Cotacoes!U75)/Cotacoes!U75</f>
        <v>-3.2411820781697177E-3</v>
      </c>
      <c r="V76" s="5">
        <f>(Cotacoes!V76-Cotacoes!V75)/Cotacoes!V75</f>
        <v>-2.3336643495531224E-2</v>
      </c>
      <c r="W76" s="5"/>
    </row>
    <row r="77" spans="1:23" x14ac:dyDescent="0.2">
      <c r="A77" s="4">
        <v>44673</v>
      </c>
      <c r="B77" s="5">
        <f>(Cotacoes!B77-Cotacoes!B76)/Cotacoes!B76</f>
        <v>-3.1266284523189157E-2</v>
      </c>
      <c r="C77" s="5">
        <f>(Cotacoes!C77-Cotacoes!C76)/Cotacoes!C76</f>
        <v>-5.7971014492753596E-2</v>
      </c>
      <c r="D77" s="5">
        <f>(Cotacoes!D77-Cotacoes!D76)/Cotacoes!D76</f>
        <v>-3.9093041438623931E-2</v>
      </c>
      <c r="E77" s="5">
        <f>(Cotacoes!E77-Cotacoes!E76)/Cotacoes!E76</f>
        <v>-1.9507186858316171E-2</v>
      </c>
      <c r="F77" s="5">
        <f>(Cotacoes!F77-Cotacoes!F76)/Cotacoes!F76</f>
        <v>-4.9803407601572723E-2</v>
      </c>
      <c r="G77" s="5">
        <f>(Cotacoes!G77-Cotacoes!G76)/Cotacoes!G76</f>
        <v>-3.3726812816188153E-3</v>
      </c>
      <c r="H77" s="5">
        <f>(Cotacoes!H77-Cotacoes!H76)/Cotacoes!H76</f>
        <v>-2.1068472535741112E-2</v>
      </c>
      <c r="I77" s="5">
        <f>(Cotacoes!I77-Cotacoes!I76)/Cotacoes!I76</f>
        <v>-4.9518201284796615E-2</v>
      </c>
      <c r="J77" s="5">
        <f>(Cotacoes!J77-Cotacoes!J76)/Cotacoes!J76</f>
        <v>-2.0063357972544937E-2</v>
      </c>
      <c r="K77" s="5">
        <f>(Cotacoes!K77-Cotacoes!K76)/Cotacoes!K76</f>
        <v>-1.4285714285714327E-2</v>
      </c>
      <c r="L77" s="5">
        <f>(Cotacoes!L77-Cotacoes!L76)/Cotacoes!L76</f>
        <v>-2.247191011235947E-2</v>
      </c>
      <c r="M77" s="5">
        <f>(Cotacoes!M77-Cotacoes!M76)/Cotacoes!M76</f>
        <v>1.6025641025640682E-3</v>
      </c>
      <c r="N77" s="5">
        <f>(Cotacoes!N77-Cotacoes!N76)/Cotacoes!N76</f>
        <v>-1.5290519877675787E-2</v>
      </c>
      <c r="O77" s="5">
        <f>(Cotacoes!O77-Cotacoes!O76)/Cotacoes!O76</f>
        <v>-1.3031013812873902E-3</v>
      </c>
      <c r="P77" s="5">
        <f>(Cotacoes!P77-Cotacoes!P76)/Cotacoes!P76</f>
        <v>-1.5107913669064809E-2</v>
      </c>
      <c r="Q77" s="5">
        <f>(Cotacoes!Q77-Cotacoes!Q76)/Cotacoes!Q76</f>
        <v>-8.0287344179166588E-3</v>
      </c>
      <c r="R77" s="5">
        <f>(Cotacoes!R77-Cotacoes!R76)/Cotacoes!R76</f>
        <v>-3.7603305785123976E-2</v>
      </c>
      <c r="S77" s="5">
        <f>(Cotacoes!S77-Cotacoes!S76)/Cotacoes!S76</f>
        <v>-1.0609037328094286E-2</v>
      </c>
      <c r="T77" s="5">
        <f>(Cotacoes!T77-Cotacoes!T76)/Cotacoes!T76</f>
        <v>-4.7544816835541653E-2</v>
      </c>
      <c r="U77" s="5">
        <f>(Cotacoes!U77-Cotacoes!U76)/Cotacoes!U76</f>
        <v>-3.8829380260137741E-2</v>
      </c>
      <c r="V77" s="5">
        <f>(Cotacoes!V77-Cotacoes!V76)/Cotacoes!V76</f>
        <v>-3.1265887137773354E-2</v>
      </c>
      <c r="W77" s="5"/>
    </row>
    <row r="78" spans="1:23" x14ac:dyDescent="0.2">
      <c r="A78" s="4">
        <v>44676</v>
      </c>
      <c r="B78" s="5">
        <f>(Cotacoes!B78-Cotacoes!B77)/Cotacoes!B77</f>
        <v>-2.1516944593867977E-3</v>
      </c>
      <c r="C78" s="5">
        <f>(Cotacoes!C78-Cotacoes!C77)/Cotacoes!C77</f>
        <v>-1.7021276595744667E-2</v>
      </c>
      <c r="D78" s="5">
        <f>(Cotacoes!D78-Cotacoes!D77)/Cotacoes!D77</f>
        <v>-1.4646053702196887E-2</v>
      </c>
      <c r="E78" s="5">
        <f>(Cotacoes!E78-Cotacoes!E77)/Cotacoes!E77</f>
        <v>-3.6649214659686012E-3</v>
      </c>
      <c r="F78" s="5">
        <f>(Cotacoes!F78-Cotacoes!F77)/Cotacoes!F77</f>
        <v>-6.8965517241379067E-3</v>
      </c>
      <c r="G78" s="5">
        <f>(Cotacoes!G78-Cotacoes!G77)/Cotacoes!G77</f>
        <v>-3.3840947546531783E-3</v>
      </c>
      <c r="H78" s="5">
        <f>(Cotacoes!H78-Cotacoes!H77)/Cotacoes!H77</f>
        <v>8.4550345887778201E-3</v>
      </c>
      <c r="I78" s="5">
        <f>(Cotacoes!I78-Cotacoes!I77)/Cotacoes!I77</f>
        <v>2.1965643480709691E-2</v>
      </c>
      <c r="J78" s="5">
        <f>(Cotacoes!J78-Cotacoes!J77)/Cotacoes!J77</f>
        <v>6.896551724137937E-3</v>
      </c>
      <c r="K78" s="5">
        <f>(Cotacoes!K78-Cotacoes!K77)/Cotacoes!K77</f>
        <v>-6.5876152832674336E-3</v>
      </c>
      <c r="L78" s="5">
        <f>(Cotacoes!L78-Cotacoes!L77)/Cotacoes!L77</f>
        <v>-1.6858237547892767E-2</v>
      </c>
      <c r="M78" s="5">
        <f>(Cotacoes!M78-Cotacoes!M77)/Cotacoes!M77</f>
        <v>2.4800000000000041E-2</v>
      </c>
      <c r="N78" s="5">
        <f>(Cotacoes!N78-Cotacoes!N77)/Cotacoes!N77</f>
        <v>-1.5527950310560052E-3</v>
      </c>
      <c r="O78" s="5">
        <f>(Cotacoes!O78-Cotacoes!O77)/Cotacoes!O77</f>
        <v>-6.2630480167015137E-3</v>
      </c>
      <c r="P78" s="5">
        <f>(Cotacoes!P78-Cotacoes!P77)/Cotacoes!P77</f>
        <v>2.4105186267348436E-2</v>
      </c>
      <c r="Q78" s="5">
        <f>(Cotacoes!Q78-Cotacoes!Q77)/Cotacoes!Q77</f>
        <v>3.6208732694354546E-3</v>
      </c>
      <c r="R78" s="5">
        <f>(Cotacoes!R78-Cotacoes!R77)/Cotacoes!R77</f>
        <v>-6.0111635895234257E-3</v>
      </c>
      <c r="S78" s="5">
        <f>(Cotacoes!S78-Cotacoes!S77)/Cotacoes!S77</f>
        <v>2.3034154090548129E-2</v>
      </c>
      <c r="T78" s="5">
        <f>(Cotacoes!T78-Cotacoes!T77)/Cotacoes!T77</f>
        <v>9.0016366612110828E-3</v>
      </c>
      <c r="U78" s="5">
        <f>(Cotacoes!U78-Cotacoes!U77)/Cotacoes!U77</f>
        <v>-9.9502487562189053E-3</v>
      </c>
      <c r="V78" s="5">
        <f>(Cotacoes!V78-Cotacoes!V77)/Cotacoes!V77</f>
        <v>1.3119916032537392E-2</v>
      </c>
      <c r="W78" s="5"/>
    </row>
    <row r="79" spans="1:23" x14ac:dyDescent="0.2">
      <c r="A79" s="4">
        <v>44677</v>
      </c>
      <c r="B79" s="5">
        <f>(Cotacoes!B79-Cotacoes!B78)/Cotacoes!B78</f>
        <v>-1.9946091644204789E-2</v>
      </c>
      <c r="C79" s="5">
        <f>(Cotacoes!C79-Cotacoes!C78)/Cotacoes!C78</f>
        <v>-1.3653013653013657E-2</v>
      </c>
      <c r="D79" s="5">
        <f>(Cotacoes!D79-Cotacoes!D78)/Cotacoes!D78</f>
        <v>-1.6515276630883215E-3</v>
      </c>
      <c r="E79" s="5">
        <f>(Cotacoes!E79-Cotacoes!E78)/Cotacoes!E78</f>
        <v>-3.4156594850236581E-2</v>
      </c>
      <c r="F79" s="5">
        <f>(Cotacoes!F79-Cotacoes!F78)/Cotacoes!F78</f>
        <v>-1.3888888888888592E-3</v>
      </c>
      <c r="G79" s="5">
        <f>(Cotacoes!G79-Cotacoes!G78)/Cotacoes!G78</f>
        <v>-3.9388794567062825E-2</v>
      </c>
      <c r="H79" s="5">
        <f>(Cotacoes!H79-Cotacoes!H78)/Cotacoes!H78</f>
        <v>-2.2865853658536505E-2</v>
      </c>
      <c r="I79" s="5">
        <f>(Cotacoes!I79-Cotacoes!I78)/Cotacoes!I78</f>
        <v>-1.7360154312482848E-2</v>
      </c>
      <c r="J79" s="5">
        <f>(Cotacoes!J79-Cotacoes!J78)/Cotacoes!J78</f>
        <v>-1.2200342465753432E-2</v>
      </c>
      <c r="K79" s="5">
        <f>(Cotacoes!K79-Cotacoes!K78)/Cotacoes!K78</f>
        <v>-4.3103448275862093E-2</v>
      </c>
      <c r="L79" s="5">
        <f>(Cotacoes!L79-Cotacoes!L78)/Cotacoes!L78</f>
        <v>-3.5853468433359383E-2</v>
      </c>
      <c r="M79" s="5">
        <f>(Cotacoes!M79-Cotacoes!M78)/Cotacoes!M78</f>
        <v>-2.4199843871975057E-2</v>
      </c>
      <c r="N79" s="5">
        <f>(Cotacoes!N79-Cotacoes!N78)/Cotacoes!N78</f>
        <v>-4.3545878693623544E-2</v>
      </c>
      <c r="O79" s="5">
        <f>(Cotacoes!O79-Cotacoes!O78)/Cotacoes!O78</f>
        <v>-1.2342436974789886E-2</v>
      </c>
      <c r="P79" s="5">
        <f>(Cotacoes!P79-Cotacoes!P78)/Cotacoes!P78</f>
        <v>-3.0670470756062749E-2</v>
      </c>
      <c r="Q79" s="5">
        <f>(Cotacoes!Q79-Cotacoes!Q78)/Cotacoes!Q78</f>
        <v>-2.0373514431239408E-2</v>
      </c>
      <c r="R79" s="5">
        <f>(Cotacoes!R79-Cotacoes!R78)/Cotacoes!R78</f>
        <v>-5.0539956803455646E-2</v>
      </c>
      <c r="S79" s="5">
        <f>(Cotacoes!S79-Cotacoes!S78)/Cotacoes!S78</f>
        <v>1.0093167701863276E-2</v>
      </c>
      <c r="T79" s="5">
        <f>(Cotacoes!T79-Cotacoes!T78)/Cotacoes!T78</f>
        <v>2.473641524736413E-2</v>
      </c>
      <c r="U79" s="5">
        <f>(Cotacoes!U79-Cotacoes!U78)/Cotacoes!U78</f>
        <v>-3.8994974874371813E-2</v>
      </c>
      <c r="V79" s="5">
        <f>(Cotacoes!V79-Cotacoes!V78)/Cotacoes!V78</f>
        <v>-2.8231028231028136E-2</v>
      </c>
      <c r="W79" s="5"/>
    </row>
    <row r="80" spans="1:23" x14ac:dyDescent="0.2">
      <c r="A80" s="4">
        <v>44678</v>
      </c>
      <c r="B80" s="5">
        <f>(Cotacoes!B80-Cotacoes!B79)/Cotacoes!B79</f>
        <v>9.9009900990098074E-3</v>
      </c>
      <c r="C80" s="5">
        <f>(Cotacoes!C80-Cotacoes!C79)/Cotacoes!C79</f>
        <v>5.3511141120864185E-2</v>
      </c>
      <c r="D80" s="5">
        <f>(Cotacoes!D80-Cotacoes!D79)/Cotacoes!D79</f>
        <v>0</v>
      </c>
      <c r="E80" s="5">
        <f>(Cotacoes!E80-Cotacoes!E79)/Cotacoes!E79</f>
        <v>-8.1610446137104775E-3</v>
      </c>
      <c r="F80" s="5">
        <f>(Cotacoes!F80-Cotacoes!F79)/Cotacoes!F79</f>
        <v>3.4770514603615389E-3</v>
      </c>
      <c r="G80" s="5">
        <f>(Cotacoes!G80-Cotacoes!G79)/Cotacoes!G79</f>
        <v>5.5143160127253531E-2</v>
      </c>
      <c r="H80" s="5">
        <f>(Cotacoes!H80-Cotacoes!H79)/Cotacoes!H79</f>
        <v>4.6801872074883379E-3</v>
      </c>
      <c r="I80" s="5">
        <f>(Cotacoes!I80-Cotacoes!I79)/Cotacoes!I79</f>
        <v>1.598429613011779E-2</v>
      </c>
      <c r="J80" s="5">
        <f>(Cotacoes!J80-Cotacoes!J79)/Cotacoes!J79</f>
        <v>6.5005417118095641E-4</v>
      </c>
      <c r="K80" s="5">
        <f>(Cotacoes!K80-Cotacoes!K79)/Cotacoes!K79</f>
        <v>6.2370062370062269E-3</v>
      </c>
      <c r="L80" s="5">
        <f>(Cotacoes!L80-Cotacoes!L79)/Cotacoes!L79</f>
        <v>-7.2756669361358018E-3</v>
      </c>
      <c r="M80" s="5">
        <f>(Cotacoes!M80-Cotacoes!M79)/Cotacoes!M79</f>
        <v>-4.8000000000000395E-3</v>
      </c>
      <c r="N80" s="5">
        <f>(Cotacoes!N80-Cotacoes!N79)/Cotacoes!N79</f>
        <v>-6.5040650406504117E-3</v>
      </c>
      <c r="O80" s="5">
        <f>(Cotacoes!O80-Cotacoes!O79)/Cotacoes!O79</f>
        <v>3.7755915979792651E-2</v>
      </c>
      <c r="P80" s="5">
        <f>(Cotacoes!P80-Cotacoes!P79)/Cotacoes!P79</f>
        <v>-8.8300220750551304E-3</v>
      </c>
      <c r="Q80" s="5">
        <f>(Cotacoes!Q80-Cotacoes!Q79)/Cotacoes!Q79</f>
        <v>-1.9497400346619651E-3</v>
      </c>
      <c r="R80" s="5">
        <f>(Cotacoes!R80-Cotacoes!R79)/Cotacoes!R79</f>
        <v>0</v>
      </c>
      <c r="S80" s="5">
        <f>(Cotacoes!S80-Cotacoes!S79)/Cotacoes!S79</f>
        <v>1.3451191391237564E-2</v>
      </c>
      <c r="T80" s="5">
        <f>(Cotacoes!T80-Cotacoes!T79)/Cotacoes!T79</f>
        <v>1.1080332409972344E-2</v>
      </c>
      <c r="U80" s="5">
        <f>(Cotacoes!U80-Cotacoes!U79)/Cotacoes!U79</f>
        <v>9.6214181133654226E-3</v>
      </c>
      <c r="V80" s="5">
        <f>(Cotacoes!V80-Cotacoes!V79)/Cotacoes!V79</f>
        <v>-4.2643923240939146E-3</v>
      </c>
      <c r="W80" s="5"/>
    </row>
    <row r="81" spans="1:23" x14ac:dyDescent="0.2">
      <c r="A81" s="4">
        <v>44679</v>
      </c>
      <c r="B81" s="5">
        <f>(Cotacoes!B81-Cotacoes!B80)/Cotacoes!B80</f>
        <v>8.496732026143804E-3</v>
      </c>
      <c r="C81" s="5">
        <f>(Cotacoes!C81-Cotacoes!C80)/Cotacoes!C80</f>
        <v>2.4675532767184847E-2</v>
      </c>
      <c r="D81" s="5">
        <f>(Cotacoes!D81-Cotacoes!D80)/Cotacoes!D80</f>
        <v>6.6170388751033973E-3</v>
      </c>
      <c r="E81" s="5">
        <f>(Cotacoes!E81-Cotacoes!E80)/Cotacoes!E80</f>
        <v>-8.2281952825014881E-3</v>
      </c>
      <c r="F81" s="5">
        <f>(Cotacoes!F81-Cotacoes!F80)/Cotacoes!F80</f>
        <v>6.9300069300069055E-3</v>
      </c>
      <c r="G81" s="5">
        <f>(Cotacoes!G81-Cotacoes!G80)/Cotacoes!G80</f>
        <v>-1.5745393634840951E-2</v>
      </c>
      <c r="H81" s="5">
        <f>(Cotacoes!H81-Cotacoes!H80)/Cotacoes!H80</f>
        <v>-1.5527950310560052E-3</v>
      </c>
      <c r="I81" s="5">
        <f>(Cotacoes!I81-Cotacoes!I80)/Cotacoes!I80</f>
        <v>1.2144631520839218E-2</v>
      </c>
      <c r="J81" s="5">
        <f>(Cotacoes!J81-Cotacoes!J80)/Cotacoes!J80</f>
        <v>2.5985275010826643E-3</v>
      </c>
      <c r="K81" s="5">
        <f>(Cotacoes!K81-Cotacoes!K80)/Cotacoes!K80</f>
        <v>-8.9531680440770676E-3</v>
      </c>
      <c r="L81" s="5">
        <f>(Cotacoes!L81-Cotacoes!L80)/Cotacoes!L80</f>
        <v>4.8859934853420599E-3</v>
      </c>
      <c r="M81" s="5">
        <f>(Cotacoes!M81-Cotacoes!M80)/Cotacoes!M80</f>
        <v>1.6077170418007517E-3</v>
      </c>
      <c r="N81" s="5">
        <f>(Cotacoes!N81-Cotacoes!N80)/Cotacoes!N80</f>
        <v>-4.9099836333879295E-3</v>
      </c>
      <c r="O81" s="5">
        <f>(Cotacoes!O81-Cotacoes!O80)/Cotacoes!O80</f>
        <v>-4.6118370484242817E-3</v>
      </c>
      <c r="P81" s="5">
        <f>(Cotacoes!P81-Cotacoes!P80)/Cotacoes!P80</f>
        <v>6.5330363771343644E-2</v>
      </c>
      <c r="Q81" s="5">
        <f>(Cotacoes!Q81-Cotacoes!Q80)/Cotacoes!Q80</f>
        <v>7.3800738007379274E-3</v>
      </c>
      <c r="R81" s="5">
        <f>(Cotacoes!R81-Cotacoes!R80)/Cotacoes!R80</f>
        <v>1.1828935395814286E-2</v>
      </c>
      <c r="S81" s="5">
        <f>(Cotacoes!S81-Cotacoes!S80)/Cotacoes!S80</f>
        <v>-1.2893439514599918E-2</v>
      </c>
      <c r="T81" s="5">
        <f>(Cotacoes!T81-Cotacoes!T80)/Cotacoes!T80</f>
        <v>2.700587084148719E-2</v>
      </c>
      <c r="U81" s="5">
        <f>(Cotacoes!U81-Cotacoes!U80)/Cotacoes!U80</f>
        <v>1.6780609073958879E-2</v>
      </c>
      <c r="V81" s="5">
        <f>(Cotacoes!V81-Cotacoes!V80)/Cotacoes!V80</f>
        <v>-2.1413276231263309E-2</v>
      </c>
      <c r="W81" s="5"/>
    </row>
    <row r="82" spans="1:23" x14ac:dyDescent="0.2">
      <c r="A82" s="4">
        <v>44680</v>
      </c>
      <c r="B82" s="5">
        <f>(Cotacoes!B82-Cotacoes!B81)/Cotacoes!B81</f>
        <v>-1.7066321019658656E-2</v>
      </c>
      <c r="C82" s="5">
        <f>(Cotacoes!C82-Cotacoes!C81)/Cotacoes!C81</f>
        <v>-1.0789679437060279E-2</v>
      </c>
      <c r="D82" s="5">
        <f>(Cotacoes!D82-Cotacoes!D81)/Cotacoes!D81</f>
        <v>8.2169268693506878E-4</v>
      </c>
      <c r="E82" s="5">
        <f>(Cotacoes!E82-Cotacoes!E81)/Cotacoes!E81</f>
        <v>-1.7699115044247607E-2</v>
      </c>
      <c r="F82" s="5">
        <f>(Cotacoes!F82-Cotacoes!F81)/Cotacoes!F81</f>
        <v>0</v>
      </c>
      <c r="G82" s="5">
        <f>(Cotacoes!G82-Cotacoes!G81)/Cotacoes!G81</f>
        <v>-3.3015656909462184E-2</v>
      </c>
      <c r="H82" s="5">
        <f>(Cotacoes!H82-Cotacoes!H81)/Cotacoes!H81</f>
        <v>-2.3328149300155438E-2</v>
      </c>
      <c r="I82" s="5">
        <f>(Cotacoes!I82-Cotacoes!I81)/Cotacoes!I81</f>
        <v>-4.3632397054814203E-3</v>
      </c>
      <c r="J82" s="5">
        <f>(Cotacoes!J82-Cotacoes!J81)/Cotacoes!J81</f>
        <v>-3.8228941684665146E-2</v>
      </c>
      <c r="K82" s="5">
        <f>(Cotacoes!K82-Cotacoes!K81)/Cotacoes!K81</f>
        <v>-1.3203613620569928E-2</v>
      </c>
      <c r="L82" s="5">
        <f>(Cotacoes!L82-Cotacoes!L81)/Cotacoes!L81</f>
        <v>-2.0259319286871962E-2</v>
      </c>
      <c r="M82" s="5">
        <f>(Cotacoes!M82-Cotacoes!M81)/Cotacoes!M81</f>
        <v>-1.2841091492776896E-2</v>
      </c>
      <c r="N82" s="5">
        <f>(Cotacoes!N82-Cotacoes!N81)/Cotacoes!N81</f>
        <v>-1.4802631578947345E-2</v>
      </c>
      <c r="O82" s="5">
        <f>(Cotacoes!O82-Cotacoes!O81)/Cotacoes!O81</f>
        <v>-2.5740025740025738E-2</v>
      </c>
      <c r="P82" s="5">
        <f>(Cotacoes!P82-Cotacoes!P81)/Cotacoes!P81</f>
        <v>-1.0452961672473893E-2</v>
      </c>
      <c r="Q82" s="5">
        <f>(Cotacoes!Q82-Cotacoes!Q81)/Cotacoes!Q81</f>
        <v>-2.6718379659556021E-2</v>
      </c>
      <c r="R82" s="5">
        <f>(Cotacoes!R82-Cotacoes!R81)/Cotacoes!R81</f>
        <v>-4.3165467625899165E-2</v>
      </c>
      <c r="S82" s="5">
        <f>(Cotacoes!S82-Cotacoes!S81)/Cotacoes!S81</f>
        <v>-1.4982712255090302E-2</v>
      </c>
      <c r="T82" s="5">
        <f>(Cotacoes!T82-Cotacoes!T81)/Cotacoes!T81</f>
        <v>1.6006097560975676E-2</v>
      </c>
      <c r="U82" s="5">
        <f>(Cotacoes!U82-Cotacoes!U81)/Cotacoes!U81</f>
        <v>-3.0358598207008862E-2</v>
      </c>
      <c r="V82" s="5">
        <f>(Cotacoes!V82-Cotacoes!V81)/Cotacoes!V81</f>
        <v>-4.9781181619256022E-2</v>
      </c>
      <c r="W82" s="5"/>
    </row>
    <row r="83" spans="1:23" x14ac:dyDescent="0.2">
      <c r="A83" s="4">
        <v>44683</v>
      </c>
      <c r="B83" s="5">
        <f>(Cotacoes!B83-Cotacoes!B82)/Cotacoes!B82</f>
        <v>-1.6483516483516484E-2</v>
      </c>
      <c r="C83" s="5">
        <f>(Cotacoes!C83-Cotacoes!C82)/Cotacoes!C82</f>
        <v>-4.4261776794182915E-3</v>
      </c>
      <c r="D83" s="5">
        <f>(Cotacoes!D83-Cotacoes!D82)/Cotacoes!D82</f>
        <v>-9.8522167487684088E-3</v>
      </c>
      <c r="E83" s="5">
        <f>(Cotacoes!E83-Cotacoes!E82)/Cotacoes!E82</f>
        <v>-4.5045045045046085E-3</v>
      </c>
      <c r="F83" s="5">
        <f>(Cotacoes!F83-Cotacoes!F82)/Cotacoes!F82</f>
        <v>-1.7894012388162409E-2</v>
      </c>
      <c r="G83" s="5">
        <f>(Cotacoes!G83-Cotacoes!G82)/Cotacoes!G82</f>
        <v>-3.8718760999648064E-2</v>
      </c>
      <c r="H83" s="5">
        <f>(Cotacoes!H83-Cotacoes!H82)/Cotacoes!H82</f>
        <v>-7.1656050955413893E-3</v>
      </c>
      <c r="I83" s="5">
        <f>(Cotacoes!I83-Cotacoes!I82)/Cotacoes!I82</f>
        <v>-3.5058887975897048E-2</v>
      </c>
      <c r="J83" s="5">
        <f>(Cotacoes!J83-Cotacoes!J82)/Cotacoes!J82</f>
        <v>6.7370312149112321E-3</v>
      </c>
      <c r="K83" s="5">
        <f>(Cotacoes!K83-Cotacoes!K82)/Cotacoes!K82</f>
        <v>-7.0422535211266113E-4</v>
      </c>
      <c r="L83" s="5">
        <f>(Cotacoes!L83-Cotacoes!L82)/Cotacoes!L82</f>
        <v>-3.8047973531844421E-2</v>
      </c>
      <c r="M83" s="5">
        <f>(Cotacoes!M83-Cotacoes!M82)/Cotacoes!M82</f>
        <v>-3.2520325203252783E-3</v>
      </c>
      <c r="N83" s="5">
        <f>(Cotacoes!N83-Cotacoes!N82)/Cotacoes!N82</f>
        <v>-6.6777963272120254E-3</v>
      </c>
      <c r="O83" s="5">
        <f>(Cotacoes!O83-Cotacoes!O82)/Cotacoes!O82</f>
        <v>-4.2272126816381428E-3</v>
      </c>
      <c r="P83" s="5">
        <f>(Cotacoes!P83-Cotacoes!P82)/Cotacoes!P82</f>
        <v>-2.7464788732394281E-2</v>
      </c>
      <c r="Q83" s="5">
        <f>(Cotacoes!Q83-Cotacoes!Q82)/Cotacoes!Q82</f>
        <v>2.9444321452291304E-2</v>
      </c>
      <c r="R83" s="5">
        <f>(Cotacoes!R83-Cotacoes!R82)/Cotacoes!R82</f>
        <v>-4.6992481203014862E-4</v>
      </c>
      <c r="S83" s="5">
        <f>(Cotacoes!S83-Cotacoes!S82)/Cotacoes!S82</f>
        <v>-2.8471138845553839E-2</v>
      </c>
      <c r="T83" s="5">
        <f>(Cotacoes!T83-Cotacoes!T82)/Cotacoes!T82</f>
        <v>-5.8139534883720957E-2</v>
      </c>
      <c r="U83" s="5">
        <f>(Cotacoes!U83-Cotacoes!U82)/Cotacoes!U82</f>
        <v>-2.2693843244379182E-2</v>
      </c>
      <c r="V83" s="5">
        <f>(Cotacoes!V83-Cotacoes!V82)/Cotacoes!V82</f>
        <v>-2.1876799078871762E-2</v>
      </c>
      <c r="W83" s="5"/>
    </row>
    <row r="84" spans="1:23" x14ac:dyDescent="0.2">
      <c r="A84" s="4">
        <v>44684</v>
      </c>
      <c r="B84" s="5">
        <f>(Cotacoes!B84-Cotacoes!B83)/Cotacoes!B83</f>
        <v>0</v>
      </c>
      <c r="C84" s="5">
        <f>(Cotacoes!C84-Cotacoes!C83)/Cotacoes!C83</f>
        <v>-5.0809780882819988E-3</v>
      </c>
      <c r="D84" s="5">
        <f>(Cotacoes!D84-Cotacoes!D83)/Cotacoes!D83</f>
        <v>9.1210613598672833E-3</v>
      </c>
      <c r="E84" s="5">
        <f>(Cotacoes!E84-Cotacoes!E83)/Cotacoes!E83</f>
        <v>5.0904977375565534E-3</v>
      </c>
      <c r="F84" s="5">
        <f>(Cotacoes!F84-Cotacoes!F83)/Cotacoes!F83</f>
        <v>7.0077084793272355E-3</v>
      </c>
      <c r="G84" s="5">
        <f>(Cotacoes!G84-Cotacoes!G83)/Cotacoes!G83</f>
        <v>-1.830831197363603E-2</v>
      </c>
      <c r="H84" s="5">
        <f>(Cotacoes!H84-Cotacoes!H83)/Cotacoes!H83</f>
        <v>2.0048115477145148E-2</v>
      </c>
      <c r="I84" s="5">
        <f>(Cotacoes!I84-Cotacoes!I83)/Cotacoes!I83</f>
        <v>-5.393130854385403E-3</v>
      </c>
      <c r="J84" s="5">
        <f>(Cotacoes!J84-Cotacoes!J83)/Cotacoes!J83</f>
        <v>-3.3459736783403656E-3</v>
      </c>
      <c r="K84" s="5">
        <f>(Cotacoes!K84-Cotacoes!K83)/Cotacoes!K83</f>
        <v>6.3424947145877281E-3</v>
      </c>
      <c r="L84" s="5">
        <f>(Cotacoes!L84-Cotacoes!L83)/Cotacoes!L83</f>
        <v>-1.9776440240756699E-2</v>
      </c>
      <c r="M84" s="5">
        <f>(Cotacoes!M84-Cotacoes!M83)/Cotacoes!M83</f>
        <v>-1.6313213703099454E-2</v>
      </c>
      <c r="N84" s="5">
        <f>(Cotacoes!N84-Cotacoes!N83)/Cotacoes!N83</f>
        <v>-1.6806722689075271E-3</v>
      </c>
      <c r="O84" s="5">
        <f>(Cotacoes!O84-Cotacoes!O83)/Cotacoes!O83</f>
        <v>-1.3000795967099892E-2</v>
      </c>
      <c r="P84" s="5">
        <f>(Cotacoes!P84-Cotacoes!P83)/Cotacoes!P83</f>
        <v>2.5343953656770429E-2</v>
      </c>
      <c r="Q84" s="5">
        <f>(Cotacoes!Q84-Cotacoes!Q83)/Cotacoes!Q83</f>
        <v>3.6559139784946605E-3</v>
      </c>
      <c r="R84" s="5">
        <f>(Cotacoes!R84-Cotacoes!R83)/Cotacoes!R83</f>
        <v>-1.8805829807240177E-2</v>
      </c>
      <c r="S84" s="5">
        <f>(Cotacoes!S84-Cotacoes!S83)/Cotacoes!S83</f>
        <v>-9.2332396627860473E-3</v>
      </c>
      <c r="T84" s="5">
        <f>(Cotacoes!T84-Cotacoes!T83)/Cotacoes!T83</f>
        <v>2.7080844285145348E-2</v>
      </c>
      <c r="U84" s="5">
        <f>(Cotacoes!U84-Cotacoes!U83)/Cotacoes!U83</f>
        <v>1.8920662223177866E-2</v>
      </c>
      <c r="V84" s="5">
        <f>(Cotacoes!V84-Cotacoes!V83)/Cotacoes!V83</f>
        <v>-1.1771630370806107E-3</v>
      </c>
      <c r="W84" s="5"/>
    </row>
    <row r="85" spans="1:23" x14ac:dyDescent="0.2">
      <c r="A85" s="4">
        <v>44685</v>
      </c>
      <c r="B85" s="5">
        <f>(Cotacoes!B85-Cotacoes!B84)/Cotacoes!B84</f>
        <v>1.6759776536312849E-2</v>
      </c>
      <c r="C85" s="5">
        <f>(Cotacoes!C85-Cotacoes!C84)/Cotacoes!C84</f>
        <v>-8.4583466326203973E-3</v>
      </c>
      <c r="D85" s="5">
        <f>(Cotacoes!D85-Cotacoes!D84)/Cotacoes!D84</f>
        <v>5.9983566146261331E-2</v>
      </c>
      <c r="E85" s="5">
        <f>(Cotacoes!E85-Cotacoes!E84)/Cotacoes!E84</f>
        <v>-1.1254924029262562E-3</v>
      </c>
      <c r="F85" s="5">
        <f>(Cotacoes!F85-Cotacoes!F84)/Cotacoes!F84</f>
        <v>4.732080723730004E-2</v>
      </c>
      <c r="G85" s="5">
        <f>(Cotacoes!G85-Cotacoes!G84)/Cotacoes!G84</f>
        <v>1.8649757553151809E-2</v>
      </c>
      <c r="H85" s="5">
        <f>(Cotacoes!H85-Cotacoes!H84)/Cotacoes!H84</f>
        <v>2.9088050314465347E-2</v>
      </c>
      <c r="I85" s="5">
        <f>(Cotacoes!I85-Cotacoes!I84)/Cotacoes!I84</f>
        <v>2.3116438356164448E-2</v>
      </c>
      <c r="J85" s="5">
        <f>(Cotacoes!J85-Cotacoes!J84)/Cotacoes!J84</f>
        <v>1.3652641002685753E-2</v>
      </c>
      <c r="K85" s="5">
        <f>(Cotacoes!K85-Cotacoes!K84)/Cotacoes!K84</f>
        <v>1.4705882352941237E-2</v>
      </c>
      <c r="L85" s="5">
        <f>(Cotacoes!L85-Cotacoes!L84)/Cotacoes!L84</f>
        <v>7.8947368421052513E-3</v>
      </c>
      <c r="M85" s="5">
        <f>(Cotacoes!M85-Cotacoes!M84)/Cotacoes!M84</f>
        <v>7.4626865671641668E-3</v>
      </c>
      <c r="N85" s="5">
        <f>(Cotacoes!N85-Cotacoes!N84)/Cotacoes!N84</f>
        <v>-3.3670033670034445E-3</v>
      </c>
      <c r="O85" s="5">
        <f>(Cotacoes!O85-Cotacoes!O84)/Cotacoes!O84</f>
        <v>-3.0376344086021571E-2</v>
      </c>
      <c r="P85" s="5">
        <f>(Cotacoes!P85-Cotacoes!P84)/Cotacoes!P84</f>
        <v>2.4011299435028239E-2</v>
      </c>
      <c r="Q85" s="5">
        <f>(Cotacoes!Q85-Cotacoes!Q84)/Cotacoes!Q84</f>
        <v>1.3713306192414839E-2</v>
      </c>
      <c r="R85" s="5">
        <f>(Cotacoes!R85-Cotacoes!R84)/Cotacoes!R84</f>
        <v>2.0603737422137024E-2</v>
      </c>
      <c r="S85" s="5">
        <f>(Cotacoes!S85-Cotacoes!S84)/Cotacoes!S84</f>
        <v>2.2285251215559188E-2</v>
      </c>
      <c r="T85" s="5">
        <f>(Cotacoes!T85-Cotacoes!T84)/Cotacoes!T84</f>
        <v>5.816207832493215E-2</v>
      </c>
      <c r="U85" s="5">
        <f>(Cotacoes!U85-Cotacoes!U84)/Cotacoes!U84</f>
        <v>4.2836041358936511E-2</v>
      </c>
      <c r="V85" s="5">
        <f>(Cotacoes!V85-Cotacoes!V84)/Cotacoes!V84</f>
        <v>4.3606364172068479E-2</v>
      </c>
      <c r="W85" s="5"/>
    </row>
    <row r="86" spans="1:23" x14ac:dyDescent="0.2">
      <c r="A86" s="4">
        <v>44686</v>
      </c>
      <c r="B86" s="5">
        <f>(Cotacoes!B86-Cotacoes!B85)/Cotacoes!B85</f>
        <v>-2.6923076923076956E-2</v>
      </c>
      <c r="C86" s="5">
        <f>(Cotacoes!C86-Cotacoes!C85)/Cotacoes!C85</f>
        <v>-1.8026718171575799E-2</v>
      </c>
      <c r="D86" s="5">
        <f>(Cotacoes!D86-Cotacoes!D85)/Cotacoes!D85</f>
        <v>-1.5503875968991916E-3</v>
      </c>
      <c r="E86" s="5">
        <f>(Cotacoes!E86-Cotacoes!E85)/Cotacoes!E85</f>
        <v>-2.3098591549295784E-2</v>
      </c>
      <c r="F86" s="5">
        <f>(Cotacoes!F86-Cotacoes!F85)/Cotacoes!F85</f>
        <v>-6.644518272425343E-3</v>
      </c>
      <c r="G86" s="5">
        <f>(Cotacoes!G86-Cotacoes!G85)/Cotacoes!G85</f>
        <v>-2.7096301720981271E-2</v>
      </c>
      <c r="H86" s="5">
        <f>(Cotacoes!H86-Cotacoes!H85)/Cotacoes!H85</f>
        <v>-2.5974025974025962E-2</v>
      </c>
      <c r="I86" s="5">
        <f>(Cotacoes!I86-Cotacoes!I85)/Cotacoes!I85</f>
        <v>-1.6178521617852114E-2</v>
      </c>
      <c r="J86" s="5">
        <f>(Cotacoes!J86-Cotacoes!J85)/Cotacoes!J85</f>
        <v>-3.1132700375358723E-2</v>
      </c>
      <c r="K86" s="5">
        <f>(Cotacoes!K86-Cotacoes!K85)/Cotacoes!K85</f>
        <v>-3.3126293995859243E-2</v>
      </c>
      <c r="L86" s="5">
        <f>(Cotacoes!L86-Cotacoes!L85)/Cotacoes!L85</f>
        <v>-4.1775456919060087E-2</v>
      </c>
      <c r="M86" s="5">
        <f>(Cotacoes!M86-Cotacoes!M85)/Cotacoes!M85</f>
        <v>-4.2798353909464987E-2</v>
      </c>
      <c r="N86" s="5">
        <f>(Cotacoes!N86-Cotacoes!N85)/Cotacoes!N85</f>
        <v>-2.5337837837837898E-2</v>
      </c>
      <c r="O86" s="5">
        <f>(Cotacoes!O86-Cotacoes!O85)/Cotacoes!O85</f>
        <v>-2.2456334904352712E-2</v>
      </c>
      <c r="P86" s="5">
        <f>(Cotacoes!P86-Cotacoes!P85)/Cotacoes!P85</f>
        <v>-1.3793103448275568E-3</v>
      </c>
      <c r="Q86" s="5">
        <f>(Cotacoes!Q86-Cotacoes!Q85)/Cotacoes!Q85</f>
        <v>2.6844218981187825E-2</v>
      </c>
      <c r="R86" s="5">
        <f>(Cotacoes!R86-Cotacoes!R85)/Cotacoes!R85</f>
        <v>-4.2723004694835684E-2</v>
      </c>
      <c r="S86" s="5">
        <f>(Cotacoes!S86-Cotacoes!S85)/Cotacoes!S85</f>
        <v>-3.6860879904875139E-2</v>
      </c>
      <c r="T86" s="5">
        <f>(Cotacoes!T86-Cotacoes!T85)/Cotacoes!T85</f>
        <v>-2.8581898131183496E-2</v>
      </c>
      <c r="U86" s="5">
        <f>(Cotacoes!U86-Cotacoes!U85)/Cotacoes!U85</f>
        <v>-2.6507486847430234E-2</v>
      </c>
      <c r="V86" s="5">
        <f>(Cotacoes!V86-Cotacoes!V85)/Cotacoes!V85</f>
        <v>-4.8560135516657221E-2</v>
      </c>
      <c r="W86" s="5"/>
    </row>
    <row r="87" spans="1:23" x14ac:dyDescent="0.2">
      <c r="A87" s="4">
        <v>44687</v>
      </c>
      <c r="B87" s="5">
        <f>(Cotacoes!B87-Cotacoes!B86)/Cotacoes!B86</f>
        <v>-1.0163749294184463E-3</v>
      </c>
      <c r="C87" s="5">
        <f>(Cotacoes!C87-Cotacoes!C86)/Cotacoes!C86</f>
        <v>-7.0480249139485288E-3</v>
      </c>
      <c r="D87" s="5">
        <f>(Cotacoes!D87-Cotacoes!D86)/Cotacoes!D86</f>
        <v>3.2608695652173905E-2</v>
      </c>
      <c r="E87" s="5">
        <f>(Cotacoes!E87-Cotacoes!E86)/Cotacoes!E86</f>
        <v>2.1337946943483333E-2</v>
      </c>
      <c r="F87" s="5">
        <f>(Cotacoes!F87-Cotacoes!F86)/Cotacoes!F86</f>
        <v>3.7458193979933142E-2</v>
      </c>
      <c r="G87" s="5">
        <f>(Cotacoes!G87-Cotacoes!G86)/Cotacoes!G86</f>
        <v>-3.5754610462928084E-2</v>
      </c>
      <c r="H87" s="5">
        <f>(Cotacoes!H87-Cotacoes!H86)/Cotacoes!H86</f>
        <v>3.1372549019607174E-3</v>
      </c>
      <c r="I87" s="5">
        <f>(Cotacoes!I87-Cotacoes!I86)/Cotacoes!I86</f>
        <v>-1.1341083073433672E-2</v>
      </c>
      <c r="J87" s="5">
        <f>(Cotacoes!J87-Cotacoes!J86)/Cotacoes!J86</f>
        <v>5.0136736554238573E-3</v>
      </c>
      <c r="K87" s="5">
        <f>(Cotacoes!K87-Cotacoes!K86)/Cotacoes!K86</f>
        <v>2.0699500356888004E-2</v>
      </c>
      <c r="L87" s="5">
        <f>(Cotacoes!L87-Cotacoes!L86)/Cotacoes!L86</f>
        <v>-2.8156221616712124E-2</v>
      </c>
      <c r="M87" s="5">
        <f>(Cotacoes!M87-Cotacoes!M86)/Cotacoes!M86</f>
        <v>-1.4617368873602744E-2</v>
      </c>
      <c r="N87" s="5">
        <f>(Cotacoes!N87-Cotacoes!N86)/Cotacoes!N86</f>
        <v>3.4662045060659384E-3</v>
      </c>
      <c r="O87" s="5">
        <f>(Cotacoes!O87-Cotacoes!O86)/Cotacoes!O86</f>
        <v>4.8213272830403206E-3</v>
      </c>
      <c r="P87" s="5">
        <f>(Cotacoes!P87-Cotacoes!P86)/Cotacoes!P86</f>
        <v>-1.3812154696132671E-2</v>
      </c>
      <c r="Q87" s="5">
        <f>(Cotacoes!Q87-Cotacoes!Q86)/Cotacoes!Q86</f>
        <v>-1.7908604363935723E-2</v>
      </c>
      <c r="R87" s="5">
        <f>(Cotacoes!R87-Cotacoes!R86)/Cotacoes!R86</f>
        <v>-9.8087297694948155E-3</v>
      </c>
      <c r="S87" s="5">
        <f>(Cotacoes!S87-Cotacoes!S86)/Cotacoes!S86</f>
        <v>-1.3580246913580323E-2</v>
      </c>
      <c r="T87" s="5">
        <f>(Cotacoes!T87-Cotacoes!T86)/Cotacoes!T86</f>
        <v>-1.8860807242550247E-3</v>
      </c>
      <c r="U87" s="5">
        <f>(Cotacoes!U87-Cotacoes!U86)/Cotacoes!U86</f>
        <v>-2.1824984410725362E-2</v>
      </c>
      <c r="V87" s="5">
        <f>(Cotacoes!V87-Cotacoes!V86)/Cotacoes!V86</f>
        <v>-2.1661721068249373E-2</v>
      </c>
      <c r="W87" s="5"/>
    </row>
    <row r="88" spans="1:23" x14ac:dyDescent="0.2">
      <c r="A88" s="4">
        <v>44690</v>
      </c>
      <c r="B88" s="5">
        <f>(Cotacoes!B88-Cotacoes!B87)/Cotacoes!B87</f>
        <v>-1.9330770969929842E-2</v>
      </c>
      <c r="C88" s="5">
        <f>(Cotacoes!C88-Cotacoes!C87)/Cotacoes!C87</f>
        <v>-4.1102674149884368E-2</v>
      </c>
      <c r="D88" s="5">
        <f>(Cotacoes!D88-Cotacoes!D87)/Cotacoes!D87</f>
        <v>-2.7067669172932421E-2</v>
      </c>
      <c r="E88" s="5">
        <f>(Cotacoes!E88-Cotacoes!E87)/Cotacoes!E87</f>
        <v>-1.411631846414455E-2</v>
      </c>
      <c r="F88" s="5">
        <f>(Cotacoes!F88-Cotacoes!F87)/Cotacoes!F87</f>
        <v>-3.9974210186976097E-2</v>
      </c>
      <c r="G88" s="5">
        <f>(Cotacoes!G88-Cotacoes!G87)/Cotacoes!G87</f>
        <v>-1.7954722872755693E-2</v>
      </c>
      <c r="H88" s="5">
        <f>(Cotacoes!H88-Cotacoes!H87)/Cotacoes!H87</f>
        <v>3.1274433150899864E-3</v>
      </c>
      <c r="I88" s="5">
        <f>(Cotacoes!I88-Cotacoes!I87)/Cotacoes!I87</f>
        <v>7.4562661313451427E-3</v>
      </c>
      <c r="J88" s="5">
        <f>(Cotacoes!J88-Cotacoes!J87)/Cotacoes!J87</f>
        <v>2.5850340136054435E-2</v>
      </c>
      <c r="K88" s="5">
        <f>(Cotacoes!K88-Cotacoes!K87)/Cotacoes!K87</f>
        <v>1.5384615384615304E-2</v>
      </c>
      <c r="L88" s="5">
        <f>(Cotacoes!L88-Cotacoes!L87)/Cotacoes!L87</f>
        <v>-2.8037383177569497E-3</v>
      </c>
      <c r="M88" s="5">
        <f>(Cotacoes!M88-Cotacoes!M87)/Cotacoes!M87</f>
        <v>1.2216404886561848E-2</v>
      </c>
      <c r="N88" s="5">
        <f>(Cotacoes!N88-Cotacoes!N87)/Cotacoes!N87</f>
        <v>-1.3816925734024191E-2</v>
      </c>
      <c r="O88" s="5">
        <f>(Cotacoes!O88-Cotacoes!O87)/Cotacoes!O87</f>
        <v>1.9192774484899793E-2</v>
      </c>
      <c r="P88" s="5">
        <f>(Cotacoes!P88-Cotacoes!P87)/Cotacoes!P87</f>
        <v>-7.9831932773109168E-2</v>
      </c>
      <c r="Q88" s="5">
        <f>(Cotacoes!Q88-Cotacoes!Q87)/Cotacoes!Q87</f>
        <v>-2.7667155732550835E-2</v>
      </c>
      <c r="R88" s="5">
        <f>(Cotacoes!R88-Cotacoes!R87)/Cotacoes!R87</f>
        <v>3.6156513125309576E-2</v>
      </c>
      <c r="S88" s="5">
        <f>(Cotacoes!S88-Cotacoes!S87)/Cotacoes!S87</f>
        <v>1.4601585314977114E-2</v>
      </c>
      <c r="T88" s="5">
        <f>(Cotacoes!T88-Cotacoes!T87)/Cotacoes!T87</f>
        <v>-8.6167800453514784E-2</v>
      </c>
      <c r="U88" s="5">
        <f>(Cotacoes!U88-Cotacoes!U87)/Cotacoes!U87</f>
        <v>-7.2248193795155843E-3</v>
      </c>
      <c r="V88" s="5">
        <f>(Cotacoes!V88-Cotacoes!V87)/Cotacoes!V87</f>
        <v>-1.2435547467394498E-2</v>
      </c>
      <c r="W88" s="5"/>
    </row>
    <row r="89" spans="1:23" x14ac:dyDescent="0.2">
      <c r="A89" s="4">
        <v>44691</v>
      </c>
      <c r="B89" s="5">
        <f>(Cotacoes!B89-Cotacoes!B88)/Cotacoes!B88</f>
        <v>-1.268011527377515E-3</v>
      </c>
      <c r="C89" s="5">
        <f>(Cotacoes!C89-Cotacoes!C88)/Cotacoes!C88</f>
        <v>-1.2394560165260905E-2</v>
      </c>
      <c r="D89" s="5">
        <f>(Cotacoes!D89-Cotacoes!D88)/Cotacoes!D88</f>
        <v>8.5007727975271417E-3</v>
      </c>
      <c r="E89" s="5">
        <f>(Cotacoes!E89-Cotacoes!E88)/Cotacoes!E88</f>
        <v>-5.1546391752577232E-3</v>
      </c>
      <c r="F89" s="5">
        <f>(Cotacoes!F89-Cotacoes!F88)/Cotacoes!F88</f>
        <v>1.276024177300198E-2</v>
      </c>
      <c r="G89" s="5">
        <f>(Cotacoes!G89-Cotacoes!G88)/Cotacoes!G88</f>
        <v>-2.0270270270270334E-2</v>
      </c>
      <c r="H89" s="5">
        <f>(Cotacoes!H89-Cotacoes!H88)/Cotacoes!H88</f>
        <v>-1.1691348402182413E-2</v>
      </c>
      <c r="I89" s="5">
        <f>(Cotacoes!I89-Cotacoes!I88)/Cotacoes!I88</f>
        <v>2.362653003131222E-2</v>
      </c>
      <c r="J89" s="5">
        <f>(Cotacoes!J89-Cotacoes!J88)/Cotacoes!J88</f>
        <v>1.702033598585314E-2</v>
      </c>
      <c r="K89" s="5">
        <f>(Cotacoes!K89-Cotacoes!K88)/Cotacoes!K88</f>
        <v>9.6418732782369548E-3</v>
      </c>
      <c r="L89" s="5">
        <f>(Cotacoes!L89-Cotacoes!L88)/Cotacoes!L88</f>
        <v>-1.4995313964386144E-2</v>
      </c>
      <c r="M89" s="5">
        <f>(Cotacoes!M89-Cotacoes!M88)/Cotacoes!M88</f>
        <v>2.5862068965518221E-3</v>
      </c>
      <c r="N89" s="5">
        <f>(Cotacoes!N89-Cotacoes!N88)/Cotacoes!N88</f>
        <v>-7.0052539404553476E-3</v>
      </c>
      <c r="O89" s="5">
        <f>(Cotacoes!O89-Cotacoes!O88)/Cotacoes!O88</f>
        <v>-1.1077263915812756E-2</v>
      </c>
      <c r="P89" s="5">
        <f>(Cotacoes!P89-Cotacoes!P88)/Cotacoes!P88</f>
        <v>-7.6103500761036088E-3</v>
      </c>
      <c r="Q89" s="5">
        <f>(Cotacoes!Q89-Cotacoes!Q88)/Cotacoes!Q88</f>
        <v>-2.6298771286915257E-2</v>
      </c>
      <c r="R89" s="5">
        <f>(Cotacoes!R89-Cotacoes!R88)/Cotacoes!R88</f>
        <v>2.9636711281070621E-2</v>
      </c>
      <c r="S89" s="5">
        <f>(Cotacoes!S89-Cotacoes!S88)/Cotacoes!S88</f>
        <v>-2.0559210526316083E-3</v>
      </c>
      <c r="T89" s="5">
        <f>(Cotacoes!T89-Cotacoes!T88)/Cotacoes!T88</f>
        <v>2.0678246484698392E-3</v>
      </c>
      <c r="U89" s="5">
        <f>(Cotacoes!U89-Cotacoes!U88)/Cotacoes!U88</f>
        <v>1.626712328767119E-2</v>
      </c>
      <c r="V89" s="5">
        <f>(Cotacoes!V89-Cotacoes!V88)/Cotacoes!V88</f>
        <v>-2.242014742014754E-2</v>
      </c>
      <c r="W89" s="5"/>
    </row>
    <row r="90" spans="1:23" x14ac:dyDescent="0.2">
      <c r="A90" s="4">
        <v>44692</v>
      </c>
      <c r="B90" s="5">
        <f>(Cotacoes!B90-Cotacoes!B89)/Cotacoes!B89</f>
        <v>1.6851338873499468E-2</v>
      </c>
      <c r="C90" s="5">
        <f>(Cotacoes!C90-Cotacoes!C89)/Cotacoes!C89</f>
        <v>4.1659403869618278E-2</v>
      </c>
      <c r="D90" s="5">
        <f>(Cotacoes!D90-Cotacoes!D89)/Cotacoes!D89</f>
        <v>3.4482758620689599E-2</v>
      </c>
      <c r="E90" s="5">
        <f>(Cotacoes!E90-Cotacoes!E89)/Cotacoes!E89</f>
        <v>3.3390903857224999E-2</v>
      </c>
      <c r="F90" s="5">
        <f>(Cotacoes!F90-Cotacoes!F89)/Cotacoes!F89</f>
        <v>5.0397877984084863E-2</v>
      </c>
      <c r="G90" s="5">
        <f>(Cotacoes!G90-Cotacoes!G89)/Cotacoes!G89</f>
        <v>-8.1135902636915111E-4</v>
      </c>
      <c r="H90" s="5">
        <f>(Cotacoes!H90-Cotacoes!H89)/Cotacoes!H89</f>
        <v>2.2082018927444887E-2</v>
      </c>
      <c r="I90" s="5">
        <f>(Cotacoes!I90-Cotacoes!I89)/Cotacoes!I89</f>
        <v>-3.0589543937708406E-3</v>
      </c>
      <c r="J90" s="5">
        <f>(Cotacoes!J90-Cotacoes!J89)/Cotacoes!J89</f>
        <v>-1.8256900673766494E-2</v>
      </c>
      <c r="K90" s="5">
        <f>(Cotacoes!K90-Cotacoes!K89)/Cotacoes!K89</f>
        <v>1.7053206002728513E-2</v>
      </c>
      <c r="L90" s="5">
        <f>(Cotacoes!L90-Cotacoes!L89)/Cotacoes!L89</f>
        <v>-2.3786869647954331E-2</v>
      </c>
      <c r="M90" s="5">
        <f>(Cotacoes!M90-Cotacoes!M89)/Cotacoes!M89</f>
        <v>1.6337059329320679E-2</v>
      </c>
      <c r="N90" s="5">
        <f>(Cotacoes!N90-Cotacoes!N89)/Cotacoes!N89</f>
        <v>2.1164021164021184E-2</v>
      </c>
      <c r="O90" s="5">
        <f>(Cotacoes!O90-Cotacoes!O89)/Cotacoes!O89</f>
        <v>1.1201344161299116E-3</v>
      </c>
      <c r="P90" s="5">
        <f>(Cotacoes!P90-Cotacoes!P89)/Cotacoes!P89</f>
        <v>-6.1349693251532443E-3</v>
      </c>
      <c r="Q90" s="5">
        <f>(Cotacoes!Q90-Cotacoes!Q89)/Cotacoes!Q89</f>
        <v>3.984945760460476E-3</v>
      </c>
      <c r="R90" s="5">
        <f>(Cotacoes!R90-Cotacoes!R89)/Cotacoes!R89</f>
        <v>-3.1569173630454958E-2</v>
      </c>
      <c r="S90" s="5">
        <f>(Cotacoes!S90-Cotacoes!S89)/Cotacoes!S89</f>
        <v>-2.9254223320972429E-2</v>
      </c>
      <c r="T90" s="5">
        <f>(Cotacoes!T90-Cotacoes!T89)/Cotacoes!T89</f>
        <v>5.0350804787453525E-2</v>
      </c>
      <c r="U90" s="5">
        <f>(Cotacoes!U90-Cotacoes!U89)/Cotacoes!U89</f>
        <v>2.6326874473462512E-2</v>
      </c>
      <c r="V90" s="5">
        <f>(Cotacoes!V90-Cotacoes!V89)/Cotacoes!V89</f>
        <v>-5.3722902921771828E-2</v>
      </c>
      <c r="W90" s="5"/>
    </row>
    <row r="91" spans="1:23" x14ac:dyDescent="0.2">
      <c r="A91" s="4">
        <v>44693</v>
      </c>
      <c r="B91" s="5">
        <f>(Cotacoes!B91-Cotacoes!B90)/Cotacoes!B90</f>
        <v>1.2485811577752651E-2</v>
      </c>
      <c r="C91" s="5">
        <f>(Cotacoes!C91-Cotacoes!C90)/Cotacoes!C90</f>
        <v>-1.0040160642570305E-2</v>
      </c>
      <c r="D91" s="5">
        <f>(Cotacoes!D91-Cotacoes!D90)/Cotacoes!D90</f>
        <v>8.1481481481481058E-3</v>
      </c>
      <c r="E91" s="5">
        <f>(Cotacoes!E91-Cotacoes!E90)/Cotacoes!E90</f>
        <v>1.559888579387193E-2</v>
      </c>
      <c r="F91" s="5">
        <f>(Cotacoes!F91-Cotacoes!F90)/Cotacoes!F90</f>
        <v>3.7878787878788192E-3</v>
      </c>
      <c r="G91" s="5">
        <f>(Cotacoes!G91-Cotacoes!G90)/Cotacoes!G90</f>
        <v>1.1774259033698851E-2</v>
      </c>
      <c r="H91" s="5">
        <f>(Cotacoes!H91-Cotacoes!H90)/Cotacoes!H90</f>
        <v>2.546296296296283E-2</v>
      </c>
      <c r="I91" s="5">
        <f>(Cotacoes!I91-Cotacoes!I90)/Cotacoes!I90</f>
        <v>1.0320781032078032E-2</v>
      </c>
      <c r="J91" s="5">
        <f>(Cotacoes!J91-Cotacoes!J90)/Cotacoes!J90</f>
        <v>-2.4352446313925043E-3</v>
      </c>
      <c r="K91" s="5">
        <f>(Cotacoes!K91-Cotacoes!K90)/Cotacoes!K90</f>
        <v>6.7069081153587956E-3</v>
      </c>
      <c r="L91" s="5">
        <f>(Cotacoes!L91-Cotacoes!L90)/Cotacoes!L90</f>
        <v>5.3606237816764206E-2</v>
      </c>
      <c r="M91" s="5">
        <f>(Cotacoes!M91-Cotacoes!M90)/Cotacoes!M90</f>
        <v>3.8071065989847656E-2</v>
      </c>
      <c r="N91" s="5">
        <f>(Cotacoes!N91-Cotacoes!N90)/Cotacoes!N90</f>
        <v>1.7271157167530162E-2</v>
      </c>
      <c r="O91" s="5">
        <f>(Cotacoes!O91-Cotacoes!O90)/Cotacoes!O90</f>
        <v>2.2097902097902074E-2</v>
      </c>
      <c r="P91" s="5">
        <f>(Cotacoes!P91-Cotacoes!P90)/Cotacoes!P90</f>
        <v>3.0092592592592497E-2</v>
      </c>
      <c r="Q91" s="5">
        <f>(Cotacoes!Q91-Cotacoes!Q90)/Cotacoes!Q90</f>
        <v>-9.9228224917310443E-3</v>
      </c>
      <c r="R91" s="5">
        <f>(Cotacoes!R91-Cotacoes!R90)/Cotacoes!R90</f>
        <v>4.5541706615532085E-2</v>
      </c>
      <c r="S91" s="5">
        <f>(Cotacoes!S91-Cotacoes!S90)/Cotacoes!S90</f>
        <v>1.1035653650254737E-2</v>
      </c>
      <c r="T91" s="5">
        <f>(Cotacoes!T91-Cotacoes!T90)/Cotacoes!T90</f>
        <v>2.5540275049115997E-2</v>
      </c>
      <c r="U91" s="5">
        <f>(Cotacoes!U91-Cotacoes!U90)/Cotacoes!U90</f>
        <v>2.5651549353580959E-2</v>
      </c>
      <c r="V91" s="5">
        <f>(Cotacoes!V91-Cotacoes!V90)/Cotacoes!V90</f>
        <v>1.7264276228419639E-2</v>
      </c>
      <c r="W91" s="5"/>
    </row>
    <row r="92" spans="1:23" x14ac:dyDescent="0.2">
      <c r="A92" s="4">
        <v>44694</v>
      </c>
      <c r="B92" s="5">
        <f>(Cotacoes!B92-Cotacoes!B91)/Cotacoes!B91</f>
        <v>6.7264573991030752E-3</v>
      </c>
      <c r="C92" s="5">
        <f>(Cotacoes!C92-Cotacoes!C91)/Cotacoes!C91</f>
        <v>-1.0141987829613789E-3</v>
      </c>
      <c r="D92" s="5">
        <f>(Cotacoes!D92-Cotacoes!D91)/Cotacoes!D91</f>
        <v>1.322556943423951E-2</v>
      </c>
      <c r="E92" s="5">
        <f>(Cotacoes!E92-Cotacoes!E91)/Cotacoes!E91</f>
        <v>1.2068019747668616E-2</v>
      </c>
      <c r="F92" s="5">
        <f>(Cotacoes!F92-Cotacoes!F91)/Cotacoes!F91</f>
        <v>1.2578616352200991E-3</v>
      </c>
      <c r="G92" s="5">
        <f>(Cotacoes!G92-Cotacoes!G91)/Cotacoes!G91</f>
        <v>3.6115569823434931E-3</v>
      </c>
      <c r="H92" s="5">
        <f>(Cotacoes!H92-Cotacoes!H91)/Cotacoes!H91</f>
        <v>-1.5048908954100508E-3</v>
      </c>
      <c r="I92" s="5">
        <f>(Cotacoes!I92-Cotacoes!I91)/Cotacoes!I91</f>
        <v>2.8161236885698597E-2</v>
      </c>
      <c r="J92" s="5">
        <f>(Cotacoes!J92-Cotacoes!J91)/Cotacoes!J91</f>
        <v>4.6604527296937601E-3</v>
      </c>
      <c r="K92" s="5">
        <f>(Cotacoes!K92-Cotacoes!K91)/Cotacoes!K91</f>
        <v>1.1325782811459023E-2</v>
      </c>
      <c r="L92" s="5">
        <f>(Cotacoes!L92-Cotacoes!L91)/Cotacoes!L91</f>
        <v>-3.6077705827937144E-2</v>
      </c>
      <c r="M92" s="5">
        <f>(Cotacoes!M92-Cotacoes!M91)/Cotacoes!M91</f>
        <v>4.0749796251019323E-3</v>
      </c>
      <c r="N92" s="5">
        <f>(Cotacoes!N92-Cotacoes!N91)/Cotacoes!N91</f>
        <v>8.4889643463498671E-3</v>
      </c>
      <c r="O92" s="5">
        <f>(Cotacoes!O92-Cotacoes!O91)/Cotacoes!O91</f>
        <v>1.1220580186097529E-2</v>
      </c>
      <c r="P92" s="5">
        <f>(Cotacoes!P92-Cotacoes!P91)/Cotacoes!P91</f>
        <v>3.7453183520599252E-2</v>
      </c>
      <c r="Q92" s="5">
        <f>(Cotacoes!Q92-Cotacoes!Q91)/Cotacoes!Q91</f>
        <v>5.7906458797327427E-2</v>
      </c>
      <c r="R92" s="5">
        <f>(Cotacoes!R92-Cotacoes!R91)/Cotacoes!R91</f>
        <v>2.475928473177454E-2</v>
      </c>
      <c r="S92" s="5">
        <f>(Cotacoes!S92-Cotacoes!S91)/Cotacoes!S91</f>
        <v>7.5566750629722798E-3</v>
      </c>
      <c r="T92" s="5">
        <f>(Cotacoes!T92-Cotacoes!T91)/Cotacoes!T91</f>
        <v>3.6398467432950166E-2</v>
      </c>
      <c r="U92" s="5">
        <f>(Cotacoes!U92-Cotacoes!U91)/Cotacoes!U91</f>
        <v>1.4405762304922088E-2</v>
      </c>
      <c r="V92" s="5">
        <f>(Cotacoes!V92-Cotacoes!V91)/Cotacoes!V91</f>
        <v>9.1383812010444234E-3</v>
      </c>
      <c r="W92" s="5"/>
    </row>
    <row r="93" spans="1:23" x14ac:dyDescent="0.2">
      <c r="A93" s="4">
        <v>44697</v>
      </c>
      <c r="B93" s="5">
        <f>(Cotacoes!B93-Cotacoes!B92)/Cotacoes!B92</f>
        <v>1.1135857461024499E-2</v>
      </c>
      <c r="C93" s="5">
        <f>(Cotacoes!C93-Cotacoes!C92)/Cotacoes!C92</f>
        <v>2.978003384094751E-2</v>
      </c>
      <c r="D93" s="5">
        <f>(Cotacoes!D93-Cotacoes!D92)/Cotacoes!D92</f>
        <v>9.4271211022480626E-3</v>
      </c>
      <c r="E93" s="5">
        <f>(Cotacoes!E93-Cotacoes!E92)/Cotacoes!E92</f>
        <v>1.0298102981029881E-2</v>
      </c>
      <c r="F93" s="5">
        <f>(Cotacoes!F93-Cotacoes!F92)/Cotacoes!F92</f>
        <v>2.8266331658291524E-2</v>
      </c>
      <c r="G93" s="5">
        <f>(Cotacoes!G93-Cotacoes!G92)/Cotacoes!G92</f>
        <v>-1.1195521791283532E-2</v>
      </c>
      <c r="H93" s="5">
        <f>(Cotacoes!H93-Cotacoes!H92)/Cotacoes!H92</f>
        <v>9.0429540316504138E-3</v>
      </c>
      <c r="I93" s="5">
        <f>(Cotacoes!I93-Cotacoes!I92)/Cotacoes!I92</f>
        <v>1.5037593984962275E-2</v>
      </c>
      <c r="J93" s="5">
        <f>(Cotacoes!J93-Cotacoes!J92)/Cotacoes!J92</f>
        <v>6.6269052352538164E-4</v>
      </c>
      <c r="K93" s="5">
        <f>(Cotacoes!K93-Cotacoes!K92)/Cotacoes!K92</f>
        <v>1.6469038208168644E-2</v>
      </c>
      <c r="L93" s="5">
        <f>(Cotacoes!L93-Cotacoes!L92)/Cotacoes!L92</f>
        <v>1.6314779270633392E-2</v>
      </c>
      <c r="M93" s="5">
        <f>(Cotacoes!M93-Cotacoes!M92)/Cotacoes!M92</f>
        <v>1.055194805194797E-2</v>
      </c>
      <c r="N93" s="5">
        <f>(Cotacoes!N93-Cotacoes!N92)/Cotacoes!N92</f>
        <v>1.1784511784511682E-2</v>
      </c>
      <c r="O93" s="5">
        <f>(Cotacoes!O93-Cotacoes!O92)/Cotacoes!O92</f>
        <v>-1.8944519621109684E-2</v>
      </c>
      <c r="P93" s="5">
        <f>(Cotacoes!P93-Cotacoes!P92)/Cotacoes!P92</f>
        <v>-3.0324909747292416E-2</v>
      </c>
      <c r="Q93" s="5">
        <f>(Cotacoes!Q93-Cotacoes!Q92)/Cotacoes!Q92</f>
        <v>-4.6315789473683972E-3</v>
      </c>
      <c r="R93" s="5">
        <f>(Cotacoes!R93-Cotacoes!R92)/Cotacoes!R92</f>
        <v>1.1185682326621923E-2</v>
      </c>
      <c r="S93" s="5">
        <f>(Cotacoes!S93-Cotacoes!S92)/Cotacoes!S92</f>
        <v>2.0833333333333332E-2</v>
      </c>
      <c r="T93" s="5">
        <f>(Cotacoes!T93-Cotacoes!T92)/Cotacoes!T92</f>
        <v>-1.1090573012939422E-3</v>
      </c>
      <c r="U93" s="5">
        <f>(Cotacoes!U93-Cotacoes!U92)/Cotacoes!U92</f>
        <v>-3.7475345167653812E-3</v>
      </c>
      <c r="V93" s="5">
        <f>(Cotacoes!V93-Cotacoes!V92)/Cotacoes!V92</f>
        <v>4.8512289780077156E-3</v>
      </c>
      <c r="W93" s="5"/>
    </row>
    <row r="94" spans="1:23" x14ac:dyDescent="0.2">
      <c r="A94" s="4">
        <v>44698</v>
      </c>
      <c r="B94" s="5">
        <f>(Cotacoes!B94-Cotacoes!B93)/Cotacoes!B93</f>
        <v>8.2599118942731278E-3</v>
      </c>
      <c r="C94" s="5">
        <f>(Cotacoes!C94-Cotacoes!C93)/Cotacoes!C93</f>
        <v>-4.1077883667433451E-3</v>
      </c>
      <c r="D94" s="5">
        <f>(Cotacoes!D94-Cotacoes!D93)/Cotacoes!D93</f>
        <v>-1.29310344827586E-2</v>
      </c>
      <c r="E94" s="5">
        <f>(Cotacoes!E94-Cotacoes!E93)/Cotacoes!E93</f>
        <v>9.1201716738196423E-3</v>
      </c>
      <c r="F94" s="5">
        <f>(Cotacoes!F94-Cotacoes!F93)/Cotacoes!F93</f>
        <v>6.1087354917519919E-4</v>
      </c>
      <c r="G94" s="5">
        <f>(Cotacoes!G94-Cotacoes!G93)/Cotacoes!G93</f>
        <v>2.7092600080873358E-2</v>
      </c>
      <c r="H94" s="5">
        <f>(Cotacoes!H94-Cotacoes!H93)/Cotacoes!H93</f>
        <v>2.8379387602688499E-2</v>
      </c>
      <c r="I94" s="5">
        <f>(Cotacoes!I94-Cotacoes!I93)/Cotacoes!I93</f>
        <v>3.8624338624338651E-2</v>
      </c>
      <c r="J94" s="5">
        <f>(Cotacoes!J94-Cotacoes!J93)/Cotacoes!J93</f>
        <v>1.5452538631346642E-2</v>
      </c>
      <c r="K94" s="5">
        <f>(Cotacoes!K94-Cotacoes!K93)/Cotacoes!K93</f>
        <v>2.0738820479585241E-2</v>
      </c>
      <c r="L94" s="5">
        <f>(Cotacoes!L94-Cotacoes!L93)/Cotacoes!L93</f>
        <v>2.077431539187919E-2</v>
      </c>
      <c r="M94" s="5">
        <f>(Cotacoes!M94-Cotacoes!M93)/Cotacoes!M93</f>
        <v>2.4096385542169588E-3</v>
      </c>
      <c r="N94" s="5">
        <f>(Cotacoes!N94-Cotacoes!N93)/Cotacoes!N93</f>
        <v>8.3194675540765092E-3</v>
      </c>
      <c r="O94" s="5">
        <f>(Cotacoes!O94-Cotacoes!O93)/Cotacoes!O93</f>
        <v>-1.1862068965517234E-2</v>
      </c>
      <c r="P94" s="5">
        <f>(Cotacoes!P94-Cotacoes!P93)/Cotacoes!P93</f>
        <v>2.8294862248697004E-2</v>
      </c>
      <c r="Q94" s="5">
        <f>(Cotacoes!Q94-Cotacoes!Q93)/Cotacoes!Q93</f>
        <v>2.4746192893401051E-2</v>
      </c>
      <c r="R94" s="5">
        <f>(Cotacoes!R94-Cotacoes!R93)/Cotacoes!R93</f>
        <v>1.2831858407079608E-2</v>
      </c>
      <c r="S94" s="5">
        <f>(Cotacoes!S94-Cotacoes!S93)/Cotacoes!S93</f>
        <v>-8.1632653061224202E-3</v>
      </c>
      <c r="T94" s="5">
        <f>(Cotacoes!T94-Cotacoes!T93)/Cotacoes!T93</f>
        <v>-1.9985196150999227E-2</v>
      </c>
      <c r="U94" s="5">
        <f>(Cotacoes!U94-Cotacoes!U93)/Cotacoes!U93</f>
        <v>1.2076816471985734E-2</v>
      </c>
      <c r="V94" s="5">
        <f>(Cotacoes!V94-Cotacoes!V93)/Cotacoes!V93</f>
        <v>2.8966849050531013E-2</v>
      </c>
      <c r="W94" s="5"/>
    </row>
    <row r="95" spans="1:23" x14ac:dyDescent="0.2">
      <c r="A95" s="4">
        <v>44699</v>
      </c>
      <c r="B95" s="5">
        <f>(Cotacoes!B95-Cotacoes!B94)/Cotacoes!B94</f>
        <v>-2.4576734025122886E-2</v>
      </c>
      <c r="C95" s="5">
        <f>(Cotacoes!C95-Cotacoes!C94)/Cotacoes!C94</f>
        <v>-2.5408348457350259E-2</v>
      </c>
      <c r="D95" s="5">
        <f>(Cotacoes!D95-Cotacoes!D94)/Cotacoes!D94</f>
        <v>-1.6011644832605577E-2</v>
      </c>
      <c r="E95" s="5">
        <f>(Cotacoes!E95-Cotacoes!E94)/Cotacoes!E94</f>
        <v>-1.4354066985645911E-2</v>
      </c>
      <c r="F95" s="5">
        <f>(Cotacoes!F95-Cotacoes!F94)/Cotacoes!F94</f>
        <v>-2.2588522588522435E-2</v>
      </c>
      <c r="G95" s="5">
        <f>(Cotacoes!G95-Cotacoes!G94)/Cotacoes!G94</f>
        <v>-1.8110236220472337E-2</v>
      </c>
      <c r="H95" s="5">
        <f>(Cotacoes!H95-Cotacoes!H94)/Cotacoes!H94</f>
        <v>-1.4524328249818395E-2</v>
      </c>
      <c r="I95" s="5">
        <f>(Cotacoes!I95-Cotacoes!I94)/Cotacoes!I94</f>
        <v>-2.1650534895568046E-2</v>
      </c>
      <c r="J95" s="5">
        <f>(Cotacoes!J95-Cotacoes!J94)/Cotacoes!J94</f>
        <v>-3.1086956521739123E-2</v>
      </c>
      <c r="K95" s="5">
        <f>(Cotacoes!K95-Cotacoes!K94)/Cotacoes!K94</f>
        <v>-1.841269841269836E-2</v>
      </c>
      <c r="L95" s="5">
        <f>(Cotacoes!L95-Cotacoes!L94)/Cotacoes!L94</f>
        <v>-2.8677150786309016E-2</v>
      </c>
      <c r="M95" s="5">
        <f>(Cotacoes!M95-Cotacoes!M94)/Cotacoes!M94</f>
        <v>-3.445512820512818E-2</v>
      </c>
      <c r="N95" s="5">
        <f>(Cotacoes!N95-Cotacoes!N94)/Cotacoes!N94</f>
        <v>-1.4851485148514828E-2</v>
      </c>
      <c r="O95" s="5">
        <f>(Cotacoes!O95-Cotacoes!O94)/Cotacoes!O94</f>
        <v>-2.3171412618648753E-2</v>
      </c>
      <c r="P95" s="5">
        <f>(Cotacoes!P95-Cotacoes!P94)/Cotacoes!P94</f>
        <v>-5.7929036929761091E-2</v>
      </c>
      <c r="Q95" s="5">
        <f>(Cotacoes!Q95-Cotacoes!Q94)/Cotacoes!Q94</f>
        <v>-3.2198142414860728E-2</v>
      </c>
      <c r="R95" s="5">
        <f>(Cotacoes!R95-Cotacoes!R94)/Cotacoes!R94</f>
        <v>-3.8881607688947162E-2</v>
      </c>
      <c r="S95" s="5">
        <f>(Cotacoes!S95-Cotacoes!S94)/Cotacoes!S94</f>
        <v>-3.9917695473251129E-2</v>
      </c>
      <c r="T95" s="5">
        <f>(Cotacoes!T95-Cotacoes!T94)/Cotacoes!T94</f>
        <v>-5.060422960725075E-2</v>
      </c>
      <c r="U95" s="5">
        <f>(Cotacoes!U95-Cotacoes!U94)/Cotacoes!U94</f>
        <v>-2.0735524256650924E-2</v>
      </c>
      <c r="V95" s="5">
        <f>(Cotacoes!V95-Cotacoes!V94)/Cotacoes!V94</f>
        <v>-2.690021895527055E-2</v>
      </c>
      <c r="W95" s="5"/>
    </row>
    <row r="96" spans="1:23" x14ac:dyDescent="0.2">
      <c r="A96" s="4">
        <v>44700</v>
      </c>
      <c r="B96" s="5">
        <f>(Cotacoes!B96-Cotacoes!B95)/Cotacoes!B95</f>
        <v>9.6304591265397484E-3</v>
      </c>
      <c r="C96" s="5">
        <f>(Cotacoes!C96-Cotacoes!C95)/Cotacoes!C95</f>
        <v>2.6578635517183008E-2</v>
      </c>
      <c r="D96" s="5">
        <f>(Cotacoes!D96-Cotacoes!D95)/Cotacoes!D95</f>
        <v>1.6272189349112474E-2</v>
      </c>
      <c r="E96" s="5">
        <f>(Cotacoes!E96-Cotacoes!E95)/Cotacoes!E95</f>
        <v>-3.2362459546924878E-3</v>
      </c>
      <c r="F96" s="5">
        <f>(Cotacoes!F96-Cotacoes!F95)/Cotacoes!F95</f>
        <v>8.744534665833666E-3</v>
      </c>
      <c r="G96" s="5">
        <f>(Cotacoes!G96-Cotacoes!G95)/Cotacoes!G95</f>
        <v>-3.4081796311146807E-2</v>
      </c>
      <c r="H96" s="5">
        <f>(Cotacoes!H96-Cotacoes!H95)/Cotacoes!H95</f>
        <v>-5.8953574060427467E-3</v>
      </c>
      <c r="I96" s="5">
        <f>(Cotacoes!I96-Cotacoes!I95)/Cotacoes!I95</f>
        <v>3.0200468627961566E-2</v>
      </c>
      <c r="J96" s="5">
        <f>(Cotacoes!J96-Cotacoes!J95)/Cotacoes!J95</f>
        <v>2.782140453219659E-2</v>
      </c>
      <c r="K96" s="5">
        <f>(Cotacoes!K96-Cotacoes!K95)/Cotacoes!K95</f>
        <v>-7.7619663648124827E-3</v>
      </c>
      <c r="L96" s="5">
        <f>(Cotacoes!L96-Cotacoes!L95)/Cotacoes!L95</f>
        <v>2.1904761904761944E-2</v>
      </c>
      <c r="M96" s="5">
        <f>(Cotacoes!M96-Cotacoes!M95)/Cotacoes!M95</f>
        <v>-5.8091286307054178E-3</v>
      </c>
      <c r="N96" s="5">
        <f>(Cotacoes!N96-Cotacoes!N95)/Cotacoes!N95</f>
        <v>8.3752093802344756E-3</v>
      </c>
      <c r="O96" s="5">
        <f>(Cotacoes!O96-Cotacoes!O95)/Cotacoes!O95</f>
        <v>-1.1717633609602849E-2</v>
      </c>
      <c r="P96" s="5">
        <f>(Cotacoes!P96-Cotacoes!P95)/Cotacoes!P95</f>
        <v>-7.6863950807071211E-3</v>
      </c>
      <c r="Q96" s="5">
        <f>(Cotacoes!Q96-Cotacoes!Q95)/Cotacoes!Q95</f>
        <v>-3.1989763275751455E-3</v>
      </c>
      <c r="R96" s="5">
        <f>(Cotacoes!R96-Cotacoes!R95)/Cotacoes!R95</f>
        <v>2.8181818181818228E-2</v>
      </c>
      <c r="S96" s="5">
        <f>(Cotacoes!S96-Cotacoes!S95)/Cotacoes!S95</f>
        <v>1.2858979854265384E-3</v>
      </c>
      <c r="T96" s="5">
        <f>(Cotacoes!T96-Cotacoes!T95)/Cotacoes!T95</f>
        <v>-1.2330946698488554E-2</v>
      </c>
      <c r="U96" s="5">
        <f>(Cotacoes!U96-Cotacoes!U95)/Cotacoes!U95</f>
        <v>-8.7894526568119222E-3</v>
      </c>
      <c r="V96" s="5">
        <f>(Cotacoes!V96-Cotacoes!V95)/Cotacoes!V95</f>
        <v>3.857280617164931E-3</v>
      </c>
      <c r="W96" s="5"/>
    </row>
    <row r="97" spans="1:23" x14ac:dyDescent="0.2">
      <c r="A97" s="4">
        <v>44701</v>
      </c>
      <c r="B97" s="5">
        <f>(Cotacoes!B97-Cotacoes!B96)/Cotacoes!B96</f>
        <v>9.3167701863354421E-3</v>
      </c>
      <c r="C97" s="5">
        <f>(Cotacoes!C97-Cotacoes!C96)/Cotacoes!C96</f>
        <v>1.7810026385224244E-2</v>
      </c>
      <c r="D97" s="5">
        <f>(Cotacoes!D97-Cotacoes!D96)/Cotacoes!D96</f>
        <v>1.9650655021834031E-2</v>
      </c>
      <c r="E97" s="5">
        <f>(Cotacoes!E97-Cotacoes!E96)/Cotacoes!E96</f>
        <v>1.2445887445887469E-2</v>
      </c>
      <c r="F97" s="5">
        <f>(Cotacoes!F97-Cotacoes!F96)/Cotacoes!F96</f>
        <v>1.3622291021671977E-2</v>
      </c>
      <c r="G97" s="5">
        <f>(Cotacoes!G97-Cotacoes!G96)/Cotacoes!G96</f>
        <v>1.8264840182648456E-2</v>
      </c>
      <c r="H97" s="5">
        <f>(Cotacoes!H97-Cotacoes!H96)/Cotacoes!H96</f>
        <v>3.7064492216456635E-2</v>
      </c>
      <c r="I97" s="5">
        <f>(Cotacoes!I97-Cotacoes!I96)/Cotacoes!I96</f>
        <v>2.0217336365933357E-3</v>
      </c>
      <c r="J97" s="5">
        <f>(Cotacoes!J97-Cotacoes!J96)/Cotacoes!J96</f>
        <v>3.2743942370661114E-3</v>
      </c>
      <c r="K97" s="5">
        <f>(Cotacoes!K97-Cotacoes!K96)/Cotacoes!K96</f>
        <v>1.3689700130378152E-2</v>
      </c>
      <c r="L97" s="5">
        <f>(Cotacoes!L97-Cotacoes!L96)/Cotacoes!L96</f>
        <v>1.9571295433364312E-2</v>
      </c>
      <c r="M97" s="5">
        <f>(Cotacoes!M97-Cotacoes!M96)/Cotacoes!M96</f>
        <v>-8.3472454090149951E-3</v>
      </c>
      <c r="N97" s="5">
        <f>(Cotacoes!N97-Cotacoes!N96)/Cotacoes!N96</f>
        <v>1.1627906976744234E-2</v>
      </c>
      <c r="O97" s="5">
        <f>(Cotacoes!O97-Cotacoes!O96)/Cotacoes!O96</f>
        <v>-5.7836899942151593E-4</v>
      </c>
      <c r="P97" s="5">
        <f>(Cotacoes!P97-Cotacoes!P96)/Cotacoes!P96</f>
        <v>-1.859024012393495E-2</v>
      </c>
      <c r="Q97" s="5">
        <f>(Cotacoes!Q97-Cotacoes!Q96)/Cotacoes!Q96</f>
        <v>1.1767222935387187E-2</v>
      </c>
      <c r="R97" s="5">
        <f>(Cotacoes!R97-Cotacoes!R96)/Cotacoes!R96</f>
        <v>5.3050397877982955E-3</v>
      </c>
      <c r="S97" s="5">
        <f>(Cotacoes!S97-Cotacoes!S96)/Cotacoes!S96</f>
        <v>1.0702054794520547E-2</v>
      </c>
      <c r="T97" s="5">
        <f>(Cotacoes!T97-Cotacoes!T96)/Cotacoes!T96</f>
        <v>2.4567055980668669E-2</v>
      </c>
      <c r="U97" s="5">
        <f>(Cotacoes!U97-Cotacoes!U96)/Cotacoes!U96</f>
        <v>7.2551390568319114E-3</v>
      </c>
      <c r="V97" s="5">
        <f>(Cotacoes!V97-Cotacoes!V96)/Cotacoes!V96</f>
        <v>3.0739673390970133E-2</v>
      </c>
      <c r="W97" s="5"/>
    </row>
    <row r="98" spans="1:23" x14ac:dyDescent="0.2">
      <c r="A98" s="4">
        <v>44704</v>
      </c>
      <c r="B98" s="5">
        <f>(Cotacoes!B98-Cotacoes!B97)/Cotacoes!B97</f>
        <v>2.2527472527472496E-2</v>
      </c>
      <c r="C98" s="5">
        <f>(Cotacoes!C98-Cotacoes!C97)/Cotacoes!C97</f>
        <v>2.0414776409591672E-2</v>
      </c>
      <c r="D98" s="5">
        <f>(Cotacoes!D98-Cotacoes!D97)/Cotacoes!D97</f>
        <v>3.9257673090649585E-2</v>
      </c>
      <c r="E98" s="5">
        <f>(Cotacoes!E98-Cotacoes!E97)/Cotacoes!E97</f>
        <v>2.5654730090860525E-2</v>
      </c>
      <c r="F98" s="5">
        <f>(Cotacoes!F98-Cotacoes!F97)/Cotacoes!F97</f>
        <v>3.7263286499694528E-2</v>
      </c>
      <c r="G98" s="5">
        <f>(Cotacoes!G98-Cotacoes!G97)/Cotacoes!G97</f>
        <v>2.2013860578882966E-2</v>
      </c>
      <c r="H98" s="5">
        <f>(Cotacoes!H98-Cotacoes!H97)/Cotacoes!H97</f>
        <v>4.2172980700500344E-2</v>
      </c>
      <c r="I98" s="5">
        <f>(Cotacoes!I98-Cotacoes!I97)/Cotacoes!I97</f>
        <v>-3.2786885245900494E-3</v>
      </c>
      <c r="J98" s="5">
        <f>(Cotacoes!J98-Cotacoes!J97)/Cotacoes!J97</f>
        <v>3.7206266318537878E-2</v>
      </c>
      <c r="K98" s="5">
        <f>(Cotacoes!K98-Cotacoes!K97)/Cotacoes!K97</f>
        <v>1.607717041800643E-2</v>
      </c>
      <c r="L98" s="5">
        <f>(Cotacoes!L98-Cotacoes!L97)/Cotacoes!L97</f>
        <v>4.570383912248694E-3</v>
      </c>
      <c r="M98" s="5">
        <f>(Cotacoes!M98-Cotacoes!M97)/Cotacoes!M97</f>
        <v>4.2087542087541185E-3</v>
      </c>
      <c r="N98" s="5">
        <f>(Cotacoes!N98-Cotacoes!N97)/Cotacoes!N97</f>
        <v>1.3136288998357976E-2</v>
      </c>
      <c r="O98" s="5">
        <f>(Cotacoes!O98-Cotacoes!O97)/Cotacoes!O97</f>
        <v>3.7615740740739425E-3</v>
      </c>
      <c r="P98" s="5">
        <f>(Cotacoes!P98-Cotacoes!P97)/Cotacoes!P97</f>
        <v>1.1838989739542253E-2</v>
      </c>
      <c r="Q98" s="5">
        <f>(Cotacoes!Q98-Cotacoes!Q97)/Cotacoes!Q97</f>
        <v>1.4379361387185445E-2</v>
      </c>
      <c r="R98" s="5">
        <f>(Cotacoes!R98-Cotacoes!R97)/Cotacoes!R97</f>
        <v>-9.2348284960420985E-3</v>
      </c>
      <c r="S98" s="5">
        <f>(Cotacoes!S98-Cotacoes!S97)/Cotacoes!S97</f>
        <v>-1.1435832274459956E-2</v>
      </c>
      <c r="T98" s="5">
        <f>(Cotacoes!T98-Cotacoes!T97)/Cotacoes!T97</f>
        <v>2.7122641509433873E-2</v>
      </c>
      <c r="U98" s="5">
        <f>(Cotacoes!U98-Cotacoes!U97)/Cotacoes!U97</f>
        <v>1.4205682272909182E-2</v>
      </c>
      <c r="V98" s="5">
        <f>(Cotacoes!V98-Cotacoes!V97)/Cotacoes!V97</f>
        <v>-1.8018018018017966E-2</v>
      </c>
      <c r="W98" s="5"/>
    </row>
    <row r="99" spans="1:23" x14ac:dyDescent="0.2">
      <c r="A99" s="4">
        <v>44705</v>
      </c>
      <c r="B99" s="5">
        <f>(Cotacoes!B99-Cotacoes!B98)/Cotacoes!B98</f>
        <v>-5.3734551316493454E-4</v>
      </c>
      <c r="C99" s="5">
        <f>(Cotacoes!C99-Cotacoes!C98)/Cotacoes!C98</f>
        <v>1.3496348046999071E-2</v>
      </c>
      <c r="D99" s="5">
        <f>(Cotacoes!D99-Cotacoes!D98)/Cotacoes!D98</f>
        <v>-2.8846153846153841E-2</v>
      </c>
      <c r="E99" s="5">
        <f>(Cotacoes!E99-Cotacoes!E98)/Cotacoes!E98</f>
        <v>1.5633142261594433E-2</v>
      </c>
      <c r="F99" s="5">
        <f>(Cotacoes!F99-Cotacoes!F98)/Cotacoes!F98</f>
        <v>-2.8857479387514838E-2</v>
      </c>
      <c r="G99" s="5">
        <f>(Cotacoes!G99-Cotacoes!G98)/Cotacoes!G98</f>
        <v>-1.8348623853211041E-2</v>
      </c>
      <c r="H99" s="5">
        <f>(Cotacoes!H99-Cotacoes!H98)/Cotacoes!H98</f>
        <v>-4.8010973936900058E-3</v>
      </c>
      <c r="I99" s="5">
        <f>(Cotacoes!I99-Cotacoes!I98)/Cotacoes!I98</f>
        <v>1.9736842105263004E-2</v>
      </c>
      <c r="J99" s="5">
        <f>(Cotacoes!J99-Cotacoes!J98)/Cotacoes!J98</f>
        <v>9.439899307740628E-3</v>
      </c>
      <c r="K99" s="5">
        <f>(Cotacoes!K99-Cotacoes!K98)/Cotacoes!K98</f>
        <v>2.0886075949366981E-2</v>
      </c>
      <c r="L99" s="5">
        <f>(Cotacoes!L99-Cotacoes!L98)/Cotacoes!L98</f>
        <v>-6.3694267515923822E-3</v>
      </c>
      <c r="M99" s="5">
        <f>(Cotacoes!M99-Cotacoes!M98)/Cotacoes!M98</f>
        <v>3.3528918692372948E-3</v>
      </c>
      <c r="N99" s="5">
        <f>(Cotacoes!N99-Cotacoes!N98)/Cotacoes!N98</f>
        <v>9.724473257698622E-3</v>
      </c>
      <c r="O99" s="5">
        <f>(Cotacoes!O99-Cotacoes!O98)/Cotacoes!O98</f>
        <v>2.2196598443355524E-2</v>
      </c>
      <c r="P99" s="5">
        <f>(Cotacoes!P99-Cotacoes!P98)/Cotacoes!P98</f>
        <v>-5.6162246489859645E-2</v>
      </c>
      <c r="Q99" s="5">
        <f>(Cotacoes!Q99-Cotacoes!Q98)/Cotacoes!Q98</f>
        <v>8.3385449239105998E-4</v>
      </c>
      <c r="R99" s="5">
        <f>(Cotacoes!R99-Cotacoes!R98)/Cotacoes!R98</f>
        <v>-7.5454948956947048E-3</v>
      </c>
      <c r="S99" s="5">
        <f>(Cotacoes!S99-Cotacoes!S98)/Cotacoes!S98</f>
        <v>3.5561268209083195E-2</v>
      </c>
      <c r="T99" s="5">
        <f>(Cotacoes!T99-Cotacoes!T98)/Cotacoes!T98</f>
        <v>3.9035591274397229E-2</v>
      </c>
      <c r="U99" s="5">
        <f>(Cotacoes!U99-Cotacoes!U98)/Cotacoes!U98</f>
        <v>-1.4795817715525746E-2</v>
      </c>
      <c r="V99" s="5">
        <f>(Cotacoes!V99-Cotacoes!V98)/Cotacoes!V98</f>
        <v>1.1705156596013951E-2</v>
      </c>
      <c r="W99" s="5"/>
    </row>
    <row r="100" spans="1:23" x14ac:dyDescent="0.2">
      <c r="A100" s="4">
        <v>44706</v>
      </c>
      <c r="B100" s="5">
        <f>(Cotacoes!B100-Cotacoes!B99)/Cotacoes!B99</f>
        <v>3.8709677419354778E-3</v>
      </c>
      <c r="C100" s="5">
        <f>(Cotacoes!C100-Cotacoes!C99)/Cotacoes!C99</f>
        <v>2.976656744477483E-3</v>
      </c>
      <c r="D100" s="5">
        <f>(Cotacoes!D100-Cotacoes!D99)/Cotacoes!D99</f>
        <v>1.4144271570014093E-2</v>
      </c>
      <c r="E100" s="5">
        <f>(Cotacoes!E100-Cotacoes!E99)/Cotacoes!E99</f>
        <v>-1.7957927142124058E-2</v>
      </c>
      <c r="F100" s="5">
        <f>(Cotacoes!F100-Cotacoes!F99)/Cotacoes!F99</f>
        <v>2.0618556701030921E-2</v>
      </c>
      <c r="G100" s="5">
        <f>(Cotacoes!G100-Cotacoes!G99)/Cotacoes!G99</f>
        <v>-2.9256399837464399E-2</v>
      </c>
      <c r="H100" s="5">
        <f>(Cotacoes!H100-Cotacoes!H99)/Cotacoes!H99</f>
        <v>-6.2026188835285915E-3</v>
      </c>
      <c r="I100" s="5">
        <f>(Cotacoes!I100-Cotacoes!I99)/Cotacoes!I99</f>
        <v>5.2109181141439418E-3</v>
      </c>
      <c r="J100" s="5">
        <f>(Cotacoes!J100-Cotacoes!J99)/Cotacoes!J99</f>
        <v>6.2344139650873705E-3</v>
      </c>
      <c r="K100" s="5">
        <f>(Cotacoes!K100-Cotacoes!K99)/Cotacoes!K99</f>
        <v>-1.1159330440173573E-2</v>
      </c>
      <c r="L100" s="5">
        <f>(Cotacoes!L100-Cotacoes!L99)/Cotacoes!L99</f>
        <v>-9.157509157509125E-3</v>
      </c>
      <c r="M100" s="5">
        <f>(Cotacoes!M100-Cotacoes!M99)/Cotacoes!M99</f>
        <v>-6.6833751044277417E-3</v>
      </c>
      <c r="N100" s="5">
        <f>(Cotacoes!N100-Cotacoes!N99)/Cotacoes!N99</f>
        <v>-1.6051364365971193E-2</v>
      </c>
      <c r="O100" s="5">
        <f>(Cotacoes!O100-Cotacoes!O99)/Cotacoes!O99</f>
        <v>-3.6661026508742964E-3</v>
      </c>
      <c r="P100" s="5">
        <f>(Cotacoes!P100-Cotacoes!P99)/Cotacoes!P99</f>
        <v>1.6528925619834359E-3</v>
      </c>
      <c r="Q100" s="5">
        <f>(Cotacoes!Q100-Cotacoes!Q99)/Cotacoes!Q99</f>
        <v>-1.8121224744844771E-2</v>
      </c>
      <c r="R100" s="5">
        <f>(Cotacoes!R100-Cotacoes!R99)/Cotacoes!R99</f>
        <v>1.7441860465116307E-2</v>
      </c>
      <c r="S100" s="5">
        <f>(Cotacoes!S100-Cotacoes!S99)/Cotacoes!S99</f>
        <v>-2.0686801820438854E-3</v>
      </c>
      <c r="T100" s="5">
        <f>(Cotacoes!T100-Cotacoes!T99)/Cotacoes!T99</f>
        <v>1.0313075506445715E-2</v>
      </c>
      <c r="U100" s="5">
        <f>(Cotacoes!U100-Cotacoes!U99)/Cotacoes!U99</f>
        <v>2.9435322386864214E-2</v>
      </c>
      <c r="V100" s="5">
        <f>(Cotacoes!V100-Cotacoes!V99)/Cotacoes!V99</f>
        <v>3.4709193245778702E-2</v>
      </c>
      <c r="W100" s="5"/>
    </row>
    <row r="101" spans="1:23" x14ac:dyDescent="0.2">
      <c r="A101" s="4">
        <v>44707</v>
      </c>
      <c r="B101" s="5">
        <f>(Cotacoes!B101-Cotacoes!B100)/Cotacoes!B100</f>
        <v>8.140531276778119E-3</v>
      </c>
      <c r="C101" s="5">
        <f>(Cotacoes!C101-Cotacoes!C100)/Cotacoes!C100</f>
        <v>-4.6860356138697337E-4</v>
      </c>
      <c r="D101" s="5">
        <f>(Cotacoes!D101-Cotacoes!D100)/Cotacoes!D100</f>
        <v>2.0920502092049765E-3</v>
      </c>
      <c r="E101" s="5">
        <f>(Cotacoes!E101-Cotacoes!E100)/Cotacoes!E100</f>
        <v>1.201671891327066E-2</v>
      </c>
      <c r="F101" s="5">
        <f>(Cotacoes!F101-Cotacoes!F100)/Cotacoes!F100</f>
        <v>2.9708853238265428E-3</v>
      </c>
      <c r="G101" s="5">
        <f>(Cotacoes!G101-Cotacoes!G100)/Cotacoes!G100</f>
        <v>1.5487651737128547E-2</v>
      </c>
      <c r="H101" s="5">
        <f>(Cotacoes!H101-Cotacoes!H100)/Cotacoes!H100</f>
        <v>-2.7739251040221325E-3</v>
      </c>
      <c r="I101" s="5">
        <f>(Cotacoes!I101-Cotacoes!I100)/Cotacoes!I100</f>
        <v>-2.0488768205381345E-2</v>
      </c>
      <c r="J101" s="5">
        <f>(Cotacoes!J101-Cotacoes!J100)/Cotacoes!J100</f>
        <v>-5.9892606361007673E-3</v>
      </c>
      <c r="K101" s="5">
        <f>(Cotacoes!K101-Cotacoes!K100)/Cotacoes!K100</f>
        <v>5.6426332288401163E-3</v>
      </c>
      <c r="L101" s="5">
        <f>(Cotacoes!L101-Cotacoes!L100)/Cotacoes!L100</f>
        <v>4.2513863216266087E-2</v>
      </c>
      <c r="M101" s="5">
        <f>(Cotacoes!M101-Cotacoes!M100)/Cotacoes!M100</f>
        <v>1.2615643397813169E-2</v>
      </c>
      <c r="N101" s="5">
        <f>(Cotacoes!N101-Cotacoes!N100)/Cotacoes!N100</f>
        <v>3.2626427406199777E-3</v>
      </c>
      <c r="O101" s="5">
        <f>(Cotacoes!O101-Cotacoes!O100)/Cotacoes!O100</f>
        <v>-1.4152278516840408E-3</v>
      </c>
      <c r="P101" s="5">
        <f>(Cotacoes!P101-Cotacoes!P100)/Cotacoes!P100</f>
        <v>3.0528052805280613E-2</v>
      </c>
      <c r="Q101" s="5">
        <f>(Cotacoes!Q101-Cotacoes!Q100)/Cotacoes!Q100</f>
        <v>4.1790411540093317E-2</v>
      </c>
      <c r="R101" s="5">
        <f>(Cotacoes!R101-Cotacoes!R100)/Cotacoes!R100</f>
        <v>1.098901098901099E-2</v>
      </c>
      <c r="S101" s="5">
        <f>(Cotacoes!S101-Cotacoes!S100)/Cotacoes!S100</f>
        <v>-4.5605306799336416E-3</v>
      </c>
      <c r="T101" s="5">
        <f>(Cotacoes!T101-Cotacoes!T100)/Cotacoes!T100</f>
        <v>1.8592781625957039E-2</v>
      </c>
      <c r="U101" s="5">
        <f>(Cotacoes!U101-Cotacoes!U100)/Cotacoes!U100</f>
        <v>1.6922777669714152E-2</v>
      </c>
      <c r="V101" s="5">
        <f>(Cotacoes!V101-Cotacoes!V100)/Cotacoes!V100</f>
        <v>6.1045633121788935E-2</v>
      </c>
      <c r="W101" s="5"/>
    </row>
    <row r="102" spans="1:23" x14ac:dyDescent="0.2">
      <c r="A102" s="4">
        <v>44708</v>
      </c>
      <c r="B102" s="5">
        <f>(Cotacoes!B102-Cotacoes!B101)/Cotacoes!B101</f>
        <v>2.1249468763276689E-4</v>
      </c>
      <c r="C102" s="5">
        <f>(Cotacoes!C102-Cotacoes!C101)/Cotacoes!C101</f>
        <v>1.7346460384434947E-2</v>
      </c>
      <c r="D102" s="5">
        <f>(Cotacoes!D102-Cotacoes!D101)/Cotacoes!D101</f>
        <v>-4.7320807237299915E-2</v>
      </c>
      <c r="E102" s="5">
        <f>(Cotacoes!E102-Cotacoes!E101)/Cotacoes!E101</f>
        <v>5.6788848735157167E-3</v>
      </c>
      <c r="F102" s="5">
        <f>(Cotacoes!F102-Cotacoes!F101)/Cotacoes!F101</f>
        <v>-4.1469194312796172E-2</v>
      </c>
      <c r="G102" s="5">
        <f>(Cotacoes!G102-Cotacoes!G101)/Cotacoes!G101</f>
        <v>1.9785655399834991E-2</v>
      </c>
      <c r="H102" s="5">
        <f>(Cotacoes!H102-Cotacoes!H101)/Cotacoes!H101</f>
        <v>-1.1126564673157173E-2</v>
      </c>
      <c r="I102" s="5">
        <f>(Cotacoes!I102-Cotacoes!I101)/Cotacoes!I101</f>
        <v>-1.2348790322580695E-2</v>
      </c>
      <c r="J102" s="5">
        <f>(Cotacoes!J102-Cotacoes!J101)/Cotacoes!J101</f>
        <v>-1.142738416787875E-2</v>
      </c>
      <c r="K102" s="5">
        <f>(Cotacoes!K102-Cotacoes!K101)/Cotacoes!K101</f>
        <v>1.3715710723192172E-2</v>
      </c>
      <c r="L102" s="5">
        <f>(Cotacoes!L102-Cotacoes!L101)/Cotacoes!L101</f>
        <v>2.3049645390070903E-2</v>
      </c>
      <c r="M102" s="5">
        <f>(Cotacoes!M102-Cotacoes!M101)/Cotacoes!M101</f>
        <v>0</v>
      </c>
      <c r="N102" s="5">
        <f>(Cotacoes!N102-Cotacoes!N101)/Cotacoes!N101</f>
        <v>0</v>
      </c>
      <c r="O102" s="5">
        <f>(Cotacoes!O102-Cotacoes!O101)/Cotacoes!O101</f>
        <v>-3.9682539682539845E-3</v>
      </c>
      <c r="P102" s="5">
        <f>(Cotacoes!P102-Cotacoes!P101)/Cotacoes!P101</f>
        <v>1.4411529223378679E-2</v>
      </c>
      <c r="Q102" s="5">
        <f>(Cotacoes!Q102-Cotacoes!Q101)/Cotacoes!Q101</f>
        <v>4.6833638770108731E-3</v>
      </c>
      <c r="R102" s="5">
        <f>(Cotacoes!R102-Cotacoes!R101)/Cotacoes!R101</f>
        <v>1.0000000000000019E-2</v>
      </c>
      <c r="S102" s="5">
        <f>(Cotacoes!S102-Cotacoes!S101)/Cotacoes!S101</f>
        <v>-1.1661807580174974E-2</v>
      </c>
      <c r="T102" s="5">
        <f>(Cotacoes!T102-Cotacoes!T101)/Cotacoes!T101</f>
        <v>2.6127415891195434E-2</v>
      </c>
      <c r="U102" s="5">
        <f>(Cotacoes!U102-Cotacoes!U101)/Cotacoes!U101</f>
        <v>9.7551644988522947E-3</v>
      </c>
      <c r="V102" s="5">
        <f>(Cotacoes!V102-Cotacoes!V101)/Cotacoes!V101</f>
        <v>7.4052976360010824E-3</v>
      </c>
      <c r="W102" s="5"/>
    </row>
    <row r="103" spans="1:23" x14ac:dyDescent="0.2">
      <c r="A103" s="4">
        <v>44711</v>
      </c>
      <c r="B103" s="5">
        <f>(Cotacoes!B103-Cotacoes!B102)/Cotacoes!B102</f>
        <v>-4.7801147227533765E-3</v>
      </c>
      <c r="C103" s="5">
        <f>(Cotacoes!C103-Cotacoes!C102)/Cotacoes!C102</f>
        <v>1.090629800307232E-2</v>
      </c>
      <c r="D103" s="5">
        <f>(Cotacoes!D103-Cotacoes!D102)/Cotacoes!D102</f>
        <v>-1.9722425127830501E-2</v>
      </c>
      <c r="E103" s="5">
        <f>(Cotacoes!E103-Cotacoes!E102)/Cotacoes!E102</f>
        <v>-9.2402464065708279E-3</v>
      </c>
      <c r="F103" s="5">
        <f>(Cotacoes!F103-Cotacoes!F102)/Cotacoes!F102</f>
        <v>-2.1631644004944356E-2</v>
      </c>
      <c r="G103" s="5">
        <f>(Cotacoes!G103-Cotacoes!G102)/Cotacoes!G102</f>
        <v>-2.5869037995149436E-2</v>
      </c>
      <c r="H103" s="5">
        <f>(Cotacoes!H103-Cotacoes!H102)/Cotacoes!H102</f>
        <v>-2.6019690576652672E-2</v>
      </c>
      <c r="I103" s="5">
        <f>(Cotacoes!I103-Cotacoes!I102)/Cotacoes!I102</f>
        <v>-3.342689461597334E-2</v>
      </c>
      <c r="J103" s="5">
        <f>(Cotacoes!J103-Cotacoes!J102)/Cotacoes!J102</f>
        <v>-2.0596889449348402E-2</v>
      </c>
      <c r="K103" s="5">
        <f>(Cotacoes!K103-Cotacoes!K102)/Cotacoes!K102</f>
        <v>-9.2250922509226393E-3</v>
      </c>
      <c r="L103" s="5">
        <f>(Cotacoes!L103-Cotacoes!L102)/Cotacoes!L102</f>
        <v>7.7989601386483226E-3</v>
      </c>
      <c r="M103" s="5">
        <f>(Cotacoes!M103-Cotacoes!M102)/Cotacoes!M102</f>
        <v>-8.3056478405315326E-3</v>
      </c>
      <c r="N103" s="5">
        <f>(Cotacoes!N103-Cotacoes!N102)/Cotacoes!N102</f>
        <v>-1.6260162601627113E-3</v>
      </c>
      <c r="O103" s="5">
        <f>(Cotacoes!O103-Cotacoes!O102)/Cotacoes!O102</f>
        <v>2.2766078542970488E-3</v>
      </c>
      <c r="P103" s="5">
        <f>(Cotacoes!P103-Cotacoes!P102)/Cotacoes!P102</f>
        <v>-7.1033938437253244E-3</v>
      </c>
      <c r="Q103" s="5">
        <f>(Cotacoes!Q103-Cotacoes!Q102)/Cotacoes!Q102</f>
        <v>1.6214025131738607E-3</v>
      </c>
      <c r="R103" s="5">
        <f>(Cotacoes!R103-Cotacoes!R102)/Cotacoes!R102</f>
        <v>-1.2053379250968624E-2</v>
      </c>
      <c r="S103" s="5">
        <f>(Cotacoes!S103-Cotacoes!S102)/Cotacoes!S102</f>
        <v>-1.6434892541087254E-2</v>
      </c>
      <c r="T103" s="5">
        <f>(Cotacoes!T103-Cotacoes!T102)/Cotacoes!T102</f>
        <v>-1.6044645971398704E-2</v>
      </c>
      <c r="U103" s="5">
        <f>(Cotacoes!U103-Cotacoes!U102)/Cotacoes!U102</f>
        <v>-2.4436446296647076E-2</v>
      </c>
      <c r="V103" s="5">
        <f>(Cotacoes!V103-Cotacoes!V102)/Cotacoes!V102</f>
        <v>-2.2335312411648267E-2</v>
      </c>
      <c r="W103" s="5"/>
    </row>
    <row r="104" spans="1:23" x14ac:dyDescent="0.2">
      <c r="A104" s="4">
        <v>44712</v>
      </c>
      <c r="B104" s="5">
        <f>(Cotacoes!B104-Cotacoes!B103)/Cotacoes!B103</f>
        <v>-3.0953143345073333E-3</v>
      </c>
      <c r="C104" s="5">
        <f>(Cotacoes!C104-Cotacoes!C103)/Cotacoes!C103</f>
        <v>-5.1663880869169338E-3</v>
      </c>
      <c r="D104" s="5">
        <f>(Cotacoes!D104-Cotacoes!D103)/Cotacoes!D103</f>
        <v>2.235469448584155E-3</v>
      </c>
      <c r="E104" s="5">
        <f>(Cotacoes!E104-Cotacoes!E103)/Cotacoes!E103</f>
        <v>9.3264248704663065E-3</v>
      </c>
      <c r="F104" s="5">
        <f>(Cotacoes!F104-Cotacoes!F103)/Cotacoes!F103</f>
        <v>7.5805432722677963E-3</v>
      </c>
      <c r="G104" s="5">
        <f>(Cotacoes!G104-Cotacoes!G103)/Cotacoes!G103</f>
        <v>-6.6390041493775993E-3</v>
      </c>
      <c r="H104" s="5">
        <f>(Cotacoes!H104-Cotacoes!H103)/Cotacoes!H103</f>
        <v>1.5162454873646272E-2</v>
      </c>
      <c r="I104" s="5">
        <f>(Cotacoes!I104-Cotacoes!I103)/Cotacoes!I103</f>
        <v>3.1678986272438603E-3</v>
      </c>
      <c r="J104" s="5">
        <f>(Cotacoes!J104-Cotacoes!J103)/Cotacoes!J103</f>
        <v>-1.7596566523605157E-2</v>
      </c>
      <c r="K104" s="5">
        <f>(Cotacoes!K104-Cotacoes!K103)/Cotacoes!K103</f>
        <v>5.5865921787709412E-3</v>
      </c>
      <c r="L104" s="5">
        <f>(Cotacoes!L104-Cotacoes!L103)/Cotacoes!L103</f>
        <v>-2.5795356835770539E-3</v>
      </c>
      <c r="M104" s="5">
        <f>(Cotacoes!M104-Cotacoes!M103)/Cotacoes!M103</f>
        <v>6.7001675041876109E-3</v>
      </c>
      <c r="N104" s="5">
        <f>(Cotacoes!N104-Cotacoes!N103)/Cotacoes!N103</f>
        <v>1.6286644951140152E-2</v>
      </c>
      <c r="O104" s="5">
        <f>(Cotacoes!O104-Cotacoes!O103)/Cotacoes!O103</f>
        <v>1.0789324247586671E-2</v>
      </c>
      <c r="P104" s="5">
        <f>(Cotacoes!P104-Cotacoes!P103)/Cotacoes!P103</f>
        <v>1.1923688394276658E-2</v>
      </c>
      <c r="Q104" s="5">
        <f>(Cotacoes!Q104-Cotacoes!Q103)/Cotacoes!Q103</f>
        <v>-3.0352084176446495E-3</v>
      </c>
      <c r="R104" s="5">
        <f>(Cotacoes!R104-Cotacoes!R103)/Cotacoes!R103</f>
        <v>1.7864923747276697E-2</v>
      </c>
      <c r="S104" s="5">
        <f>(Cotacoes!S104-Cotacoes!S103)/Cotacoes!S103</f>
        <v>1.8851756640959779E-2</v>
      </c>
      <c r="T104" s="5">
        <f>(Cotacoes!T104-Cotacoes!T103)/Cotacoes!T103</f>
        <v>-9.2165898617512076E-3</v>
      </c>
      <c r="U104" s="5">
        <f>(Cotacoes!U104-Cotacoes!U103)/Cotacoes!U103</f>
        <v>9.1262135922329877E-3</v>
      </c>
      <c r="V104" s="5">
        <f>(Cotacoes!V104-Cotacoes!V103)/Cotacoes!V103</f>
        <v>-2.0242914979756964E-2</v>
      </c>
      <c r="W104" s="5"/>
    </row>
    <row r="105" spans="1:23" x14ac:dyDescent="0.2">
      <c r="A105" s="4">
        <v>44713</v>
      </c>
      <c r="B105" s="5">
        <f>(Cotacoes!B105-Cotacoes!B104)/Cotacoes!B104</f>
        <v>8.7794432548179129E-3</v>
      </c>
      <c r="C105" s="5">
        <f>(Cotacoes!C105-Cotacoes!C104)/Cotacoes!C104</f>
        <v>2.3674965633114362E-2</v>
      </c>
      <c r="D105" s="5">
        <f>(Cotacoes!D105-Cotacoes!D104)/Cotacoes!D104</f>
        <v>-1.4869888475836114E-3</v>
      </c>
      <c r="E105" s="5">
        <f>(Cotacoes!E105-Cotacoes!E104)/Cotacoes!E104</f>
        <v>-1.3860369609856241E-2</v>
      </c>
      <c r="F105" s="5">
        <f>(Cotacoes!F105-Cotacoes!F104)/Cotacoes!F104</f>
        <v>-1.2539184952977791E-3</v>
      </c>
      <c r="G105" s="5">
        <f>(Cotacoes!G105-Cotacoes!G104)/Cotacoes!G104</f>
        <v>3.299916457811191E-2</v>
      </c>
      <c r="H105" s="5">
        <f>(Cotacoes!H105-Cotacoes!H104)/Cotacoes!H104</f>
        <v>2.1337126600284037E-3</v>
      </c>
      <c r="I105" s="5">
        <f>(Cotacoes!I105-Cotacoes!I104)/Cotacoes!I104</f>
        <v>2.0526315789473715E-2</v>
      </c>
      <c r="J105" s="5">
        <f>(Cotacoes!J105-Cotacoes!J104)/Cotacoes!J104</f>
        <v>-9.3927479248580095E-3</v>
      </c>
      <c r="K105" s="5">
        <f>(Cotacoes!K105-Cotacoes!K104)/Cotacoes!K104</f>
        <v>-1.7901234567901183E-2</v>
      </c>
      <c r="L105" s="5">
        <f>(Cotacoes!L105-Cotacoes!L104)/Cotacoes!L104</f>
        <v>-2.0689655172413814E-2</v>
      </c>
      <c r="M105" s="5">
        <f>(Cotacoes!M105-Cotacoes!M104)/Cotacoes!M104</f>
        <v>-4.9916805324458175E-3</v>
      </c>
      <c r="N105" s="5">
        <f>(Cotacoes!N105-Cotacoes!N104)/Cotacoes!N104</f>
        <v>-9.615384615384694E-3</v>
      </c>
      <c r="O105" s="5">
        <f>(Cotacoes!O105-Cotacoes!O104)/Cotacoes!O104</f>
        <v>8.1460674157303129E-3</v>
      </c>
      <c r="P105" s="5">
        <f>(Cotacoes!P105-Cotacoes!P104)/Cotacoes!P104</f>
        <v>7.8554595443833183E-3</v>
      </c>
      <c r="Q105" s="5">
        <f>(Cotacoes!Q105-Cotacoes!Q104)/Cotacoes!Q104</f>
        <v>5.2770448548812255E-3</v>
      </c>
      <c r="R105" s="5">
        <f>(Cotacoes!R105-Cotacoes!R104)/Cotacoes!R104</f>
        <v>-1.9691780821917845E-2</v>
      </c>
      <c r="S105" s="5">
        <f>(Cotacoes!S105-Cotacoes!S104)/Cotacoes!S104</f>
        <v>-7.9899074852818035E-3</v>
      </c>
      <c r="T105" s="5">
        <f>(Cotacoes!T105-Cotacoes!T104)/Cotacoes!T104</f>
        <v>5.3667262969589319E-3</v>
      </c>
      <c r="U105" s="5">
        <f>(Cotacoes!U105-Cotacoes!U104)/Cotacoes!U104</f>
        <v>-2.1166057340773416E-3</v>
      </c>
      <c r="V105" s="5">
        <f>(Cotacoes!V105-Cotacoes!V104)/Cotacoes!V104</f>
        <v>-1.4757969303423848E-2</v>
      </c>
      <c r="W105" s="5"/>
    </row>
    <row r="106" spans="1:23" x14ac:dyDescent="0.2">
      <c r="A106" s="4">
        <v>44714</v>
      </c>
      <c r="B106" s="5">
        <f>(Cotacoes!B106-Cotacoes!B105)/Cotacoes!B105</f>
        <v>7.2171513479092212E-3</v>
      </c>
      <c r="C106" s="5">
        <f>(Cotacoes!C106-Cotacoes!C105)/Cotacoes!C105</f>
        <v>1.8800358102059163E-2</v>
      </c>
      <c r="D106" s="5">
        <f>(Cotacoes!D106-Cotacoes!D105)/Cotacoes!D105</f>
        <v>-8.9352196574831889E-3</v>
      </c>
      <c r="E106" s="5">
        <f>(Cotacoes!E106-Cotacoes!E105)/Cotacoes!E105</f>
        <v>4.1644976574699791E-3</v>
      </c>
      <c r="F106" s="5">
        <f>(Cotacoes!F106-Cotacoes!F105)/Cotacoes!F105</f>
        <v>-9.4161958568738449E-3</v>
      </c>
      <c r="G106" s="5">
        <f>(Cotacoes!G106-Cotacoes!G105)/Cotacoes!G105</f>
        <v>4.8524059846340875E-3</v>
      </c>
      <c r="H106" s="5">
        <f>(Cotacoes!H106-Cotacoes!H105)/Cotacoes!H105</f>
        <v>7.0972320794888478E-4</v>
      </c>
      <c r="I106" s="5">
        <f>(Cotacoes!I106-Cotacoes!I105)/Cotacoes!I105</f>
        <v>7.7359463641051354E-3</v>
      </c>
      <c r="J106" s="5">
        <f>(Cotacoes!J106-Cotacoes!J105)/Cotacoes!J105</f>
        <v>1.2348401323042891E-2</v>
      </c>
      <c r="K106" s="5">
        <f>(Cotacoes!K106-Cotacoes!K105)/Cotacoes!K105</f>
        <v>-4.3997485857951149E-3</v>
      </c>
      <c r="L106" s="5">
        <f>(Cotacoes!L106-Cotacoes!L105)/Cotacoes!L105</f>
        <v>3.0809859154929703E-2</v>
      </c>
      <c r="M106" s="5">
        <f>(Cotacoes!M106-Cotacoes!M105)/Cotacoes!M105</f>
        <v>0</v>
      </c>
      <c r="N106" s="5">
        <f>(Cotacoes!N106-Cotacoes!N105)/Cotacoes!N105</f>
        <v>4.8543689320388753E-3</v>
      </c>
      <c r="O106" s="5">
        <f>(Cotacoes!O106-Cotacoes!O105)/Cotacoes!O105</f>
        <v>-8.0802451936472317E-3</v>
      </c>
      <c r="P106" s="5">
        <f>(Cotacoes!P106-Cotacoes!P105)/Cotacoes!P105</f>
        <v>3.6632891660171522E-2</v>
      </c>
      <c r="Q106" s="5">
        <f>(Cotacoes!Q106-Cotacoes!Q105)/Cotacoes!Q105</f>
        <v>4.4417524732485135E-3</v>
      </c>
      <c r="R106" s="5">
        <f>(Cotacoes!R106-Cotacoes!R105)/Cotacoes!R105</f>
        <v>1.9650655021834187E-2</v>
      </c>
      <c r="S106" s="5">
        <f>(Cotacoes!S106-Cotacoes!S105)/Cotacoes!S105</f>
        <v>1.7380245866892758E-2</v>
      </c>
      <c r="T106" s="5">
        <f>(Cotacoes!T106-Cotacoes!T105)/Cotacoes!T105</f>
        <v>1.9572953736654703E-2</v>
      </c>
      <c r="U106" s="5">
        <f>(Cotacoes!U106-Cotacoes!U105)/Cotacoes!U105</f>
        <v>-1.928268414963363E-2</v>
      </c>
      <c r="V106" s="5">
        <f>(Cotacoes!V106-Cotacoes!V105)/Cotacoes!V105</f>
        <v>7.4895146794487708E-3</v>
      </c>
      <c r="W106" s="5"/>
    </row>
    <row r="107" spans="1:23" x14ac:dyDescent="0.2">
      <c r="A107" s="4">
        <v>44715</v>
      </c>
      <c r="B107" s="5">
        <f>(Cotacoes!B107-Cotacoes!B106)/Cotacoes!B106</f>
        <v>-1.2118018967334094E-2</v>
      </c>
      <c r="C107" s="5">
        <f>(Cotacoes!C107-Cotacoes!C106)/Cotacoes!C106</f>
        <v>-1.6110134739308644E-2</v>
      </c>
      <c r="D107" s="5">
        <f>(Cotacoes!D107-Cotacoes!D106)/Cotacoes!D106</f>
        <v>1.8031555221637883E-2</v>
      </c>
      <c r="E107" s="5">
        <f>(Cotacoes!E107-Cotacoes!E106)/Cotacoes!E106</f>
        <v>-9.3312597200621936E-3</v>
      </c>
      <c r="F107" s="5">
        <f>(Cotacoes!F107-Cotacoes!F106)/Cotacoes!F106</f>
        <v>2.5982256020278958E-2</v>
      </c>
      <c r="G107" s="5">
        <f>(Cotacoes!G107-Cotacoes!G106)/Cotacoes!G106</f>
        <v>-1.5694164989939662E-2</v>
      </c>
      <c r="H107" s="5">
        <f>(Cotacoes!H107-Cotacoes!H106)/Cotacoes!H106</f>
        <v>-1.4184397163120517E-2</v>
      </c>
      <c r="I107" s="5">
        <f>(Cotacoes!I107-Cotacoes!I106)/Cotacoes!I106</f>
        <v>-3.1729785056294653E-2</v>
      </c>
      <c r="J107" s="5">
        <f>(Cotacoes!J107-Cotacoes!J106)/Cotacoes!J106</f>
        <v>5.2276192550642997E-3</v>
      </c>
      <c r="K107" s="5">
        <f>(Cotacoes!K107-Cotacoes!K106)/Cotacoes!K106</f>
        <v>-5.6818181818181733E-3</v>
      </c>
      <c r="L107" s="5">
        <f>(Cotacoes!L107-Cotacoes!L106)/Cotacoes!L106</f>
        <v>-1.7079419299743898E-2</v>
      </c>
      <c r="M107" s="5">
        <f>(Cotacoes!M107-Cotacoes!M106)/Cotacoes!M106</f>
        <v>-2.508361204013473E-3</v>
      </c>
      <c r="N107" s="5">
        <f>(Cotacoes!N107-Cotacoes!N106)/Cotacoes!N106</f>
        <v>-1.4492753623188383E-2</v>
      </c>
      <c r="O107" s="5">
        <f>(Cotacoes!O107-Cotacoes!O106)/Cotacoes!O106</f>
        <v>-2.4438202247191138E-2</v>
      </c>
      <c r="P107" s="5">
        <f>(Cotacoes!P107-Cotacoes!P106)/Cotacoes!P106</f>
        <v>-2.4812030075187973E-2</v>
      </c>
      <c r="Q107" s="5">
        <f>(Cotacoes!Q107-Cotacoes!Q106)/Cotacoes!Q106</f>
        <v>-2.2110552763819125E-2</v>
      </c>
      <c r="R107" s="5">
        <f>(Cotacoes!R107-Cotacoes!R106)/Cotacoes!R106</f>
        <v>-3.854389721627418E-2</v>
      </c>
      <c r="S107" s="5">
        <f>(Cotacoes!S107-Cotacoes!S106)/Cotacoes!S106</f>
        <v>7.4999999999999884E-3</v>
      </c>
      <c r="T107" s="5">
        <f>(Cotacoes!T107-Cotacoes!T106)/Cotacoes!T106</f>
        <v>-3.071553228621288E-2</v>
      </c>
      <c r="U107" s="5">
        <f>(Cotacoes!U107-Cotacoes!U106)/Cotacoes!U106</f>
        <v>-2.8706252457727111E-2</v>
      </c>
      <c r="V107" s="5">
        <f>(Cotacoes!V107-Cotacoes!V106)/Cotacoes!V106</f>
        <v>-4.430567945286952E-2</v>
      </c>
      <c r="W107" s="5"/>
    </row>
    <row r="108" spans="1:23" x14ac:dyDescent="0.2">
      <c r="A108" s="4">
        <v>44718</v>
      </c>
      <c r="B108" s="5">
        <f>(Cotacoes!B108-Cotacoes!B107)/Cotacoes!B107</f>
        <v>-1.0133333333333364E-2</v>
      </c>
      <c r="C108" s="5">
        <f>(Cotacoes!C108-Cotacoes!C107)/Cotacoes!C107</f>
        <v>1.0419767788031136E-3</v>
      </c>
      <c r="D108" s="5">
        <f>(Cotacoes!D108-Cotacoes!D107)/Cotacoes!D107</f>
        <v>7.38007380073785E-4</v>
      </c>
      <c r="E108" s="5">
        <f>(Cotacoes!E108-Cotacoes!E107)/Cotacoes!E107</f>
        <v>-3.6630036630036782E-3</v>
      </c>
      <c r="F108" s="5">
        <f>(Cotacoes!F108-Cotacoes!F107)/Cotacoes!F107</f>
        <v>-6.1766522544790382E-4</v>
      </c>
      <c r="G108" s="5">
        <f>(Cotacoes!G108-Cotacoes!G107)/Cotacoes!G107</f>
        <v>2.4529844644316729E-3</v>
      </c>
      <c r="H108" s="5">
        <f>(Cotacoes!H108-Cotacoes!H107)/Cotacoes!H107</f>
        <v>-1.2230215827338124E-2</v>
      </c>
      <c r="I108" s="5">
        <f>(Cotacoes!I108-Cotacoes!I107)/Cotacoes!I107</f>
        <v>-1.3213530655392246E-3</v>
      </c>
      <c r="J108" s="5">
        <f>(Cotacoes!J108-Cotacoes!J107)/Cotacoes!J107</f>
        <v>-1.6468039003250227E-2</v>
      </c>
      <c r="K108" s="5">
        <f>(Cotacoes!K108-Cotacoes!K107)/Cotacoes!K107</f>
        <v>6.3492063492062137E-4</v>
      </c>
      <c r="L108" s="5">
        <f>(Cotacoes!L108-Cotacoes!L107)/Cotacoes!L107</f>
        <v>-3.0408340573414391E-2</v>
      </c>
      <c r="M108" s="5">
        <f>(Cotacoes!M108-Cotacoes!M107)/Cotacoes!M107</f>
        <v>-2.5146689019278591E-3</v>
      </c>
      <c r="N108" s="5">
        <f>(Cotacoes!N108-Cotacoes!N107)/Cotacoes!N107</f>
        <v>4.9019607843137662E-3</v>
      </c>
      <c r="O108" s="5">
        <f>(Cotacoes!O108-Cotacoes!O107)/Cotacoes!O107</f>
        <v>-6.9104520587386954E-3</v>
      </c>
      <c r="P108" s="5">
        <f>(Cotacoes!P108-Cotacoes!P107)/Cotacoes!P107</f>
        <v>1.1565150346954401E-2</v>
      </c>
      <c r="Q108" s="5">
        <f>(Cotacoes!Q108-Cotacoes!Q107)/Cotacoes!Q107</f>
        <v>1.1099691675231227E-2</v>
      </c>
      <c r="R108" s="5">
        <f>(Cotacoes!R108-Cotacoes!R107)/Cotacoes!R107</f>
        <v>-3.0289532293986624E-2</v>
      </c>
      <c r="S108" s="5">
        <f>(Cotacoes!S108-Cotacoes!S107)/Cotacoes!S107</f>
        <v>1.2406947890819329E-3</v>
      </c>
      <c r="T108" s="5">
        <f>(Cotacoes!T108-Cotacoes!T107)/Cotacoes!T107</f>
        <v>-2.7007562117392872E-2</v>
      </c>
      <c r="U108" s="5">
        <f>(Cotacoes!U108-Cotacoes!U107)/Cotacoes!U107</f>
        <v>-2.4898785425101152E-2</v>
      </c>
      <c r="V108" s="5">
        <f>(Cotacoes!V108-Cotacoes!V107)/Cotacoes!V107</f>
        <v>-2.5202240199128881E-2</v>
      </c>
      <c r="W108" s="5"/>
    </row>
    <row r="109" spans="1:23" x14ac:dyDescent="0.2">
      <c r="A109" s="4">
        <v>44719</v>
      </c>
      <c r="B109" s="5">
        <f>(Cotacoes!B109-Cotacoes!B108)/Cotacoes!B108</f>
        <v>5.0646551724137807E-3</v>
      </c>
      <c r="C109" s="5">
        <f>(Cotacoes!C109-Cotacoes!C108)/Cotacoes!C108</f>
        <v>2.3345724907063096E-2</v>
      </c>
      <c r="D109" s="5">
        <f>(Cotacoes!D109-Cotacoes!D108)/Cotacoes!D108</f>
        <v>1.1799410029498535E-2</v>
      </c>
      <c r="E109" s="5">
        <f>(Cotacoes!E109-Cotacoes!E108)/Cotacoes!E108</f>
        <v>0</v>
      </c>
      <c r="F109" s="5">
        <f>(Cotacoes!F109-Cotacoes!F108)/Cotacoes!F108</f>
        <v>3.0902348578492407E-3</v>
      </c>
      <c r="G109" s="5">
        <f>(Cotacoes!G109-Cotacoes!G108)/Cotacoes!G108</f>
        <v>-1.2234910277325096E-3</v>
      </c>
      <c r="H109" s="5">
        <f>(Cotacoes!H109-Cotacoes!H108)/Cotacoes!H108</f>
        <v>-7.2833211944646498E-3</v>
      </c>
      <c r="I109" s="5">
        <f>(Cotacoes!I109-Cotacoes!I108)/Cotacoes!I108</f>
        <v>-2.38158242921398E-3</v>
      </c>
      <c r="J109" s="5">
        <f>(Cotacoes!J109-Cotacoes!J108)/Cotacoes!J108</f>
        <v>-1.4760960564000919E-2</v>
      </c>
      <c r="K109" s="5">
        <f>(Cotacoes!K109-Cotacoes!K108)/Cotacoes!K108</f>
        <v>-8.2487309644669413E-3</v>
      </c>
      <c r="L109" s="5">
        <f>(Cotacoes!L109-Cotacoes!L108)/Cotacoes!L108</f>
        <v>-3.2258064516128983E-2</v>
      </c>
      <c r="M109" s="5">
        <f>(Cotacoes!M109-Cotacoes!M108)/Cotacoes!M108</f>
        <v>-2.2689075630252065E-2</v>
      </c>
      <c r="N109" s="5">
        <f>(Cotacoes!N109-Cotacoes!N108)/Cotacoes!N108</f>
        <v>-1.1382113821138257E-2</v>
      </c>
      <c r="O109" s="5">
        <f>(Cotacoes!O109-Cotacoes!O108)/Cotacoes!O108</f>
        <v>1.6526529428819953E-2</v>
      </c>
      <c r="P109" s="5">
        <f>(Cotacoes!P109-Cotacoes!P108)/Cotacoes!P108</f>
        <v>-7.6219512195120328E-4</v>
      </c>
      <c r="Q109" s="5">
        <f>(Cotacoes!Q109-Cotacoes!Q108)/Cotacoes!Q108</f>
        <v>1.646676153689779E-2</v>
      </c>
      <c r="R109" s="5">
        <f>(Cotacoes!R109-Cotacoes!R108)/Cotacoes!R108</f>
        <v>-1.4239779513091352E-2</v>
      </c>
      <c r="S109" s="5">
        <f>(Cotacoes!S109-Cotacoes!S108)/Cotacoes!S108</f>
        <v>1.0739363899215117E-2</v>
      </c>
      <c r="T109" s="5">
        <f>(Cotacoes!T109-Cotacoes!T108)/Cotacoes!T108</f>
        <v>9.2524056254626209E-3</v>
      </c>
      <c r="U109" s="5">
        <f>(Cotacoes!U109-Cotacoes!U108)/Cotacoes!U108</f>
        <v>4.3595598920490109E-3</v>
      </c>
      <c r="V109" s="5">
        <f>(Cotacoes!V109-Cotacoes!V108)/Cotacoes!V108</f>
        <v>5.1069262687519993E-3</v>
      </c>
      <c r="W109" s="5"/>
    </row>
    <row r="110" spans="1:23" x14ac:dyDescent="0.2">
      <c r="A110" s="4">
        <v>44720</v>
      </c>
      <c r="B110" s="5">
        <f>(Cotacoes!B110-Cotacoes!B109)/Cotacoes!B109</f>
        <v>-1.8977163074943671E-2</v>
      </c>
      <c r="C110" s="5">
        <f>(Cotacoes!C110-Cotacoes!C109)/Cotacoes!C109</f>
        <v>-3.4437663469921401E-2</v>
      </c>
      <c r="D110" s="5">
        <f>(Cotacoes!D110-Cotacoes!D109)/Cotacoes!D109</f>
        <v>-5.102040816326551E-3</v>
      </c>
      <c r="E110" s="5">
        <f>(Cotacoes!E110-Cotacoes!E109)/Cotacoes!E109</f>
        <v>-1.8907563025210055E-2</v>
      </c>
      <c r="F110" s="5">
        <f>(Cotacoes!F110-Cotacoes!F109)/Cotacoes!F109</f>
        <v>-3.6968576709795883E-3</v>
      </c>
      <c r="G110" s="5">
        <f>(Cotacoes!G110-Cotacoes!G109)/Cotacoes!G109</f>
        <v>-5.9207839934667189E-2</v>
      </c>
      <c r="H110" s="5">
        <f>(Cotacoes!H110-Cotacoes!H109)/Cotacoes!H109</f>
        <v>-8.8041085840059423E-3</v>
      </c>
      <c r="I110" s="5">
        <f>(Cotacoes!I110-Cotacoes!I109)/Cotacoes!I109</f>
        <v>7.9575596816975364E-3</v>
      </c>
      <c r="J110" s="5">
        <f>(Cotacoes!J110-Cotacoes!J109)/Cotacoes!J109</f>
        <v>-1.2522361359570713E-2</v>
      </c>
      <c r="K110" s="5">
        <f>(Cotacoes!K110-Cotacoes!K109)/Cotacoes!K109</f>
        <v>-1.7914267434421056E-2</v>
      </c>
      <c r="L110" s="5">
        <f>(Cotacoes!L110-Cotacoes!L109)/Cotacoes!L109</f>
        <v>-8.3333333333333193E-3</v>
      </c>
      <c r="M110" s="5">
        <f>(Cotacoes!M110-Cotacoes!M109)/Cotacoes!M109</f>
        <v>2.5795356835769008E-3</v>
      </c>
      <c r="N110" s="5">
        <f>(Cotacoes!N110-Cotacoes!N109)/Cotacoes!N109</f>
        <v>-1.3157894736842117E-2</v>
      </c>
      <c r="O110" s="5">
        <f>(Cotacoes!O110-Cotacoes!O109)/Cotacoes!O109</f>
        <v>-1.226468910439246E-2</v>
      </c>
      <c r="P110" s="5">
        <f>(Cotacoes!P110-Cotacoes!P109)/Cotacoes!P109</f>
        <v>-7.6277650648359759E-3</v>
      </c>
      <c r="Q110" s="5">
        <f>(Cotacoes!Q110-Cotacoes!Q109)/Cotacoes!Q109</f>
        <v>-3.1800000000000071E-2</v>
      </c>
      <c r="R110" s="5">
        <f>(Cotacoes!R110-Cotacoes!R109)/Cotacoes!R109</f>
        <v>-1.491146318732527E-2</v>
      </c>
      <c r="S110" s="5">
        <f>(Cotacoes!S110-Cotacoes!S109)/Cotacoes!S109</f>
        <v>-1.2259910093991658E-3</v>
      </c>
      <c r="T110" s="5">
        <f>(Cotacoes!T110-Cotacoes!T109)/Cotacoes!T109</f>
        <v>1.7968463513018042E-2</v>
      </c>
      <c r="U110" s="5">
        <f>(Cotacoes!U110-Cotacoes!U109)/Cotacoes!U109</f>
        <v>-2.7904092600248065E-2</v>
      </c>
      <c r="V110" s="5">
        <f>(Cotacoes!V110-Cotacoes!V109)/Cotacoes!V109</f>
        <v>1.5878056525881459E-3</v>
      </c>
      <c r="W110" s="5"/>
    </row>
    <row r="111" spans="1:23" x14ac:dyDescent="0.2">
      <c r="A111" s="4">
        <v>44721</v>
      </c>
      <c r="B111" s="5">
        <f>(Cotacoes!B111-Cotacoes!B110)/Cotacoes!B110</f>
        <v>-8.3060109289618041E-3</v>
      </c>
      <c r="C111" s="5">
        <f>(Cotacoes!C111-Cotacoes!C110)/Cotacoes!C110</f>
        <v>-3.3709556057185987E-2</v>
      </c>
      <c r="D111" s="5">
        <f>(Cotacoes!D111-Cotacoes!D110)/Cotacoes!D110</f>
        <v>-1.465201465201473E-2</v>
      </c>
      <c r="E111" s="5">
        <f>(Cotacoes!E111-Cotacoes!E110)/Cotacoes!E110</f>
        <v>-1.7130620985010721E-2</v>
      </c>
      <c r="F111" s="5">
        <f>(Cotacoes!F111-Cotacoes!F110)/Cotacoes!F110</f>
        <v>-1.1750154607297543E-2</v>
      </c>
      <c r="G111" s="5">
        <f>(Cotacoes!G111-Cotacoes!G110)/Cotacoes!G110</f>
        <v>4.3402777777778396E-3</v>
      </c>
      <c r="H111" s="5">
        <f>(Cotacoes!H111-Cotacoes!H110)/Cotacoes!H110</f>
        <v>-1.4803849000739877E-3</v>
      </c>
      <c r="I111" s="5">
        <f>(Cotacoes!I111-Cotacoes!I110)/Cotacoes!I110</f>
        <v>2.1315789473684271E-2</v>
      </c>
      <c r="J111" s="5">
        <f>(Cotacoes!J111-Cotacoes!J110)/Cotacoes!J110</f>
        <v>-2.9438405797100422E-3</v>
      </c>
      <c r="K111" s="5">
        <f>(Cotacoes!K111-Cotacoes!K110)/Cotacoes!K110</f>
        <v>-6.5146579804558876E-4</v>
      </c>
      <c r="L111" s="5">
        <f>(Cotacoes!L111-Cotacoes!L110)/Cotacoes!L110</f>
        <v>1.4005602240896226E-2</v>
      </c>
      <c r="M111" s="5">
        <f>(Cotacoes!M111-Cotacoes!M110)/Cotacoes!M110</f>
        <v>-1.1149228130360274E-2</v>
      </c>
      <c r="N111" s="5">
        <f>(Cotacoes!N111-Cotacoes!N110)/Cotacoes!N110</f>
        <v>-1.4999999999999977E-2</v>
      </c>
      <c r="O111" s="5">
        <f>(Cotacoes!O111-Cotacoes!O110)/Cotacoes!O110</f>
        <v>3.4652035807102928E-3</v>
      </c>
      <c r="P111" s="5">
        <f>(Cotacoes!P111-Cotacoes!P110)/Cotacoes!P110</f>
        <v>-1.8447348193697172E-2</v>
      </c>
      <c r="Q111" s="5">
        <f>(Cotacoes!Q111-Cotacoes!Q110)/Cotacoes!Q110</f>
        <v>-1.363354678785368E-2</v>
      </c>
      <c r="R111" s="5">
        <f>(Cotacoes!R111-Cotacoes!R110)/Cotacoes!R110</f>
        <v>1.2298959318826774E-2</v>
      </c>
      <c r="S111" s="5">
        <f>(Cotacoes!S111-Cotacoes!S110)/Cotacoes!S110</f>
        <v>-9.41080196399347E-3</v>
      </c>
      <c r="T111" s="5">
        <f>(Cotacoes!T111-Cotacoes!T110)/Cotacoes!T110</f>
        <v>-2.0893371757925137E-2</v>
      </c>
      <c r="U111" s="5">
        <f>(Cotacoes!U111-Cotacoes!U110)/Cotacoes!U110</f>
        <v>1.6585158409525857E-2</v>
      </c>
      <c r="V111" s="5">
        <f>(Cotacoes!V111-Cotacoes!V110)/Cotacoes!V110</f>
        <v>1.9340519974635366E-2</v>
      </c>
      <c r="W111" s="5"/>
    </row>
    <row r="112" spans="1:23" x14ac:dyDescent="0.2">
      <c r="A112" s="4">
        <v>44722</v>
      </c>
      <c r="B112" s="5">
        <f>(Cotacoes!B112-Cotacoes!B111)/Cotacoes!B111</f>
        <v>-1.9175666740136599E-2</v>
      </c>
      <c r="C112" s="5">
        <f>(Cotacoes!C112-Cotacoes!C111)/Cotacoes!C111</f>
        <v>1.557389814671409E-4</v>
      </c>
      <c r="D112" s="5">
        <f>(Cotacoes!D112-Cotacoes!D111)/Cotacoes!D111</f>
        <v>-1.4126394052044574E-2</v>
      </c>
      <c r="E112" s="5">
        <f>(Cotacoes!E112-Cotacoes!E111)/Cotacoes!E111</f>
        <v>-2.2331154684095869E-2</v>
      </c>
      <c r="F112" s="5">
        <f>(Cotacoes!F112-Cotacoes!F111)/Cotacoes!F111</f>
        <v>-1.2515644555694684E-2</v>
      </c>
      <c r="G112" s="5">
        <f>(Cotacoes!G112-Cotacoes!G111)/Cotacoes!G111</f>
        <v>-2.1175453759723507E-2</v>
      </c>
      <c r="H112" s="5">
        <f>(Cotacoes!H112-Cotacoes!H111)/Cotacoes!H111</f>
        <v>-1.7049666419570082E-2</v>
      </c>
      <c r="I112" s="5">
        <f>(Cotacoes!I112-Cotacoes!I111)/Cotacoes!I111</f>
        <v>-4.7410461221334792E-2</v>
      </c>
      <c r="J112" s="5">
        <f>(Cotacoes!J112-Cotacoes!J111)/Cotacoes!J111</f>
        <v>-2.2257551669316464E-2</v>
      </c>
      <c r="K112" s="5">
        <f>(Cotacoes!K112-Cotacoes!K111)/Cotacoes!K111</f>
        <v>-1.4341590612777096E-2</v>
      </c>
      <c r="L112" s="5">
        <f>(Cotacoes!L112-Cotacoes!L111)/Cotacoes!L111</f>
        <v>-2.3941068139963148E-2</v>
      </c>
      <c r="M112" s="5">
        <f>(Cotacoes!M112-Cotacoes!M111)/Cotacoes!M111</f>
        <v>-1.7346053772766326E-3</v>
      </c>
      <c r="N112" s="5">
        <f>(Cotacoes!N112-Cotacoes!N111)/Cotacoes!N111</f>
        <v>-2.0304568527918801E-2</v>
      </c>
      <c r="O112" s="5">
        <f>(Cotacoes!O112-Cotacoes!O111)/Cotacoes!O111</f>
        <v>8.6330935251801829E-4</v>
      </c>
      <c r="P112" s="5">
        <f>(Cotacoes!P112-Cotacoes!P111)/Cotacoes!P111</f>
        <v>-5.7165231010180145E-2</v>
      </c>
      <c r="Q112" s="5">
        <f>(Cotacoes!Q112-Cotacoes!Q111)/Cotacoes!Q111</f>
        <v>-3.1413612565444728E-3</v>
      </c>
      <c r="R112" s="5">
        <f>(Cotacoes!R112-Cotacoes!R111)/Cotacoes!R111</f>
        <v>-3.3644859813084065E-2</v>
      </c>
      <c r="S112" s="5">
        <f>(Cotacoes!S112-Cotacoes!S111)/Cotacoes!S111</f>
        <v>-2.0652622883106449E-3</v>
      </c>
      <c r="T112" s="5">
        <f>(Cotacoes!T112-Cotacoes!T111)/Cotacoes!T111</f>
        <v>-4.4150110375276302E-3</v>
      </c>
      <c r="U112" s="5">
        <f>(Cotacoes!U112-Cotacoes!U111)/Cotacoes!U111</f>
        <v>-2.1543610123405169E-2</v>
      </c>
      <c r="V112" s="5">
        <f>(Cotacoes!V112-Cotacoes!V111)/Cotacoes!V111</f>
        <v>-2.3328149300155521E-2</v>
      </c>
      <c r="W112" s="5"/>
    </row>
    <row r="113" spans="1:23" x14ac:dyDescent="0.2">
      <c r="A113" s="4">
        <v>44725</v>
      </c>
      <c r="B113" s="5">
        <f>(Cotacoes!B113-Cotacoes!B112)/Cotacoes!B112</f>
        <v>-2.8089887640449437E-2</v>
      </c>
      <c r="C113" s="5">
        <f>(Cotacoes!C113-Cotacoes!C112)/Cotacoes!C112</f>
        <v>-3.1610090314543773E-2</v>
      </c>
      <c r="D113" s="5">
        <f>(Cotacoes!D113-Cotacoes!D112)/Cotacoes!D112</f>
        <v>-1.2820512820512815E-2</v>
      </c>
      <c r="E113" s="5">
        <f>(Cotacoes!E113-Cotacoes!E112)/Cotacoes!E112</f>
        <v>-1.1699164345403948E-2</v>
      </c>
      <c r="F113" s="5">
        <f>(Cotacoes!F113-Cotacoes!F112)/Cotacoes!F112</f>
        <v>-1.5209125475285185E-2</v>
      </c>
      <c r="G113" s="5">
        <f>(Cotacoes!G113-Cotacoes!G112)/Cotacoes!G112</f>
        <v>-7.5055187637968288E-3</v>
      </c>
      <c r="H113" s="5">
        <f>(Cotacoes!H113-Cotacoes!H112)/Cotacoes!H112</f>
        <v>-2.2624434389140191E-2</v>
      </c>
      <c r="I113" s="5">
        <f>(Cotacoes!I113-Cotacoes!I112)/Cotacoes!I112</f>
        <v>-2.190965647822565E-2</v>
      </c>
      <c r="J113" s="5">
        <f>(Cotacoes!J113-Cotacoes!J112)/Cotacoes!J112</f>
        <v>-2.299651567944239E-2</v>
      </c>
      <c r="K113" s="5">
        <f>(Cotacoes!K113-Cotacoes!K112)/Cotacoes!K112</f>
        <v>-1.5211640211640122E-2</v>
      </c>
      <c r="L113" s="5">
        <f>(Cotacoes!L113-Cotacoes!L112)/Cotacoes!L112</f>
        <v>-1.0377358490565985E-2</v>
      </c>
      <c r="M113" s="5">
        <f>(Cotacoes!M113-Cotacoes!M112)/Cotacoes!M112</f>
        <v>-1.9113814074717694E-2</v>
      </c>
      <c r="N113" s="5">
        <f>(Cotacoes!N113-Cotacoes!N112)/Cotacoes!N112</f>
        <v>-1.5544041450777177E-2</v>
      </c>
      <c r="O113" s="5">
        <f>(Cotacoes!O113-Cotacoes!O112)/Cotacoes!O112</f>
        <v>-4.1115583668775151E-2</v>
      </c>
      <c r="P113" s="5">
        <f>(Cotacoes!P113-Cotacoes!P112)/Cotacoes!P112</f>
        <v>-5.8139534883720874E-2</v>
      </c>
      <c r="Q113" s="5">
        <f>(Cotacoes!Q113-Cotacoes!Q112)/Cotacoes!Q112</f>
        <v>7.1428571428570654E-3</v>
      </c>
      <c r="R113" s="5">
        <f>(Cotacoes!R113-Cotacoes!R112)/Cotacoes!R112</f>
        <v>-3.0464216634429352E-2</v>
      </c>
      <c r="S113" s="5">
        <f>(Cotacoes!S113-Cotacoes!S112)/Cotacoes!S112</f>
        <v>-2.6490066225165587E-2</v>
      </c>
      <c r="T113" s="5">
        <f>(Cotacoes!T113-Cotacoes!T112)/Cotacoes!T112</f>
        <v>-3.9541759053954191E-2</v>
      </c>
      <c r="U113" s="5">
        <f>(Cotacoes!U113-Cotacoes!U112)/Cotacoes!U112</f>
        <v>-5.5793073963232138E-2</v>
      </c>
      <c r="V113" s="5">
        <f>(Cotacoes!V113-Cotacoes!V112)/Cotacoes!V112</f>
        <v>-3.566878980891712E-2</v>
      </c>
      <c r="W113" s="5"/>
    </row>
    <row r="114" spans="1:23" x14ac:dyDescent="0.2">
      <c r="A114" s="4">
        <v>44726</v>
      </c>
      <c r="B114" s="5">
        <f>(Cotacoes!B114-Cotacoes!B113)/Cotacoes!B113</f>
        <v>-3.9306358381503287E-3</v>
      </c>
      <c r="C114" s="5">
        <f>(Cotacoes!C114-Cotacoes!C113)/Cotacoes!C113</f>
        <v>-2.0903682264028856E-3</v>
      </c>
      <c r="D114" s="5">
        <f>(Cotacoes!D114-Cotacoes!D113)/Cotacoes!D113</f>
        <v>1.1459129106187956E-2</v>
      </c>
      <c r="E114" s="5">
        <f>(Cotacoes!E114-Cotacoes!E113)/Cotacoes!E113</f>
        <v>-6.7643742953775341E-3</v>
      </c>
      <c r="F114" s="5">
        <f>(Cotacoes!F114-Cotacoes!F113)/Cotacoes!F113</f>
        <v>9.0090090090090454E-3</v>
      </c>
      <c r="G114" s="5">
        <f>(Cotacoes!G114-Cotacoes!G113)/Cotacoes!G113</f>
        <v>1.7793594306049758E-2</v>
      </c>
      <c r="H114" s="5">
        <f>(Cotacoes!H114-Cotacoes!H113)/Cotacoes!H113</f>
        <v>-7.7160493827172546E-4</v>
      </c>
      <c r="I114" s="5">
        <f>(Cotacoes!I114-Cotacoes!I113)/Cotacoes!I113</f>
        <v>3.3738938053097516E-2</v>
      </c>
      <c r="J114" s="5">
        <f>(Cotacoes!J114-Cotacoes!J113)/Cotacoes!J113</f>
        <v>7.1326676176892859E-4</v>
      </c>
      <c r="K114" s="5">
        <f>(Cotacoes!K114-Cotacoes!K113)/Cotacoes!K113</f>
        <v>-1.0073875083948983E-2</v>
      </c>
      <c r="L114" s="5">
        <f>(Cotacoes!L114-Cotacoes!L113)/Cotacoes!L113</f>
        <v>-4.7664442326025465E-3</v>
      </c>
      <c r="M114" s="5">
        <f>(Cotacoes!M114-Cotacoes!M113)/Cotacoes!M113</f>
        <v>-1.3286093888396687E-2</v>
      </c>
      <c r="N114" s="5">
        <f>(Cotacoes!N114-Cotacoes!N113)/Cotacoes!N113</f>
        <v>-3.5087719298246421E-3</v>
      </c>
      <c r="O114" s="5">
        <f>(Cotacoes!O114-Cotacoes!O113)/Cotacoes!O113</f>
        <v>-1.0494752623688198E-2</v>
      </c>
      <c r="P114" s="5">
        <f>(Cotacoes!P114-Cotacoes!P113)/Cotacoes!P113</f>
        <v>-5.2910052910053349E-3</v>
      </c>
      <c r="Q114" s="5">
        <f>(Cotacoes!Q114-Cotacoes!Q113)/Cotacoes!Q113</f>
        <v>-2.6074259491030455E-2</v>
      </c>
      <c r="R114" s="5">
        <f>(Cotacoes!R114-Cotacoes!R113)/Cotacoes!R113</f>
        <v>1.9950124688278875E-3</v>
      </c>
      <c r="S114" s="5">
        <f>(Cotacoes!S114-Cotacoes!S113)/Cotacoes!S113</f>
        <v>-4.6768707482992954E-3</v>
      </c>
      <c r="T114" s="5">
        <f>(Cotacoes!T114-Cotacoes!T113)/Cotacoes!T113</f>
        <v>-1.5005771450557794E-2</v>
      </c>
      <c r="U114" s="5">
        <f>(Cotacoes!U114-Cotacoes!U113)/Cotacoes!U113</f>
        <v>6.3391442155309287E-3</v>
      </c>
      <c r="V114" s="5">
        <f>(Cotacoes!V114-Cotacoes!V113)/Cotacoes!V113</f>
        <v>-1.9815059445179085E-3</v>
      </c>
      <c r="W114" s="5"/>
    </row>
    <row r="115" spans="1:23" x14ac:dyDescent="0.2">
      <c r="A115" s="4">
        <v>44727</v>
      </c>
      <c r="B115" s="5">
        <f>(Cotacoes!B115-Cotacoes!B114)/Cotacoes!B114</f>
        <v>1.4740018570102254E-2</v>
      </c>
      <c r="C115" s="5">
        <f>(Cotacoes!C115-Cotacoes!C114)/Cotacoes!C114</f>
        <v>-4.8340315823398541E-4</v>
      </c>
      <c r="D115" s="5">
        <f>(Cotacoes!D115-Cotacoes!D114)/Cotacoes!D114</f>
        <v>-1.7371601208459247E-2</v>
      </c>
      <c r="E115" s="5">
        <f>(Cotacoes!E115-Cotacoes!E114)/Cotacoes!E114</f>
        <v>3.972758229284919E-3</v>
      </c>
      <c r="F115" s="5">
        <f>(Cotacoes!F115-Cotacoes!F114)/Cotacoes!F114</f>
        <v>-1.3392857142857085E-2</v>
      </c>
      <c r="G115" s="5">
        <f>(Cotacoes!G115-Cotacoes!G114)/Cotacoes!G114</f>
        <v>-1.0052447552447571E-2</v>
      </c>
      <c r="H115" s="5">
        <f>(Cotacoes!H115-Cotacoes!H114)/Cotacoes!H114</f>
        <v>1.6216216216216283E-2</v>
      </c>
      <c r="I115" s="5">
        <f>(Cotacoes!I115-Cotacoes!I114)/Cotacoes!I114</f>
        <v>2.7822364901016562E-2</v>
      </c>
      <c r="J115" s="5">
        <f>(Cotacoes!J115-Cotacoes!J114)/Cotacoes!J114</f>
        <v>1.2116892373485341E-2</v>
      </c>
      <c r="K115" s="5">
        <f>(Cotacoes!K115-Cotacoes!K114)/Cotacoes!K114</f>
        <v>7.4626865671641408E-3</v>
      </c>
      <c r="L115" s="5">
        <f>(Cotacoes!L115-Cotacoes!L114)/Cotacoes!L114</f>
        <v>1.0536398467433067E-2</v>
      </c>
      <c r="M115" s="5">
        <f>(Cotacoes!M115-Cotacoes!M114)/Cotacoes!M114</f>
        <v>-7.1813285457809758E-3</v>
      </c>
      <c r="N115" s="5">
        <f>(Cotacoes!N115-Cotacoes!N114)/Cotacoes!N114</f>
        <v>8.802816901408576E-3</v>
      </c>
      <c r="O115" s="5">
        <f>(Cotacoes!O115-Cotacoes!O114)/Cotacoes!O114</f>
        <v>6.6666666666666324E-3</v>
      </c>
      <c r="P115" s="5">
        <f>(Cotacoes!P115-Cotacoes!P114)/Cotacoes!P114</f>
        <v>2.5709219858156111E-2</v>
      </c>
      <c r="Q115" s="5">
        <f>(Cotacoes!Q115-Cotacoes!Q114)/Cotacoes!Q114</f>
        <v>-1.1565645748554277E-2</v>
      </c>
      <c r="R115" s="5">
        <f>(Cotacoes!R115-Cotacoes!R114)/Cotacoes!R114</f>
        <v>2.9865604778496837E-2</v>
      </c>
      <c r="S115" s="5">
        <f>(Cotacoes!S115-Cotacoes!S114)/Cotacoes!S114</f>
        <v>3.8445108927808565E-2</v>
      </c>
      <c r="T115" s="5">
        <f>(Cotacoes!T115-Cotacoes!T114)/Cotacoes!T114</f>
        <v>-1.48437500000001E-2</v>
      </c>
      <c r="U115" s="5">
        <f>(Cotacoes!U115-Cotacoes!U114)/Cotacoes!U114</f>
        <v>4.791901012373443E-2</v>
      </c>
      <c r="V115" s="5">
        <f>(Cotacoes!V115-Cotacoes!V114)/Cotacoes!V114</f>
        <v>-7.9417604235605052E-3</v>
      </c>
      <c r="W115" s="5"/>
    </row>
    <row r="116" spans="1:23" x14ac:dyDescent="0.2">
      <c r="A116" s="4">
        <v>44729</v>
      </c>
      <c r="B116" s="5">
        <f>(Cotacoes!B116-Cotacoes!B115)/Cotacoes!B115</f>
        <v>-3.5342559762095424E-2</v>
      </c>
      <c r="C116" s="5">
        <f>(Cotacoes!C116-Cotacoes!C115)/Cotacoes!C115</f>
        <v>-5.2232790585200743E-2</v>
      </c>
      <c r="D116" s="5">
        <f>(Cotacoes!D116-Cotacoes!D115)/Cotacoes!D115</f>
        <v>-6.0722521137586409E-2</v>
      </c>
      <c r="E116" s="5">
        <f>(Cotacoes!E116-Cotacoes!E115)/Cotacoes!E115</f>
        <v>-1.2436404748445585E-2</v>
      </c>
      <c r="F116" s="5">
        <f>(Cotacoes!F116-Cotacoes!F115)/Cotacoes!F115</f>
        <v>-7.2398190045248931E-2</v>
      </c>
      <c r="G116" s="5">
        <f>(Cotacoes!G116-Cotacoes!G115)/Cotacoes!G115</f>
        <v>-4.900662251655627E-2</v>
      </c>
      <c r="H116" s="5">
        <f>(Cotacoes!H116-Cotacoes!H115)/Cotacoes!H115</f>
        <v>2.2796352583586139E-3</v>
      </c>
      <c r="I116" s="5">
        <f>(Cotacoes!I116-Cotacoes!I115)/Cotacoes!I115</f>
        <v>6.7673086933888078E-3</v>
      </c>
      <c r="J116" s="5">
        <f>(Cotacoes!J116-Cotacoes!J115)/Cotacoes!J115</f>
        <v>-3.4507042253521102E-2</v>
      </c>
      <c r="K116" s="5">
        <f>(Cotacoes!K116-Cotacoes!K115)/Cotacoes!K115</f>
        <v>-1.5488215488215518E-2</v>
      </c>
      <c r="L116" s="5">
        <f>(Cotacoes!L116-Cotacoes!L115)/Cotacoes!L115</f>
        <v>-1.4218009478673018E-2</v>
      </c>
      <c r="M116" s="5">
        <f>(Cotacoes!M116-Cotacoes!M115)/Cotacoes!M115</f>
        <v>-1.8083182640145886E-3</v>
      </c>
      <c r="N116" s="5">
        <f>(Cotacoes!N116-Cotacoes!N115)/Cotacoes!N115</f>
        <v>-1.9197207678883128E-2</v>
      </c>
      <c r="O116" s="5">
        <f>(Cotacoes!O116-Cotacoes!O115)/Cotacoes!O115</f>
        <v>-1.4449127031908395E-2</v>
      </c>
      <c r="P116" s="5">
        <f>(Cotacoes!P116-Cotacoes!P115)/Cotacoes!P115</f>
        <v>0</v>
      </c>
      <c r="Q116" s="5">
        <f>(Cotacoes!Q116-Cotacoes!Q115)/Cotacoes!Q115</f>
        <v>-2.0368364030335814E-2</v>
      </c>
      <c r="R116" s="5">
        <f>(Cotacoes!R116-Cotacoes!R115)/Cotacoes!R115</f>
        <v>-4.398260028999517E-2</v>
      </c>
      <c r="S116" s="5">
        <f>(Cotacoes!S116-Cotacoes!S115)/Cotacoes!S115</f>
        <v>-6.1703002879472885E-3</v>
      </c>
      <c r="T116" s="5">
        <f>(Cotacoes!T116-Cotacoes!T115)/Cotacoes!T115</f>
        <v>-8.8025376685170464E-2</v>
      </c>
      <c r="U116" s="5">
        <f>(Cotacoes!U116-Cotacoes!U115)/Cotacoes!U115</f>
        <v>-2.2327179046801184E-2</v>
      </c>
      <c r="V116" s="5">
        <f>(Cotacoes!V116-Cotacoes!V115)/Cotacoes!V115</f>
        <v>-4.93662441627752E-2</v>
      </c>
      <c r="W116" s="5"/>
    </row>
    <row r="117" spans="1:23" x14ac:dyDescent="0.2">
      <c r="A117" s="4">
        <v>44732</v>
      </c>
      <c r="B117" s="5">
        <f>(Cotacoes!B117-Cotacoes!B116)/Cotacoes!B116</f>
        <v>-3.5570310647380999E-4</v>
      </c>
      <c r="C117" s="5">
        <f>(Cotacoes!C117-Cotacoes!C116)/Cotacoes!C116</f>
        <v>-2.466405851335254E-2</v>
      </c>
      <c r="D117" s="5">
        <f>(Cotacoes!D117-Cotacoes!D116)/Cotacoes!D116</f>
        <v>1.1456628477904974E-2</v>
      </c>
      <c r="E117" s="5">
        <f>(Cotacoes!E117-Cotacoes!E116)/Cotacoes!E116</f>
        <v>4.3503148254150061E-2</v>
      </c>
      <c r="F117" s="5">
        <f>(Cotacoes!F117-Cotacoes!F116)/Cotacoes!F116</f>
        <v>8.3623693379791635E-3</v>
      </c>
      <c r="G117" s="5">
        <f>(Cotacoes!G117-Cotacoes!G116)/Cotacoes!G116</f>
        <v>5.5710306406685207E-2</v>
      </c>
      <c r="H117" s="5">
        <f>(Cotacoes!H117-Cotacoes!H116)/Cotacoes!H116</f>
        <v>7.5815011372251436E-3</v>
      </c>
      <c r="I117" s="5">
        <f>(Cotacoes!I117-Cotacoes!I116)/Cotacoes!I116</f>
        <v>1.7580144777662867E-2</v>
      </c>
      <c r="J117" s="5">
        <f>(Cotacoes!J117-Cotacoes!J116)/Cotacoes!J116</f>
        <v>1.2156576707998336E-3</v>
      </c>
      <c r="K117" s="5">
        <f>(Cotacoes!K117-Cotacoes!K116)/Cotacoes!K116</f>
        <v>2.599179206566353E-2</v>
      </c>
      <c r="L117" s="5">
        <f>(Cotacoes!L117-Cotacoes!L116)/Cotacoes!L116</f>
        <v>9.6153846153845812E-3</v>
      </c>
      <c r="M117" s="5">
        <f>(Cotacoes!M117-Cotacoes!M116)/Cotacoes!M116</f>
        <v>1.811594202898673E-3</v>
      </c>
      <c r="N117" s="5">
        <f>(Cotacoes!N117-Cotacoes!N116)/Cotacoes!N116</f>
        <v>3.2028469750889625E-2</v>
      </c>
      <c r="O117" s="5">
        <f>(Cotacoes!O117-Cotacoes!O116)/Cotacoes!O116</f>
        <v>-1.5271838729384319E-3</v>
      </c>
      <c r="P117" s="5">
        <f>(Cotacoes!P117-Cotacoes!P116)/Cotacoes!P116</f>
        <v>-2.2471910112359533E-2</v>
      </c>
      <c r="Q117" s="5">
        <f>(Cotacoes!Q117-Cotacoes!Q116)/Cotacoes!Q116</f>
        <v>-1.5483300154833064E-3</v>
      </c>
      <c r="R117" s="5">
        <f>(Cotacoes!R117-Cotacoes!R116)/Cotacoes!R116</f>
        <v>-2.5278058645096415E-3</v>
      </c>
      <c r="S117" s="5">
        <f>(Cotacoes!S117-Cotacoes!S116)/Cotacoes!S116</f>
        <v>-2.0695364238410888E-3</v>
      </c>
      <c r="T117" s="5">
        <f>(Cotacoes!T117-Cotacoes!T116)/Cotacoes!T116</f>
        <v>-8.6956521739130124E-3</v>
      </c>
      <c r="U117" s="5">
        <f>(Cotacoes!U117-Cotacoes!U116)/Cotacoes!U116</f>
        <v>-9.6618357487922215E-3</v>
      </c>
      <c r="V117" s="5">
        <f>(Cotacoes!V117-Cotacoes!V116)/Cotacoes!V116</f>
        <v>-1.6140350877193014E-2</v>
      </c>
      <c r="W117" s="5"/>
    </row>
    <row r="118" spans="1:23" x14ac:dyDescent="0.2">
      <c r="A118" s="4">
        <v>44733</v>
      </c>
      <c r="B118" s="5">
        <f>(Cotacoes!B118-Cotacoes!B117)/Cotacoes!B117</f>
        <v>-2.0163681651049897E-3</v>
      </c>
      <c r="C118" s="5">
        <f>(Cotacoes!C118-Cotacoes!C117)/Cotacoes!C117</f>
        <v>6.6271363794906772E-3</v>
      </c>
      <c r="D118" s="5">
        <f>(Cotacoes!D118-Cotacoes!D117)/Cotacoes!D117</f>
        <v>-2.0226537216828482E-2</v>
      </c>
      <c r="E118" s="5">
        <f>(Cotacoes!E118-Cotacoes!E117)/Cotacoes!E117</f>
        <v>-1.0422380691168473E-2</v>
      </c>
      <c r="F118" s="5">
        <f>(Cotacoes!F118-Cotacoes!F117)/Cotacoes!F117</f>
        <v>-1.03662750518314E-2</v>
      </c>
      <c r="G118" s="5">
        <f>(Cotacoes!G118-Cotacoes!G117)/Cotacoes!G117</f>
        <v>5.0131926121372059E-2</v>
      </c>
      <c r="H118" s="5">
        <f>(Cotacoes!H118-Cotacoes!H117)/Cotacoes!H117</f>
        <v>-4.1384499623777202E-2</v>
      </c>
      <c r="I118" s="5">
        <f>(Cotacoes!I118-Cotacoes!I117)/Cotacoes!I117</f>
        <v>8.1300813008130159E-3</v>
      </c>
      <c r="J118" s="5">
        <f>(Cotacoes!J118-Cotacoes!J117)/Cotacoes!J117</f>
        <v>-1.8941233608547867E-2</v>
      </c>
      <c r="K118" s="5">
        <f>(Cotacoes!K118-Cotacoes!K117)/Cotacoes!K117</f>
        <v>-8.6666666666667183E-3</v>
      </c>
      <c r="L118" s="5">
        <f>(Cotacoes!L118-Cotacoes!L117)/Cotacoes!L117</f>
        <v>-5.714285714285762E-3</v>
      </c>
      <c r="M118" s="5">
        <f>(Cotacoes!M118-Cotacoes!M117)/Cotacoes!M117</f>
        <v>9.0415913200723001E-3</v>
      </c>
      <c r="N118" s="5">
        <f>(Cotacoes!N118-Cotacoes!N117)/Cotacoes!N117</f>
        <v>-8.6206896551723842E-3</v>
      </c>
      <c r="O118" s="5">
        <f>(Cotacoes!O118-Cotacoes!O117)/Cotacoes!O117</f>
        <v>-9.4830223309879218E-3</v>
      </c>
      <c r="P118" s="5">
        <f>(Cotacoes!P118-Cotacoes!P117)/Cotacoes!P117</f>
        <v>3.0946065428824016E-2</v>
      </c>
      <c r="Q118" s="5">
        <f>(Cotacoes!Q118-Cotacoes!Q117)/Cotacoes!Q117</f>
        <v>-7.753655294638933E-3</v>
      </c>
      <c r="R118" s="5">
        <f>(Cotacoes!R118-Cotacoes!R117)/Cotacoes!R117</f>
        <v>1.0643689812468365E-2</v>
      </c>
      <c r="S118" s="5">
        <f>(Cotacoes!S118-Cotacoes!S117)/Cotacoes!S117</f>
        <v>-1.3272501036914155E-2</v>
      </c>
      <c r="T118" s="5">
        <f>(Cotacoes!T118-Cotacoes!T117)/Cotacoes!T117</f>
        <v>-4.824561403508747E-3</v>
      </c>
      <c r="U118" s="5">
        <f>(Cotacoes!U118-Cotacoes!U117)/Cotacoes!U117</f>
        <v>-4.2128603104213931E-3</v>
      </c>
      <c r="V118" s="5">
        <f>(Cotacoes!V118-Cotacoes!V117)/Cotacoes!V117</f>
        <v>2.1041369472182592E-2</v>
      </c>
      <c r="W118" s="5"/>
    </row>
    <row r="119" spans="1:23" x14ac:dyDescent="0.2">
      <c r="A119" s="4">
        <v>44734</v>
      </c>
      <c r="B119" s="5">
        <f>(Cotacoes!B119-Cotacoes!B118)/Cotacoes!B118</f>
        <v>-1.0696458283813099E-3</v>
      </c>
      <c r="C119" s="5">
        <f>(Cotacoes!C119-Cotacoes!C118)/Cotacoes!C118</f>
        <v>-8.4892584892585238E-3</v>
      </c>
      <c r="D119" s="5">
        <f>(Cotacoes!D119-Cotacoes!D118)/Cotacoes!D118</f>
        <v>-3.303055326176643E-3</v>
      </c>
      <c r="E119" s="5">
        <f>(Cotacoes!E119-Cotacoes!E118)/Cotacoes!E118</f>
        <v>-7.7605321507760849E-3</v>
      </c>
      <c r="F119" s="5">
        <f>(Cotacoes!F119-Cotacoes!F118)/Cotacoes!F118</f>
        <v>-4.888268156424601E-3</v>
      </c>
      <c r="G119" s="5">
        <f>(Cotacoes!G119-Cotacoes!G118)/Cotacoes!G118</f>
        <v>1.9262981574539401E-2</v>
      </c>
      <c r="H119" s="5">
        <f>(Cotacoes!H119-Cotacoes!H118)/Cotacoes!H118</f>
        <v>-3.1397174254317838E-3</v>
      </c>
      <c r="I119" s="5">
        <f>(Cotacoes!I119-Cotacoes!I118)/Cotacoes!I118</f>
        <v>1.0836693548387089E-2</v>
      </c>
      <c r="J119" s="5">
        <f>(Cotacoes!J119-Cotacoes!J118)/Cotacoes!J118</f>
        <v>2.7722772277227838E-2</v>
      </c>
      <c r="K119" s="5">
        <f>(Cotacoes!K119-Cotacoes!K118)/Cotacoes!K118</f>
        <v>-4.0349697377268815E-3</v>
      </c>
      <c r="L119" s="5">
        <f>(Cotacoes!L119-Cotacoes!L118)/Cotacoes!L118</f>
        <v>1.4367816091954057E-2</v>
      </c>
      <c r="M119" s="5">
        <f>(Cotacoes!M119-Cotacoes!M118)/Cotacoes!M118</f>
        <v>9.8566308243727089E-3</v>
      </c>
      <c r="N119" s="5">
        <f>(Cotacoes!N119-Cotacoes!N118)/Cotacoes!N118</f>
        <v>3.4782608695651434E-3</v>
      </c>
      <c r="O119" s="5">
        <f>(Cotacoes!O119-Cotacoes!O118)/Cotacoes!O118</f>
        <v>1.6059295861642866E-2</v>
      </c>
      <c r="P119" s="5">
        <f>(Cotacoes!P119-Cotacoes!P118)/Cotacoes!P118</f>
        <v>1.5437392795883338E-2</v>
      </c>
      <c r="Q119" s="5">
        <f>(Cotacoes!Q119-Cotacoes!Q118)/Cotacoes!Q118</f>
        <v>-3.1033712882339821E-2</v>
      </c>
      <c r="R119" s="5">
        <f>(Cotacoes!R119-Cotacoes!R118)/Cotacoes!R118</f>
        <v>5.5165496489468294E-2</v>
      </c>
      <c r="S119" s="5">
        <f>(Cotacoes!S119-Cotacoes!S118)/Cotacoes!S118</f>
        <v>-1.1769651113913308E-2</v>
      </c>
      <c r="T119" s="5">
        <f>(Cotacoes!T119-Cotacoes!T118)/Cotacoes!T118</f>
        <v>-6.390480387836063E-2</v>
      </c>
      <c r="U119" s="5">
        <f>(Cotacoes!U119-Cotacoes!U118)/Cotacoes!U118</f>
        <v>1.5141393898909082E-2</v>
      </c>
      <c r="V119" s="5">
        <f>(Cotacoes!V119-Cotacoes!V118)/Cotacoes!V118</f>
        <v>-1.1526370939573814E-2</v>
      </c>
      <c r="W119" s="5"/>
    </row>
    <row r="120" spans="1:23" x14ac:dyDescent="0.2">
      <c r="A120" s="4">
        <v>44735</v>
      </c>
      <c r="B120" s="5">
        <f>(Cotacoes!B120-Cotacoes!B119)/Cotacoes!B119</f>
        <v>-1.6775728732897045E-2</v>
      </c>
      <c r="C120" s="5">
        <f>(Cotacoes!C120-Cotacoes!C119)/Cotacoes!C119</f>
        <v>-3.6519308055215735E-2</v>
      </c>
      <c r="D120" s="5">
        <f>(Cotacoes!D120-Cotacoes!D119)/Cotacoes!D119</f>
        <v>-1.8227009113504611E-2</v>
      </c>
      <c r="E120" s="5">
        <f>(Cotacoes!E120-Cotacoes!E119)/Cotacoes!E119</f>
        <v>-2.2905027932960904E-2</v>
      </c>
      <c r="F120" s="5">
        <f>(Cotacoes!F120-Cotacoes!F119)/Cotacoes!F119</f>
        <v>-2.105263157894742E-2</v>
      </c>
      <c r="G120" s="5">
        <f>(Cotacoes!G120-Cotacoes!G119)/Cotacoes!G119</f>
        <v>4.5193097781429511E-3</v>
      </c>
      <c r="H120" s="5">
        <f>(Cotacoes!H120-Cotacoes!H119)/Cotacoes!H119</f>
        <v>-7.086614173228336E-3</v>
      </c>
      <c r="I120" s="5">
        <f>(Cotacoes!I120-Cotacoes!I119)/Cotacoes!I119</f>
        <v>-1.4460234355522272E-2</v>
      </c>
      <c r="J120" s="5">
        <f>(Cotacoes!J120-Cotacoes!J119)/Cotacoes!J119</f>
        <v>-7.7071290944123374E-3</v>
      </c>
      <c r="K120" s="5">
        <f>(Cotacoes!K120-Cotacoes!K119)/Cotacoes!K119</f>
        <v>-2.6333558406482143E-2</v>
      </c>
      <c r="L120" s="5">
        <f>(Cotacoes!L120-Cotacoes!L119)/Cotacoes!L119</f>
        <v>-6.6100094428706594E-3</v>
      </c>
      <c r="M120" s="5">
        <f>(Cotacoes!M120-Cotacoes!M119)/Cotacoes!M119</f>
        <v>1.7746228926352773E-3</v>
      </c>
      <c r="N120" s="5">
        <f>(Cotacoes!N120-Cotacoes!N119)/Cotacoes!N119</f>
        <v>-2.0797227036395013E-2</v>
      </c>
      <c r="O120" s="5">
        <f>(Cotacoes!O120-Cotacoes!O119)/Cotacoes!O119</f>
        <v>-4.5592705167172825E-3</v>
      </c>
      <c r="P120" s="5">
        <f>(Cotacoes!P120-Cotacoes!P119)/Cotacoes!P119</f>
        <v>2.6182432432432474E-2</v>
      </c>
      <c r="Q120" s="5">
        <f>(Cotacoes!Q120-Cotacoes!Q119)/Cotacoes!Q119</f>
        <v>-3.1797235023041368E-2</v>
      </c>
      <c r="R120" s="5">
        <f>(Cotacoes!R120-Cotacoes!R119)/Cotacoes!R119</f>
        <v>-1.3307984790874411E-2</v>
      </c>
      <c r="S120" s="5">
        <f>(Cotacoes!S120-Cotacoes!S119)/Cotacoes!S119</f>
        <v>-1.9991492981710011E-2</v>
      </c>
      <c r="T120" s="5">
        <f>(Cotacoes!T120-Cotacoes!T119)/Cotacoes!T119</f>
        <v>-3.7664783427495158E-2</v>
      </c>
      <c r="U120" s="5">
        <f>(Cotacoes!U120-Cotacoes!U119)/Cotacoes!U119</f>
        <v>9.431892958982226E-3</v>
      </c>
      <c r="V120" s="5">
        <f>(Cotacoes!V120-Cotacoes!V119)/Cotacoes!V119</f>
        <v>-1.0954063604240363E-2</v>
      </c>
      <c r="W120" s="5"/>
    </row>
    <row r="121" spans="1:23" x14ac:dyDescent="0.2">
      <c r="A121" s="4">
        <v>44736</v>
      </c>
      <c r="B121" s="5">
        <f>(Cotacoes!B121-Cotacoes!B120)/Cotacoes!B120</f>
        <v>7.3814133591481052E-3</v>
      </c>
      <c r="C121" s="5">
        <f>(Cotacoes!C121-Cotacoes!C120)/Cotacoes!C120</f>
        <v>2.7747551686615909E-2</v>
      </c>
      <c r="D121" s="5">
        <f>(Cotacoes!D121-Cotacoes!D120)/Cotacoes!D120</f>
        <v>-7.5949367088607479E-3</v>
      </c>
      <c r="E121" s="5">
        <f>(Cotacoes!E121-Cotacoes!E120)/Cotacoes!E120</f>
        <v>-1.7152658662091245E-3</v>
      </c>
      <c r="F121" s="5">
        <f>(Cotacoes!F121-Cotacoes!F120)/Cotacoes!F120</f>
        <v>-6.4516129032257969E-3</v>
      </c>
      <c r="G121" s="5">
        <f>(Cotacoes!G121-Cotacoes!G120)/Cotacoes!G120</f>
        <v>2.1267893660531681E-2</v>
      </c>
      <c r="H121" s="5">
        <f>(Cotacoes!H121-Cotacoes!H120)/Cotacoes!H120</f>
        <v>-5.551149881046811E-3</v>
      </c>
      <c r="I121" s="5">
        <f>(Cotacoes!I121-Cotacoes!I120)/Cotacoes!I120</f>
        <v>9.3599797622058549E-3</v>
      </c>
      <c r="J121" s="5">
        <f>(Cotacoes!J121-Cotacoes!J120)/Cotacoes!J120</f>
        <v>1.5048543689320326E-2</v>
      </c>
      <c r="K121" s="5">
        <f>(Cotacoes!K121-Cotacoes!K120)/Cotacoes!K120</f>
        <v>-8.3217753120665202E-3</v>
      </c>
      <c r="L121" s="5">
        <f>(Cotacoes!L121-Cotacoes!L120)/Cotacoes!L120</f>
        <v>1.901140684410606E-3</v>
      </c>
      <c r="M121" s="5">
        <f>(Cotacoes!M121-Cotacoes!M120)/Cotacoes!M120</f>
        <v>2.568644818423392E-2</v>
      </c>
      <c r="N121" s="5">
        <f>(Cotacoes!N121-Cotacoes!N120)/Cotacoes!N120</f>
        <v>-5.3097345132743796E-3</v>
      </c>
      <c r="O121" s="5">
        <f>(Cotacoes!O121-Cotacoes!O120)/Cotacoes!O120</f>
        <v>8.8549618320610431E-3</v>
      </c>
      <c r="P121" s="5">
        <f>(Cotacoes!P121-Cotacoes!P120)/Cotacoes!P120</f>
        <v>2.7983539094650192E-2</v>
      </c>
      <c r="Q121" s="5">
        <f>(Cotacoes!Q121-Cotacoes!Q120)/Cotacoes!Q120</f>
        <v>4.8786292241789556E-2</v>
      </c>
      <c r="R121" s="5">
        <f>(Cotacoes!R121-Cotacoes!R120)/Cotacoes!R120</f>
        <v>-5.780346820809296E-3</v>
      </c>
      <c r="S121" s="5">
        <f>(Cotacoes!S121-Cotacoes!S120)/Cotacoes!S120</f>
        <v>-7.3784722222221422E-3</v>
      </c>
      <c r="T121" s="5">
        <f>(Cotacoes!T121-Cotacoes!T120)/Cotacoes!T120</f>
        <v>5.1859099804305218E-2</v>
      </c>
      <c r="U121" s="5">
        <f>(Cotacoes!U121-Cotacoes!U120)/Cotacoes!U120</f>
        <v>-1.2168622338113912E-2</v>
      </c>
      <c r="V121" s="5">
        <f>(Cotacoes!V121-Cotacoes!V120)/Cotacoes!V120</f>
        <v>0</v>
      </c>
      <c r="W121" s="5"/>
    </row>
    <row r="122" spans="1:23" x14ac:dyDescent="0.2">
      <c r="A122" s="4">
        <v>44739</v>
      </c>
      <c r="B122" s="5">
        <f>(Cotacoes!B122-Cotacoes!B121)/Cotacoes!B121</f>
        <v>2.3063063063063084E-2</v>
      </c>
      <c r="C122" s="5">
        <f>(Cotacoes!C122-Cotacoes!C121)/Cotacoes!C121</f>
        <v>4.605611434621492E-2</v>
      </c>
      <c r="D122" s="5">
        <f>(Cotacoes!D122-Cotacoes!D121)/Cotacoes!D121</f>
        <v>6.4625850340136043E-2</v>
      </c>
      <c r="E122" s="5">
        <f>(Cotacoes!E122-Cotacoes!E121)/Cotacoes!E121</f>
        <v>6.3001145475371952E-3</v>
      </c>
      <c r="F122" s="5">
        <f>(Cotacoes!F122-Cotacoes!F121)/Cotacoes!F121</f>
        <v>6.7821067821067921E-2</v>
      </c>
      <c r="G122" s="5">
        <f>(Cotacoes!G122-Cotacoes!G121)/Cotacoes!G121</f>
        <v>-1.8822587104525387E-2</v>
      </c>
      <c r="H122" s="5">
        <f>(Cotacoes!H122-Cotacoes!H121)/Cotacoes!H121</f>
        <v>2.0733652312599805E-2</v>
      </c>
      <c r="I122" s="5">
        <f>(Cotacoes!I122-Cotacoes!I121)/Cotacoes!I121</f>
        <v>2.3809523809523881E-2</v>
      </c>
      <c r="J122" s="5">
        <f>(Cotacoes!J122-Cotacoes!J121)/Cotacoes!J121</f>
        <v>1.0521281683405015E-2</v>
      </c>
      <c r="K122" s="5">
        <f>(Cotacoes!K122-Cotacoes!K121)/Cotacoes!K121</f>
        <v>1.3986013986013936E-2</v>
      </c>
      <c r="L122" s="5">
        <f>(Cotacoes!L122-Cotacoes!L121)/Cotacoes!L121</f>
        <v>0</v>
      </c>
      <c r="M122" s="5">
        <f>(Cotacoes!M122-Cotacoes!M121)/Cotacoes!M121</f>
        <v>3.4542314335059715E-3</v>
      </c>
      <c r="N122" s="5">
        <f>(Cotacoes!N122-Cotacoes!N121)/Cotacoes!N121</f>
        <v>1.4234875444839871E-2</v>
      </c>
      <c r="O122" s="5">
        <f>(Cotacoes!O122-Cotacoes!O121)/Cotacoes!O121</f>
        <v>-1.2106537530266086E-3</v>
      </c>
      <c r="P122" s="5">
        <f>(Cotacoes!P122-Cotacoes!P121)/Cotacoes!P121</f>
        <v>-2.0016012810248198E-2</v>
      </c>
      <c r="Q122" s="5">
        <f>(Cotacoes!Q122-Cotacoes!Q121)/Cotacoes!Q121</f>
        <v>2.1556614476968522E-2</v>
      </c>
      <c r="R122" s="5">
        <f>(Cotacoes!R122-Cotacoes!R121)/Cotacoes!R121</f>
        <v>3.6337209302325583E-2</v>
      </c>
      <c r="S122" s="5">
        <f>(Cotacoes!S122-Cotacoes!S121)/Cotacoes!S121</f>
        <v>-1.7490161783997682E-3</v>
      </c>
      <c r="T122" s="5">
        <f>(Cotacoes!T122-Cotacoes!T121)/Cotacoes!T121</f>
        <v>5.2558139534883676E-2</v>
      </c>
      <c r="U122" s="5">
        <f>(Cotacoes!U122-Cotacoes!U121)/Cotacoes!U121</f>
        <v>2.7276726792784908E-2</v>
      </c>
      <c r="V122" s="5">
        <f>(Cotacoes!V122-Cotacoes!V121)/Cotacoes!V121</f>
        <v>-6.4308681672025627E-3</v>
      </c>
      <c r="W122" s="5"/>
    </row>
    <row r="123" spans="1:23" x14ac:dyDescent="0.2">
      <c r="A123" s="4">
        <v>44740</v>
      </c>
      <c r="B123" s="5">
        <f>(Cotacoes!B123-Cotacoes!B122)/Cotacoes!B122</f>
        <v>-1.9960079840319559E-3</v>
      </c>
      <c r="C123" s="5">
        <f>(Cotacoes!C123-Cotacoes!C122)/Cotacoes!C122</f>
        <v>1.7881241565452129E-2</v>
      </c>
      <c r="D123" s="5">
        <f>(Cotacoes!D123-Cotacoes!D122)/Cotacoes!D122</f>
        <v>1.1980830670926547E-2</v>
      </c>
      <c r="E123" s="5">
        <f>(Cotacoes!E123-Cotacoes!E122)/Cotacoes!E122</f>
        <v>-1.1383039271485446E-2</v>
      </c>
      <c r="F123" s="5">
        <f>(Cotacoes!F123-Cotacoes!F122)/Cotacoes!F122</f>
        <v>1.4189189189189126E-2</v>
      </c>
      <c r="G123" s="5">
        <f>(Cotacoes!G123-Cotacoes!G122)/Cotacoes!G122</f>
        <v>8.5714285714286065E-3</v>
      </c>
      <c r="H123" s="5">
        <f>(Cotacoes!H123-Cotacoes!H122)/Cotacoes!H122</f>
        <v>3.9062499999999167E-3</v>
      </c>
      <c r="I123" s="5">
        <f>(Cotacoes!I123-Cotacoes!I122)/Cotacoes!I122</f>
        <v>5.8751529987760582E-3</v>
      </c>
      <c r="J123" s="5">
        <f>(Cotacoes!J123-Cotacoes!J122)/Cotacoes!J122</f>
        <v>-3.0761949834357655E-3</v>
      </c>
      <c r="K123" s="5">
        <f>(Cotacoes!K123-Cotacoes!K122)/Cotacoes!K122</f>
        <v>-1.4482758620689713E-2</v>
      </c>
      <c r="L123" s="5">
        <f>(Cotacoes!L123-Cotacoes!L122)/Cotacoes!L122</f>
        <v>-2.8462998102466695E-2</v>
      </c>
      <c r="M123" s="5">
        <f>(Cotacoes!M123-Cotacoes!M122)/Cotacoes!M122</f>
        <v>-1.4629948364888118E-2</v>
      </c>
      <c r="N123" s="5">
        <f>(Cotacoes!N123-Cotacoes!N122)/Cotacoes!N122</f>
        <v>-1.4035087719298258E-2</v>
      </c>
      <c r="O123" s="5">
        <f>(Cotacoes!O123-Cotacoes!O122)/Cotacoes!O122</f>
        <v>3.6363636363635587E-3</v>
      </c>
      <c r="P123" s="5">
        <f>(Cotacoes!P123-Cotacoes!P122)/Cotacoes!P122</f>
        <v>-1.3071895424836612E-2</v>
      </c>
      <c r="Q123" s="5">
        <f>(Cotacoes!Q123-Cotacoes!Q122)/Cotacoes!Q122</f>
        <v>1.1106175033318524E-2</v>
      </c>
      <c r="R123" s="5">
        <f>(Cotacoes!R123-Cotacoes!R122)/Cotacoes!R122</f>
        <v>-2.7115474520804199E-2</v>
      </c>
      <c r="S123" s="5">
        <f>(Cotacoes!S123-Cotacoes!S122)/Cotacoes!S122</f>
        <v>-1.0950503723171266E-2</v>
      </c>
      <c r="T123" s="5">
        <f>(Cotacoes!T123-Cotacoes!T122)/Cotacoes!T122</f>
        <v>-4.4189129474140568E-4</v>
      </c>
      <c r="U123" s="5">
        <f>(Cotacoes!U123-Cotacoes!U122)/Cotacoes!U122</f>
        <v>0</v>
      </c>
      <c r="V123" s="5">
        <f>(Cotacoes!V123-Cotacoes!V122)/Cotacoes!V122</f>
        <v>-3.8115785688601175E-2</v>
      </c>
      <c r="W123" s="5"/>
    </row>
    <row r="124" spans="1:23" x14ac:dyDescent="0.2">
      <c r="A124" s="4">
        <v>44741</v>
      </c>
      <c r="B124" s="5">
        <f>(Cotacoes!B124-Cotacoes!B123)/Cotacoes!B123</f>
        <v>-1.5529411764705802E-2</v>
      </c>
      <c r="C124" s="5">
        <f>(Cotacoes!C124-Cotacoes!C123)/Cotacoes!C123</f>
        <v>-8.2863771958899563E-3</v>
      </c>
      <c r="D124" s="5">
        <f>(Cotacoes!D124-Cotacoes!D123)/Cotacoes!D123</f>
        <v>-8.6819258089975877E-3</v>
      </c>
      <c r="E124" s="5">
        <f>(Cotacoes!E124-Cotacoes!E123)/Cotacoes!E123</f>
        <v>-1.0362694300518118E-2</v>
      </c>
      <c r="F124" s="5">
        <f>(Cotacoes!F124-Cotacoes!F123)/Cotacoes!F123</f>
        <v>-1.3990672884743443E-2</v>
      </c>
      <c r="G124" s="5">
        <f>(Cotacoes!G124-Cotacoes!G123)/Cotacoes!G123</f>
        <v>-4.4516390125455049E-3</v>
      </c>
      <c r="H124" s="5">
        <f>(Cotacoes!H124-Cotacoes!H123)/Cotacoes!H123</f>
        <v>-5.4474708171206448E-3</v>
      </c>
      <c r="I124" s="5">
        <f>(Cotacoes!I124-Cotacoes!I123)/Cotacoes!I123</f>
        <v>3.4071550255535031E-3</v>
      </c>
      <c r="J124" s="5">
        <f>(Cotacoes!J124-Cotacoes!J123)/Cotacoes!J123</f>
        <v>-4.9845715642060492E-3</v>
      </c>
      <c r="K124" s="5">
        <f>(Cotacoes!K124-Cotacoes!K123)/Cotacoes!K123</f>
        <v>-1.7494751574527644E-2</v>
      </c>
      <c r="L124" s="5">
        <f>(Cotacoes!L124-Cotacoes!L123)/Cotacoes!L123</f>
        <v>-1.7578124999999972E-2</v>
      </c>
      <c r="M124" s="5">
        <f>(Cotacoes!M124-Cotacoes!M123)/Cotacoes!M123</f>
        <v>6.9868995633187835E-3</v>
      </c>
      <c r="N124" s="5">
        <f>(Cotacoes!N124-Cotacoes!N123)/Cotacoes!N123</f>
        <v>-8.8967971530248789E-3</v>
      </c>
      <c r="O124" s="5">
        <f>(Cotacoes!O124-Cotacoes!O123)/Cotacoes!O123</f>
        <v>-1.7210144927536242E-2</v>
      </c>
      <c r="P124" s="5">
        <f>(Cotacoes!P124-Cotacoes!P123)/Cotacoes!P123</f>
        <v>-2.3178807947019816E-2</v>
      </c>
      <c r="Q124" s="5">
        <f>(Cotacoes!Q124-Cotacoes!Q123)/Cotacoes!Q123</f>
        <v>-1.1643233743409514E-2</v>
      </c>
      <c r="R124" s="5">
        <f>(Cotacoes!R124-Cotacoes!R123)/Cotacoes!R123</f>
        <v>-1.345506967803929E-2</v>
      </c>
      <c r="S124" s="5">
        <f>(Cotacoes!S124-Cotacoes!S123)/Cotacoes!S123</f>
        <v>-5.7573073516385747E-3</v>
      </c>
      <c r="T124" s="5">
        <f>(Cotacoes!T124-Cotacoes!T123)/Cotacoes!T123</f>
        <v>-8.39964633068087E-3</v>
      </c>
      <c r="U124" s="5">
        <f>(Cotacoes!U124-Cotacoes!U123)/Cotacoes!U123</f>
        <v>4.71092077087792E-3</v>
      </c>
      <c r="V124" s="5">
        <f>(Cotacoes!V124-Cotacoes!V123)/Cotacoes!V123</f>
        <v>2.8411214953271088E-2</v>
      </c>
      <c r="W124" s="5"/>
    </row>
    <row r="125" spans="1:23" x14ac:dyDescent="0.2">
      <c r="A125" s="4">
        <v>44742</v>
      </c>
      <c r="B125" s="5">
        <f>(Cotacoes!B125-Cotacoes!B124)/Cotacoes!B124</f>
        <v>-4.1826003824092794E-3</v>
      </c>
      <c r="C125" s="5">
        <f>(Cotacoes!C125-Cotacoes!C124)/Cotacoes!C124</f>
        <v>-2.8241978609625747E-2</v>
      </c>
      <c r="D125" s="5">
        <f>(Cotacoes!D125-Cotacoes!D124)/Cotacoes!D124</f>
        <v>-4.7770700636943072E-3</v>
      </c>
      <c r="E125" s="5">
        <f>(Cotacoes!E125-Cotacoes!E124)/Cotacoes!E124</f>
        <v>-1.7452006980802834E-2</v>
      </c>
      <c r="F125" s="5">
        <f>(Cotacoes!F125-Cotacoes!F124)/Cotacoes!F124</f>
        <v>-1.081081081081082E-2</v>
      </c>
      <c r="G125" s="5">
        <f>(Cotacoes!G125-Cotacoes!G124)/Cotacoes!G124</f>
        <v>1.6260162601625959E-2</v>
      </c>
      <c r="H125" s="5">
        <f>(Cotacoes!H125-Cotacoes!H124)/Cotacoes!H124</f>
        <v>9.3896713615024257E-3</v>
      </c>
      <c r="I125" s="5">
        <f>(Cotacoes!I125-Cotacoes!I124)/Cotacoes!I124</f>
        <v>1.0429299054086823E-2</v>
      </c>
      <c r="J125" s="5">
        <f>(Cotacoes!J125-Cotacoes!J124)/Cotacoes!J124</f>
        <v>5.9637404580152667E-3</v>
      </c>
      <c r="K125" s="5">
        <f>(Cotacoes!K125-Cotacoes!K124)/Cotacoes!K124</f>
        <v>-2.2079772079771989E-2</v>
      </c>
      <c r="L125" s="5">
        <f>(Cotacoes!L125-Cotacoes!L124)/Cotacoes!L124</f>
        <v>9.9403578528824924E-4</v>
      </c>
      <c r="M125" s="5">
        <f>(Cotacoes!M125-Cotacoes!M124)/Cotacoes!M124</f>
        <v>-1.5611448395490002E-2</v>
      </c>
      <c r="N125" s="5">
        <f>(Cotacoes!N125-Cotacoes!N124)/Cotacoes!N124</f>
        <v>-2.3339317773788129E-2</v>
      </c>
      <c r="O125" s="5">
        <f>(Cotacoes!O125-Cotacoes!O124)/Cotacoes!O124</f>
        <v>-2.9493087557603607E-2</v>
      </c>
      <c r="P125" s="5">
        <f>(Cotacoes!P125-Cotacoes!P124)/Cotacoes!P124</f>
        <v>-3.1355932203389912E-2</v>
      </c>
      <c r="Q125" s="5">
        <f>(Cotacoes!Q125-Cotacoes!Q124)/Cotacoes!Q124</f>
        <v>1.7114914425427785E-2</v>
      </c>
      <c r="R125" s="5">
        <f>(Cotacoes!R125-Cotacoes!R124)/Cotacoes!R124</f>
        <v>1.4612761811981286E-3</v>
      </c>
      <c r="S125" s="5">
        <f>(Cotacoes!S125-Cotacoes!S124)/Cotacoes!S124</f>
        <v>1.7371937639198243E-2</v>
      </c>
      <c r="T125" s="5">
        <f>(Cotacoes!T125-Cotacoes!T124)/Cotacoes!T124</f>
        <v>-2.1399910833704877E-2</v>
      </c>
      <c r="U125" s="5">
        <f>(Cotacoes!U125-Cotacoes!U124)/Cotacoes!U124</f>
        <v>9.3776641091218617E-3</v>
      </c>
      <c r="V125" s="5">
        <f>(Cotacoes!V125-Cotacoes!V124)/Cotacoes!V124</f>
        <v>-3.6350418029807859E-3</v>
      </c>
      <c r="W125" s="5"/>
    </row>
    <row r="126" spans="1:23" x14ac:dyDescent="0.2">
      <c r="A126" s="4">
        <v>44743</v>
      </c>
      <c r="B126" s="5">
        <f>(Cotacoes!B126-Cotacoes!B125)/Cotacoes!B125</f>
        <v>-8.4003360134405711E-3</v>
      </c>
      <c r="C126" s="5">
        <f>(Cotacoes!C126-Cotacoes!C125)/Cotacoes!C125</f>
        <v>-1.9088564058469468E-2</v>
      </c>
      <c r="D126" s="5">
        <f>(Cotacoes!D126-Cotacoes!D125)/Cotacoes!D125</f>
        <v>2.0799999999999982E-2</v>
      </c>
      <c r="E126" s="5">
        <f>(Cotacoes!E126-Cotacoes!E125)/Cotacoes!E125</f>
        <v>8.28892835997635E-3</v>
      </c>
      <c r="F126" s="5">
        <f>(Cotacoes!F126-Cotacoes!F125)/Cotacoes!F125</f>
        <v>1.9125683060109245E-2</v>
      </c>
      <c r="G126" s="5">
        <f>(Cotacoes!G126-Cotacoes!G125)/Cotacoes!G125</f>
        <v>1.5999999999999658E-3</v>
      </c>
      <c r="H126" s="5">
        <f>(Cotacoes!H126-Cotacoes!H125)/Cotacoes!H125</f>
        <v>-6.9767441860465003E-3</v>
      </c>
      <c r="I126" s="5">
        <f>(Cotacoes!I126-Cotacoes!I125)/Cotacoes!I125</f>
        <v>-7.4411905904943638E-3</v>
      </c>
      <c r="J126" s="5">
        <f>(Cotacoes!J126-Cotacoes!J125)/Cotacoes!J125</f>
        <v>1.96822385582167E-2</v>
      </c>
      <c r="K126" s="5">
        <f>(Cotacoes!K126-Cotacoes!K125)/Cotacoes!K125</f>
        <v>7.2833211944646498E-3</v>
      </c>
      <c r="L126" s="5">
        <f>(Cotacoes!L126-Cotacoes!L125)/Cotacoes!L125</f>
        <v>2.0854021847070414E-2</v>
      </c>
      <c r="M126" s="5">
        <f>(Cotacoes!M126-Cotacoes!M125)/Cotacoes!M125</f>
        <v>2.731277533039652E-2</v>
      </c>
      <c r="N126" s="5">
        <f>(Cotacoes!N126-Cotacoes!N125)/Cotacoes!N125</f>
        <v>-3.6764705882353786E-3</v>
      </c>
      <c r="O126" s="5">
        <f>(Cotacoes!O126-Cotacoes!O125)/Cotacoes!O125</f>
        <v>4.1152263374485279E-3</v>
      </c>
      <c r="P126" s="5">
        <f>(Cotacoes!P126-Cotacoes!P125)/Cotacoes!P125</f>
        <v>3.4995625546806679E-2</v>
      </c>
      <c r="Q126" s="5">
        <f>(Cotacoes!Q126-Cotacoes!Q125)/Cotacoes!Q125</f>
        <v>1.529720279720286E-2</v>
      </c>
      <c r="R126" s="5">
        <f>(Cotacoes!R126-Cotacoes!R125)/Cotacoes!R125</f>
        <v>1.3618677042801612E-2</v>
      </c>
      <c r="S126" s="5">
        <f>(Cotacoes!S126-Cotacoes!S125)/Cotacoes!S125</f>
        <v>1.1383537653239998E-2</v>
      </c>
      <c r="T126" s="5">
        <f>(Cotacoes!T126-Cotacoes!T125)/Cotacoes!T125</f>
        <v>5.0113895216400651E-3</v>
      </c>
      <c r="U126" s="5">
        <f>(Cotacoes!U126-Cotacoes!U125)/Cotacoes!U125</f>
        <v>1.6047297297297255E-2</v>
      </c>
      <c r="V126" s="5">
        <f>(Cotacoes!V126-Cotacoes!V125)/Cotacoes!V125</f>
        <v>-1.0580080262677824E-2</v>
      </c>
      <c r="W126" s="5"/>
    </row>
    <row r="127" spans="1:23" x14ac:dyDescent="0.2">
      <c r="A127" s="4">
        <v>44746</v>
      </c>
      <c r="B127" s="5">
        <f>(Cotacoes!B127-Cotacoes!B126)/Cotacoes!B126</f>
        <v>6.8982209851144553E-3</v>
      </c>
      <c r="C127" s="5">
        <f>(Cotacoes!C127-Cotacoes!C126)/Cotacoes!C126</f>
        <v>-5.7854137447405033E-3</v>
      </c>
      <c r="D127" s="5">
        <f>(Cotacoes!D127-Cotacoes!D126)/Cotacoes!D126</f>
        <v>2.194357366771155E-2</v>
      </c>
      <c r="E127" s="5">
        <f>(Cotacoes!E127-Cotacoes!E126)/Cotacoes!E126</f>
        <v>-9.3951849677040601E-3</v>
      </c>
      <c r="F127" s="5">
        <f>(Cotacoes!F127-Cotacoes!F126)/Cotacoes!F126</f>
        <v>2.3458445040214455E-2</v>
      </c>
      <c r="G127" s="5">
        <f>(Cotacoes!G127-Cotacoes!G126)/Cotacoes!G126</f>
        <v>-3.9936102236413782E-4</v>
      </c>
      <c r="H127" s="5">
        <f>(Cotacoes!H127-Cotacoes!H126)/Cotacoes!H126</f>
        <v>-3.1225604996097519E-3</v>
      </c>
      <c r="I127" s="5">
        <f>(Cotacoes!I127-Cotacoes!I126)/Cotacoes!I126</f>
        <v>-1.3301088270858628E-2</v>
      </c>
      <c r="J127" s="5">
        <f>(Cotacoes!J127-Cotacoes!J126)/Cotacoes!J126</f>
        <v>-2.3255813953488372E-2</v>
      </c>
      <c r="K127" s="5">
        <f>(Cotacoes!K127-Cotacoes!K126)/Cotacoes!K126</f>
        <v>-1.0845986984815644E-2</v>
      </c>
      <c r="L127" s="5">
        <f>(Cotacoes!L127-Cotacoes!L126)/Cotacoes!L126</f>
        <v>-9.7276264591439343E-3</v>
      </c>
      <c r="M127" s="5">
        <f>(Cotacoes!M127-Cotacoes!M126)/Cotacoes!M126</f>
        <v>-6.0034305317324425E-3</v>
      </c>
      <c r="N127" s="5">
        <f>(Cotacoes!N127-Cotacoes!N126)/Cotacoes!N126</f>
        <v>-7.3800738007380141E-3</v>
      </c>
      <c r="O127" s="5">
        <f>(Cotacoes!O127-Cotacoes!O126)/Cotacoes!O126</f>
        <v>8.8272383354350923E-3</v>
      </c>
      <c r="P127" s="5">
        <f>(Cotacoes!P127-Cotacoes!P126)/Cotacoes!P126</f>
        <v>-1.4370245139475903E-2</v>
      </c>
      <c r="Q127" s="5">
        <f>(Cotacoes!Q127-Cotacoes!Q126)/Cotacoes!Q126</f>
        <v>-1.506672406371078E-3</v>
      </c>
      <c r="R127" s="5">
        <f>(Cotacoes!R127-Cotacoes!R126)/Cotacoes!R126</f>
        <v>-1.6794625719769741E-2</v>
      </c>
      <c r="S127" s="5">
        <f>(Cotacoes!S127-Cotacoes!S126)/Cotacoes!S126</f>
        <v>-2.0779220779220797E-2</v>
      </c>
      <c r="T127" s="5">
        <f>(Cotacoes!T127-Cotacoes!T126)/Cotacoes!T126</f>
        <v>3.1278331822302871E-2</v>
      </c>
      <c r="U127" s="5">
        <f>(Cotacoes!U127-Cotacoes!U126)/Cotacoes!U126</f>
        <v>-7.2734829592683778E-3</v>
      </c>
      <c r="V127" s="5">
        <f>(Cotacoes!V127-Cotacoes!V126)/Cotacoes!V126</f>
        <v>6.6371681415929099E-3</v>
      </c>
      <c r="W127" s="5"/>
    </row>
    <row r="128" spans="1:23" x14ac:dyDescent="0.2">
      <c r="A128" s="4">
        <v>44747</v>
      </c>
      <c r="B128" s="5">
        <f>(Cotacoes!B128-Cotacoes!B127)/Cotacoes!B127</f>
        <v>-3.6057692307691963E-3</v>
      </c>
      <c r="C128" s="5">
        <f>(Cotacoes!C128-Cotacoes!C127)/Cotacoes!C127</f>
        <v>-4.9374008111444387E-3</v>
      </c>
      <c r="D128" s="5">
        <f>(Cotacoes!D128-Cotacoes!D127)/Cotacoes!D127</f>
        <v>-3.834355828220859E-2</v>
      </c>
      <c r="E128" s="5">
        <f>(Cotacoes!E128-Cotacoes!E127)/Cotacoes!E127</f>
        <v>7.113218731475841E-3</v>
      </c>
      <c r="F128" s="5">
        <f>(Cotacoes!F128-Cotacoes!F127)/Cotacoes!F127</f>
        <v>-4.2567125081859877E-2</v>
      </c>
      <c r="G128" s="5">
        <f>(Cotacoes!G128-Cotacoes!G127)/Cotacoes!G127</f>
        <v>1.9976028765481421E-2</v>
      </c>
      <c r="H128" s="5">
        <f>(Cotacoes!H128-Cotacoes!H127)/Cotacoes!H127</f>
        <v>-5.4815974941268822E-3</v>
      </c>
      <c r="I128" s="5">
        <f>(Cotacoes!I128-Cotacoes!I127)/Cotacoes!I127</f>
        <v>-1.1764705882352865E-2</v>
      </c>
      <c r="J128" s="5">
        <f>(Cotacoes!J128-Cotacoes!J127)/Cotacoes!J127</f>
        <v>-1.3809523809523768E-2</v>
      </c>
      <c r="K128" s="5">
        <f>(Cotacoes!K128-Cotacoes!K127)/Cotacoes!K127</f>
        <v>2.192982456140434E-3</v>
      </c>
      <c r="L128" s="5">
        <f>(Cotacoes!L128-Cotacoes!L127)/Cotacoes!L127</f>
        <v>1.6699410609037322E-2</v>
      </c>
      <c r="M128" s="5">
        <f>(Cotacoes!M128-Cotacoes!M127)/Cotacoes!M127</f>
        <v>3.0198446937014636E-2</v>
      </c>
      <c r="N128" s="5">
        <f>(Cotacoes!N128-Cotacoes!N127)/Cotacoes!N127</f>
        <v>0</v>
      </c>
      <c r="O128" s="5">
        <f>(Cotacoes!O128-Cotacoes!O127)/Cotacoes!O127</f>
        <v>-2.8124999999999956E-3</v>
      </c>
      <c r="P128" s="5">
        <f>(Cotacoes!P128-Cotacoes!P127)/Cotacoes!P127</f>
        <v>-1.029159519725566E-2</v>
      </c>
      <c r="Q128" s="5">
        <f>(Cotacoes!Q128-Cotacoes!Q127)/Cotacoes!Q127</f>
        <v>-2.9316663073938338E-2</v>
      </c>
      <c r="R128" s="5">
        <f>(Cotacoes!R128-Cotacoes!R127)/Cotacoes!R127</f>
        <v>6.3445583211323847E-3</v>
      </c>
      <c r="S128" s="5">
        <f>(Cotacoes!S128-Cotacoes!S127)/Cotacoes!S127</f>
        <v>-9.7259062776305222E-3</v>
      </c>
      <c r="T128" s="5">
        <f>(Cotacoes!T128-Cotacoes!T127)/Cotacoes!T127</f>
        <v>-7.0769230769230751E-2</v>
      </c>
      <c r="U128" s="5">
        <f>(Cotacoes!U128-Cotacoes!U127)/Cotacoes!U127</f>
        <v>-1.318819342683698E-2</v>
      </c>
      <c r="V128" s="5">
        <f>(Cotacoes!V128-Cotacoes!V127)/Cotacoes!V127</f>
        <v>8.791208791208734E-3</v>
      </c>
      <c r="W128" s="5"/>
    </row>
    <row r="129" spans="1:23" x14ac:dyDescent="0.2">
      <c r="A129" s="4">
        <v>44748</v>
      </c>
      <c r="B129" s="5">
        <f>(Cotacoes!B129-Cotacoes!B128)/Cotacoes!B128</f>
        <v>5.066344993968486E-3</v>
      </c>
      <c r="C129" s="5">
        <f>(Cotacoes!C129-Cotacoes!C128)/Cotacoes!C128</f>
        <v>9.3921672869041496E-3</v>
      </c>
      <c r="D129" s="5">
        <f>(Cotacoes!D129-Cotacoes!D128)/Cotacoes!D128</f>
        <v>-1.2759170653907366E-2</v>
      </c>
      <c r="E129" s="5">
        <f>(Cotacoes!E129-Cotacoes!E128)/Cotacoes!E128</f>
        <v>-9.4173042966450952E-3</v>
      </c>
      <c r="F129" s="5">
        <f>(Cotacoes!F129-Cotacoes!F128)/Cotacoes!F128</f>
        <v>-1.5047879616962988E-2</v>
      </c>
      <c r="G129" s="5">
        <f>(Cotacoes!G129-Cotacoes!G128)/Cotacoes!G128</f>
        <v>3.1335683509595884E-3</v>
      </c>
      <c r="H129" s="5">
        <f>(Cotacoes!H129-Cotacoes!H128)/Cotacoes!H128</f>
        <v>-7.086614173228336E-3</v>
      </c>
      <c r="I129" s="5">
        <f>(Cotacoes!I129-Cotacoes!I128)/Cotacoes!I128</f>
        <v>-1.1904761904761828E-2</v>
      </c>
      <c r="J129" s="5">
        <f>(Cotacoes!J129-Cotacoes!J128)/Cotacoes!J128</f>
        <v>2.6557218734910531E-3</v>
      </c>
      <c r="K129" s="5">
        <f>(Cotacoes!K129-Cotacoes!K128)/Cotacoes!K128</f>
        <v>-8.0233406272794457E-3</v>
      </c>
      <c r="L129" s="5">
        <f>(Cotacoes!L129-Cotacoes!L128)/Cotacoes!L128</f>
        <v>-1.3526570048309063E-2</v>
      </c>
      <c r="M129" s="5">
        <f>(Cotacoes!M129-Cotacoes!M128)/Cotacoes!M128</f>
        <v>1.005025125628149E-2</v>
      </c>
      <c r="N129" s="5">
        <f>(Cotacoes!N129-Cotacoes!N128)/Cotacoes!N128</f>
        <v>0</v>
      </c>
      <c r="O129" s="5">
        <f>(Cotacoes!O129-Cotacoes!O128)/Cotacoes!O128</f>
        <v>5.6408649326231044E-3</v>
      </c>
      <c r="P129" s="5">
        <f>(Cotacoes!P129-Cotacoes!P128)/Cotacoes!P128</f>
        <v>-5.1993067590986762E-3</v>
      </c>
      <c r="Q129" s="5">
        <f>(Cotacoes!Q129-Cotacoes!Q128)/Cotacoes!Q128</f>
        <v>8.8829669109482257E-3</v>
      </c>
      <c r="R129" s="5">
        <f>(Cotacoes!R129-Cotacoes!R128)/Cotacoes!R128</f>
        <v>1.6488845780795337E-2</v>
      </c>
      <c r="S129" s="5">
        <f>(Cotacoes!S129-Cotacoes!S128)/Cotacoes!S128</f>
        <v>8.9285714285728247E-4</v>
      </c>
      <c r="T129" s="5">
        <f>(Cotacoes!T129-Cotacoes!T128)/Cotacoes!T128</f>
        <v>-1.3245033112582835E-2</v>
      </c>
      <c r="U129" s="5">
        <f>(Cotacoes!U129-Cotacoes!U128)/Cotacoes!U128</f>
        <v>2.5243954179041104E-2</v>
      </c>
      <c r="V129" s="5">
        <f>(Cotacoes!V129-Cotacoes!V128)/Cotacoes!V128</f>
        <v>2.6870007262164198E-2</v>
      </c>
      <c r="W129" s="5"/>
    </row>
    <row r="130" spans="1:23" x14ac:dyDescent="0.2">
      <c r="A130" s="4">
        <v>44749</v>
      </c>
      <c r="B130" s="5">
        <f>(Cotacoes!B130-Cotacoes!B129)/Cotacoes!B129</f>
        <v>2.3883821411425938E-2</v>
      </c>
      <c r="C130" s="5">
        <f>(Cotacoes!C130-Cotacoes!C129)/Cotacoes!C129</f>
        <v>2.9143258426966231E-2</v>
      </c>
      <c r="D130" s="5">
        <f>(Cotacoes!D130-Cotacoes!D129)/Cotacoes!D129</f>
        <v>2.9079159935379597E-2</v>
      </c>
      <c r="E130" s="5">
        <f>(Cotacoes!E130-Cotacoes!E129)/Cotacoes!E129</f>
        <v>1.426024955436732E-2</v>
      </c>
      <c r="F130" s="5">
        <f>(Cotacoes!F130-Cotacoes!F129)/Cotacoes!F129</f>
        <v>2.916666666666666E-2</v>
      </c>
      <c r="G130" s="5">
        <f>(Cotacoes!G130-Cotacoes!G129)/Cotacoes!G129</f>
        <v>1.8742678641155815E-2</v>
      </c>
      <c r="H130" s="5">
        <f>(Cotacoes!H130-Cotacoes!H129)/Cotacoes!H129</f>
        <v>1.5067406819984242E-2</v>
      </c>
      <c r="I130" s="5">
        <f>(Cotacoes!I130-Cotacoes!I129)/Cotacoes!I129</f>
        <v>1.2048192771084258E-2</v>
      </c>
      <c r="J130" s="5">
        <f>(Cotacoes!J130-Cotacoes!J129)/Cotacoes!J129</f>
        <v>1.8540813869491836E-2</v>
      </c>
      <c r="K130" s="5">
        <f>(Cotacoes!K130-Cotacoes!K129)/Cotacoes!K129</f>
        <v>2.058823529411773E-2</v>
      </c>
      <c r="L130" s="5">
        <f>(Cotacoes!L130-Cotacoes!L129)/Cotacoes!L129</f>
        <v>2.2526934378060592E-2</v>
      </c>
      <c r="M130" s="5">
        <f>(Cotacoes!M130-Cotacoes!M129)/Cotacoes!M129</f>
        <v>0</v>
      </c>
      <c r="N130" s="5">
        <f>(Cotacoes!N130-Cotacoes!N129)/Cotacoes!N129</f>
        <v>1.1152416356877417E-2</v>
      </c>
      <c r="O130" s="5">
        <f>(Cotacoes!O130-Cotacoes!O129)/Cotacoes!O129</f>
        <v>-1.215331879090072E-2</v>
      </c>
      <c r="P130" s="5">
        <f>(Cotacoes!P130-Cotacoes!P129)/Cotacoes!P129</f>
        <v>1.6550522648083581E-2</v>
      </c>
      <c r="Q130" s="5">
        <f>(Cotacoes!Q130-Cotacoes!Q129)/Cotacoes!Q129</f>
        <v>-6.8236847897865348E-3</v>
      </c>
      <c r="R130" s="5">
        <f>(Cotacoes!R130-Cotacoes!R129)/Cotacoes!R129</f>
        <v>-1.9083969465648447E-3</v>
      </c>
      <c r="S130" s="5">
        <f>(Cotacoes!S130-Cotacoes!S129)/Cotacoes!S129</f>
        <v>3.5236396074933056E-2</v>
      </c>
      <c r="T130" s="5">
        <f>(Cotacoes!T130-Cotacoes!T129)/Cotacoes!T129</f>
        <v>1.5819750719079668E-2</v>
      </c>
      <c r="U130" s="5">
        <f>(Cotacoes!U130-Cotacoes!U129)/Cotacoes!U129</f>
        <v>4.9865507966066702E-2</v>
      </c>
      <c r="V130" s="5">
        <f>(Cotacoes!V130-Cotacoes!V129)/Cotacoes!V129</f>
        <v>1.0608203677510508E-2</v>
      </c>
      <c r="W130" s="5"/>
    </row>
    <row r="131" spans="1:23" x14ac:dyDescent="0.2">
      <c r="A131" s="4">
        <v>44750</v>
      </c>
      <c r="B131" s="5">
        <f>(Cotacoes!B131-Cotacoes!B130)/Cotacoes!B130</f>
        <v>-6.3298558199508413E-3</v>
      </c>
      <c r="C131" s="5">
        <f>(Cotacoes!C131-Cotacoes!C130)/Cotacoes!C130</f>
        <v>-2.3200272944387573E-2</v>
      </c>
      <c r="D131" s="5">
        <f>(Cotacoes!D131-Cotacoes!D130)/Cotacoes!D130</f>
        <v>1.0989010989011033E-2</v>
      </c>
      <c r="E131" s="5">
        <f>(Cotacoes!E131-Cotacoes!E130)/Cotacoes!E130</f>
        <v>5.8582308142929177E-4</v>
      </c>
      <c r="F131" s="5">
        <f>(Cotacoes!F131-Cotacoes!F130)/Cotacoes!F130</f>
        <v>9.4466936572200118E-3</v>
      </c>
      <c r="G131" s="5">
        <f>(Cotacoes!G131-Cotacoes!G130)/Cotacoes!G130</f>
        <v>-1.2265235722499053E-2</v>
      </c>
      <c r="H131" s="5">
        <f>(Cotacoes!H131-Cotacoes!H130)/Cotacoes!H130</f>
        <v>9.3749999999999389E-3</v>
      </c>
      <c r="I131" s="5">
        <f>(Cotacoes!I131-Cotacoes!I130)/Cotacoes!I130</f>
        <v>-1.7113095238095181E-2</v>
      </c>
      <c r="J131" s="5">
        <f>(Cotacoes!J131-Cotacoes!J130)/Cotacoes!J130</f>
        <v>5.6737588652482742E-3</v>
      </c>
      <c r="K131" s="5">
        <f>(Cotacoes!K131-Cotacoes!K130)/Cotacoes!K130</f>
        <v>7.2046109510084911E-4</v>
      </c>
      <c r="L131" s="5">
        <f>(Cotacoes!L131-Cotacoes!L130)/Cotacoes!L130</f>
        <v>6.7049808429119053E-3</v>
      </c>
      <c r="M131" s="5">
        <f>(Cotacoes!M131-Cotacoes!M130)/Cotacoes!M130</f>
        <v>4.9751243781093468E-3</v>
      </c>
      <c r="N131" s="5">
        <f>(Cotacoes!N131-Cotacoes!N130)/Cotacoes!N130</f>
        <v>5.5147058823528236E-3</v>
      </c>
      <c r="O131" s="5">
        <f>(Cotacoes!O131-Cotacoes!O130)/Cotacoes!O130</f>
        <v>-2.0189274447949546E-2</v>
      </c>
      <c r="P131" s="5">
        <f>(Cotacoes!P131-Cotacoes!P130)/Cotacoes!P130</f>
        <v>-1.7994858611825114E-2</v>
      </c>
      <c r="Q131" s="5">
        <f>(Cotacoes!Q131-Cotacoes!Q130)/Cotacoes!Q130</f>
        <v>-2.8590425531914876E-2</v>
      </c>
      <c r="R131" s="5">
        <f>(Cotacoes!R131-Cotacoes!R130)/Cotacoes!R130</f>
        <v>-9.5602294455068276E-3</v>
      </c>
      <c r="S131" s="5">
        <f>(Cotacoes!S131-Cotacoes!S130)/Cotacoes!S130</f>
        <v>-1.163291684618697E-2</v>
      </c>
      <c r="T131" s="5">
        <f>(Cotacoes!T131-Cotacoes!T130)/Cotacoes!T130</f>
        <v>2.5483718735252434E-2</v>
      </c>
      <c r="U131" s="5">
        <f>(Cotacoes!U131-Cotacoes!U130)/Cotacoes!U130</f>
        <v>-2.5620811982657184E-3</v>
      </c>
      <c r="V131" s="5">
        <f>(Cotacoes!V131-Cotacoes!V130)/Cotacoes!V130</f>
        <v>-1.0146955913226003E-2</v>
      </c>
      <c r="W131" s="5"/>
    </row>
    <row r="132" spans="1:23" x14ac:dyDescent="0.2">
      <c r="A132" s="4">
        <v>44753</v>
      </c>
      <c r="B132" s="5">
        <f>(Cotacoes!B132-Cotacoes!B131)/Cotacoes!B131</f>
        <v>-2.3829184853131957E-2</v>
      </c>
      <c r="C132" s="5">
        <f>(Cotacoes!C132-Cotacoes!C131)/Cotacoes!C131</f>
        <v>-3.4055186866922736E-2</v>
      </c>
      <c r="D132" s="5">
        <f>(Cotacoes!D132-Cotacoes!D131)/Cotacoes!D131</f>
        <v>-4.6583850931677401E-3</v>
      </c>
      <c r="E132" s="5">
        <f>(Cotacoes!E132-Cotacoes!E131)/Cotacoes!E131</f>
        <v>-1.6393442622950678E-2</v>
      </c>
      <c r="F132" s="5">
        <f>(Cotacoes!F132-Cotacoes!F131)/Cotacoes!F131</f>
        <v>-6.6844919786106705E-4</v>
      </c>
      <c r="G132" s="5">
        <f>(Cotacoes!G132-Cotacoes!G131)/Cotacoes!G131</f>
        <v>-2.5223127667830757E-2</v>
      </c>
      <c r="H132" s="5">
        <f>(Cotacoes!H132-Cotacoes!H131)/Cotacoes!H131</f>
        <v>-1.6253869969040175E-2</v>
      </c>
      <c r="I132" s="5">
        <f>(Cotacoes!I132-Cotacoes!I131)/Cotacoes!I131</f>
        <v>-3.8607115821347487E-2</v>
      </c>
      <c r="J132" s="5">
        <f>(Cotacoes!J132-Cotacoes!J131)/Cotacoes!J131</f>
        <v>-2.3507287259050642E-3</v>
      </c>
      <c r="K132" s="5">
        <f>(Cotacoes!K132-Cotacoes!K131)/Cotacoes!K131</f>
        <v>-2.0158387329013761E-2</v>
      </c>
      <c r="L132" s="5">
        <f>(Cotacoes!L132-Cotacoes!L131)/Cotacoes!L131</f>
        <v>-5.8991436726926666E-2</v>
      </c>
      <c r="M132" s="5">
        <f>(Cotacoes!M132-Cotacoes!M131)/Cotacoes!M131</f>
        <v>-1.4026402640264021E-2</v>
      </c>
      <c r="N132" s="5">
        <f>(Cotacoes!N132-Cotacoes!N131)/Cotacoes!N131</f>
        <v>-2.0109689213893864E-2</v>
      </c>
      <c r="O132" s="5">
        <f>(Cotacoes!O132-Cotacoes!O131)/Cotacoes!O131</f>
        <v>1.9317450096587984E-3</v>
      </c>
      <c r="P132" s="5">
        <f>(Cotacoes!P132-Cotacoes!P131)/Cotacoes!P131</f>
        <v>-5.2356020942408495E-2</v>
      </c>
      <c r="Q132" s="5">
        <f>(Cotacoes!Q132-Cotacoes!Q131)/Cotacoes!Q131</f>
        <v>1.3689253935661027E-3</v>
      </c>
      <c r="R132" s="5">
        <f>(Cotacoes!R132-Cotacoes!R131)/Cotacoes!R131</f>
        <v>-3.2818532818532808E-2</v>
      </c>
      <c r="S132" s="5">
        <f>(Cotacoes!S132-Cotacoes!S131)/Cotacoes!S131</f>
        <v>-1.743679163034011E-2</v>
      </c>
      <c r="T132" s="5">
        <f>(Cotacoes!T132-Cotacoes!T131)/Cotacoes!T131</f>
        <v>6.9028992176713563E-3</v>
      </c>
      <c r="U132" s="5">
        <f>(Cotacoes!U132-Cotacoes!U131)/Cotacoes!U131</f>
        <v>-3.2404663110057311E-2</v>
      </c>
      <c r="V132" s="5">
        <f>(Cotacoes!V132-Cotacoes!V131)/Cotacoes!V131</f>
        <v>-2.2622834924001436E-2</v>
      </c>
      <c r="W132" s="5"/>
    </row>
    <row r="133" spans="1:23" x14ac:dyDescent="0.2">
      <c r="A133" s="4">
        <v>44754</v>
      </c>
      <c r="B133" s="5">
        <f>(Cotacoes!B133-Cotacoes!B132)/Cotacoes!B132</f>
        <v>1.3293051359516547E-3</v>
      </c>
      <c r="C133" s="5">
        <f>(Cotacoes!C133-Cotacoes!C132)/Cotacoes!C132</f>
        <v>3.0735852467907178E-3</v>
      </c>
      <c r="D133" s="5">
        <f>(Cotacoes!D133-Cotacoes!D132)/Cotacoes!D132</f>
        <v>-1.4820592823712909E-2</v>
      </c>
      <c r="E133" s="5">
        <f>(Cotacoes!E133-Cotacoes!E132)/Cotacoes!E132</f>
        <v>-1.7857142857143533E-3</v>
      </c>
      <c r="F133" s="5">
        <f>(Cotacoes!F133-Cotacoes!F132)/Cotacoes!F132</f>
        <v>-1.9397993311036733E-2</v>
      </c>
      <c r="G133" s="5">
        <f>(Cotacoes!G133-Cotacoes!G132)/Cotacoes!G132</f>
        <v>3.9808917197444306E-4</v>
      </c>
      <c r="H133" s="5">
        <f>(Cotacoes!H133-Cotacoes!H132)/Cotacoes!H132</f>
        <v>3.1471282454759359E-3</v>
      </c>
      <c r="I133" s="5">
        <f>(Cotacoes!I133-Cotacoes!I132)/Cotacoes!I132</f>
        <v>1.5223097112860847E-2</v>
      </c>
      <c r="J133" s="5">
        <f>(Cotacoes!J133-Cotacoes!J132)/Cotacoes!J132</f>
        <v>7.0688030160227207E-3</v>
      </c>
      <c r="K133" s="5">
        <f>(Cotacoes!K133-Cotacoes!K132)/Cotacoes!K132</f>
        <v>4.4085231447465465E-3</v>
      </c>
      <c r="L133" s="5">
        <f>(Cotacoes!L133-Cotacoes!L132)/Cotacoes!L132</f>
        <v>-2.1233569261880771E-2</v>
      </c>
      <c r="M133" s="5">
        <f>(Cotacoes!M133-Cotacoes!M132)/Cotacoes!M132</f>
        <v>-2.2594142259414193E-2</v>
      </c>
      <c r="N133" s="5">
        <f>(Cotacoes!N133-Cotacoes!N132)/Cotacoes!N132</f>
        <v>-3.7313432835821753E-3</v>
      </c>
      <c r="O133" s="5">
        <f>(Cotacoes!O133-Cotacoes!O132)/Cotacoes!O132</f>
        <v>-1.3174807197943448E-2</v>
      </c>
      <c r="P133" s="5">
        <f>(Cotacoes!P133-Cotacoes!P132)/Cotacoes!P132</f>
        <v>3.4990791896869322E-2</v>
      </c>
      <c r="Q133" s="5">
        <f>(Cotacoes!Q133-Cotacoes!Q132)/Cotacoes!Q132</f>
        <v>-1.1392116655273901E-3</v>
      </c>
      <c r="R133" s="5">
        <f>(Cotacoes!R133-Cotacoes!R132)/Cotacoes!R132</f>
        <v>1.397205588822361E-2</v>
      </c>
      <c r="S133" s="5">
        <f>(Cotacoes!S133-Cotacoes!S132)/Cotacoes!S132</f>
        <v>3.9929015084294523E-3</v>
      </c>
      <c r="T133" s="5">
        <f>(Cotacoes!T133-Cotacoes!T132)/Cotacoes!T132</f>
        <v>1.4625228519195626E-2</v>
      </c>
      <c r="U133" s="5">
        <f>(Cotacoes!U133-Cotacoes!U132)/Cotacoes!U132</f>
        <v>-1.8378599142331285E-3</v>
      </c>
      <c r="V133" s="5">
        <f>(Cotacoes!V133-Cotacoes!V132)/Cotacoes!V132</f>
        <v>1.1211573236889776E-2</v>
      </c>
      <c r="W133" s="5"/>
    </row>
    <row r="134" spans="1:23" x14ac:dyDescent="0.2">
      <c r="A134" s="4">
        <v>44755</v>
      </c>
      <c r="B134" s="5">
        <f>(Cotacoes!B134-Cotacoes!B133)/Cotacoes!B133</f>
        <v>-5.3101617185614012E-3</v>
      </c>
      <c r="C134" s="5">
        <f>(Cotacoes!C134-Cotacoes!C133)/Cotacoes!C133</f>
        <v>-3.4246575342465344E-3</v>
      </c>
      <c r="D134" s="5">
        <f>(Cotacoes!D134-Cotacoes!D133)/Cotacoes!D133</f>
        <v>7.9176563737132113E-4</v>
      </c>
      <c r="E134" s="5">
        <f>(Cotacoes!E134-Cotacoes!E133)/Cotacoes!E133</f>
        <v>-4.1741204531902379E-3</v>
      </c>
      <c r="F134" s="5">
        <f>(Cotacoes!F134-Cotacoes!F133)/Cotacoes!F133</f>
        <v>4.0927694406548767E-3</v>
      </c>
      <c r="G134" s="5">
        <f>(Cotacoes!G134-Cotacoes!G133)/Cotacoes!G133</f>
        <v>5.1730998806208744E-3</v>
      </c>
      <c r="H134" s="5">
        <f>(Cotacoes!H134-Cotacoes!H133)/Cotacoes!H133</f>
        <v>-1.098039215686279E-2</v>
      </c>
      <c r="I134" s="5">
        <f>(Cotacoes!I134-Cotacoes!I133)/Cotacoes!I133</f>
        <v>6.9803516028956345E-3</v>
      </c>
      <c r="J134" s="5">
        <f>(Cotacoes!J134-Cotacoes!J133)/Cotacoes!J133</f>
        <v>-6.5512400561535122E-3</v>
      </c>
      <c r="K134" s="5">
        <f>(Cotacoes!K134-Cotacoes!K133)/Cotacoes!K133</f>
        <v>-2.3408924652523797E-2</v>
      </c>
      <c r="L134" s="5">
        <f>(Cotacoes!L134-Cotacoes!L133)/Cotacoes!L133</f>
        <v>-2.4793388429752088E-2</v>
      </c>
      <c r="M134" s="5">
        <f>(Cotacoes!M134-Cotacoes!M133)/Cotacoes!M133</f>
        <v>5.6506849315068504E-2</v>
      </c>
      <c r="N134" s="5">
        <f>(Cotacoes!N134-Cotacoes!N133)/Cotacoes!N133</f>
        <v>-9.3632958801497801E-3</v>
      </c>
      <c r="O134" s="5">
        <f>(Cotacoes!O134-Cotacoes!O133)/Cotacoes!O133</f>
        <v>-8.7919244545750421E-3</v>
      </c>
      <c r="P134" s="5">
        <f>(Cotacoes!P134-Cotacoes!P133)/Cotacoes!P133</f>
        <v>-5.338078291814991E-3</v>
      </c>
      <c r="Q134" s="5">
        <f>(Cotacoes!Q134-Cotacoes!Q133)/Cotacoes!Q133</f>
        <v>-2.8284671532846757E-2</v>
      </c>
      <c r="R134" s="5">
        <f>(Cotacoes!R134-Cotacoes!R133)/Cotacoes!R133</f>
        <v>6.8897637795275867E-3</v>
      </c>
      <c r="S134" s="5">
        <f>(Cotacoes!S134-Cotacoes!S133)/Cotacoes!S133</f>
        <v>-1.1931064958020309E-2</v>
      </c>
      <c r="T134" s="5">
        <f>(Cotacoes!T134-Cotacoes!T133)/Cotacoes!T133</f>
        <v>-2.8828828828828857E-2</v>
      </c>
      <c r="U134" s="5">
        <f>(Cotacoes!U134-Cotacoes!U133)/Cotacoes!U133</f>
        <v>2.2504091653027705E-2</v>
      </c>
      <c r="V134" s="5">
        <f>(Cotacoes!V134-Cotacoes!V133)/Cotacoes!V133</f>
        <v>-4.3276108726752534E-2</v>
      </c>
      <c r="W134" s="5"/>
    </row>
    <row r="135" spans="1:23" x14ac:dyDescent="0.2">
      <c r="A135" s="4">
        <v>44756</v>
      </c>
      <c r="B135" s="5">
        <f>(Cotacoes!B135-Cotacoes!B134)/Cotacoes!B134</f>
        <v>-1.8806115020626027E-2</v>
      </c>
      <c r="C135" s="5">
        <f>(Cotacoes!C135-Cotacoes!C134)/Cotacoes!C134</f>
        <v>-6.6558147947187549E-2</v>
      </c>
      <c r="D135" s="5">
        <f>(Cotacoes!D135-Cotacoes!D134)/Cotacoes!D134</f>
        <v>-2.6898734177215177E-2</v>
      </c>
      <c r="E135" s="5">
        <f>(Cotacoes!E135-Cotacoes!E134)/Cotacoes!E134</f>
        <v>-1.1377245508981899E-2</v>
      </c>
      <c r="F135" s="5">
        <f>(Cotacoes!F135-Cotacoes!F134)/Cotacoes!F134</f>
        <v>-3.1929347826087001E-2</v>
      </c>
      <c r="G135" s="5">
        <f>(Cotacoes!G135-Cotacoes!G134)/Cotacoes!G134</f>
        <v>-1.2272367379255829E-2</v>
      </c>
      <c r="H135" s="5">
        <f>(Cotacoes!H135-Cotacoes!H134)/Cotacoes!H134</f>
        <v>-7.930214115780957E-4</v>
      </c>
      <c r="I135" s="5">
        <f>(Cotacoes!I135-Cotacoes!I134)/Cotacoes!I134</f>
        <v>9.4993581514761852E-3</v>
      </c>
      <c r="J135" s="5">
        <f>(Cotacoes!J135-Cotacoes!J134)/Cotacoes!J134</f>
        <v>-3.0617051342440547E-3</v>
      </c>
      <c r="K135" s="5">
        <f>(Cotacoes!K135-Cotacoes!K134)/Cotacoes!K134</f>
        <v>-2.247191011235947E-2</v>
      </c>
      <c r="L135" s="5">
        <f>(Cotacoes!L135-Cotacoes!L134)/Cotacoes!L134</f>
        <v>0</v>
      </c>
      <c r="M135" s="5">
        <f>(Cotacoes!M135-Cotacoes!M134)/Cotacoes!M134</f>
        <v>1.8638573743922238E-2</v>
      </c>
      <c r="N135" s="5">
        <f>(Cotacoes!N135-Cotacoes!N134)/Cotacoes!N134</f>
        <v>-1.8903591682419257E-3</v>
      </c>
      <c r="O135" s="5">
        <f>(Cotacoes!O135-Cotacoes!O134)/Cotacoes!O134</f>
        <v>5.2562417871222121E-3</v>
      </c>
      <c r="P135" s="5">
        <f>(Cotacoes!P135-Cotacoes!P134)/Cotacoes!P134</f>
        <v>8.9445438282645677E-4</v>
      </c>
      <c r="Q135" s="5">
        <f>(Cotacoes!Q135-Cotacoes!Q134)/Cotacoes!Q134</f>
        <v>-2.7230046948356894E-2</v>
      </c>
      <c r="R135" s="5">
        <f>(Cotacoes!R135-Cotacoes!R134)/Cotacoes!R134</f>
        <v>-4.8387096774193644E-2</v>
      </c>
      <c r="S135" s="5">
        <f>(Cotacoes!S135-Cotacoes!S134)/Cotacoes!S134</f>
        <v>4.4722719141324432E-3</v>
      </c>
      <c r="T135" s="5">
        <f>(Cotacoes!T135-Cotacoes!T134)/Cotacoes!T134</f>
        <v>-3.8497217068645562E-2</v>
      </c>
      <c r="U135" s="5">
        <f>(Cotacoes!U135-Cotacoes!U134)/Cotacoes!U134</f>
        <v>-1.2004801920768195E-2</v>
      </c>
      <c r="V135" s="5">
        <f>(Cotacoes!V135-Cotacoes!V134)/Cotacoes!V134</f>
        <v>-2.3925233644859833E-2</v>
      </c>
      <c r="W135" s="5"/>
    </row>
    <row r="136" spans="1:23" x14ac:dyDescent="0.2">
      <c r="A136" s="4">
        <v>44757</v>
      </c>
      <c r="B136" s="5">
        <f>(Cotacoes!B136-Cotacoes!B135)/Cotacoes!B135</f>
        <v>7.790280697415549E-3</v>
      </c>
      <c r="C136" s="5">
        <f>(Cotacoes!C136-Cotacoes!C135)/Cotacoes!C135</f>
        <v>6.2003487696182967E-3</v>
      </c>
      <c r="D136" s="5">
        <f>(Cotacoes!D136-Cotacoes!D135)/Cotacoes!D135</f>
        <v>1.7073170731707242E-2</v>
      </c>
      <c r="E136" s="5">
        <f>(Cotacoes!E136-Cotacoes!E135)/Cotacoes!E135</f>
        <v>1.81708055723802E-2</v>
      </c>
      <c r="F136" s="5">
        <f>(Cotacoes!F136-Cotacoes!F135)/Cotacoes!F135</f>
        <v>1.9649122807017499E-2</v>
      </c>
      <c r="G136" s="5">
        <f>(Cotacoes!G136-Cotacoes!G135)/Cotacoes!G135</f>
        <v>5.6112224448898029E-3</v>
      </c>
      <c r="H136" s="5">
        <f>(Cotacoes!H136-Cotacoes!H135)/Cotacoes!H135</f>
        <v>2.0634920634920617E-2</v>
      </c>
      <c r="I136" s="5">
        <f>(Cotacoes!I136-Cotacoes!I135)/Cotacoes!I135</f>
        <v>1.0172939979654084E-2</v>
      </c>
      <c r="J136" s="5">
        <f>(Cotacoes!J136-Cotacoes!J135)/Cotacoes!J135</f>
        <v>2.0789038506969115E-2</v>
      </c>
      <c r="K136" s="5">
        <f>(Cotacoes!K136-Cotacoes!K135)/Cotacoes!K135</f>
        <v>6.1302681992337219E-3</v>
      </c>
      <c r="L136" s="5">
        <f>(Cotacoes!L136-Cotacoes!L135)/Cotacoes!L135</f>
        <v>-2.4364406779660876E-2</v>
      </c>
      <c r="M136" s="5">
        <f>(Cotacoes!M136-Cotacoes!M135)/Cotacoes!M135</f>
        <v>-1.6706443914081211E-2</v>
      </c>
      <c r="N136" s="5">
        <f>(Cotacoes!N136-Cotacoes!N135)/Cotacoes!N135</f>
        <v>3.0303030303030328E-2</v>
      </c>
      <c r="O136" s="5">
        <f>(Cotacoes!O136-Cotacoes!O135)/Cotacoes!O135</f>
        <v>-1.8954248366013133E-2</v>
      </c>
      <c r="P136" s="5">
        <f>(Cotacoes!P136-Cotacoes!P135)/Cotacoes!P135</f>
        <v>-3.5746201966040348E-3</v>
      </c>
      <c r="Q136" s="5">
        <f>(Cotacoes!Q136-Cotacoes!Q135)/Cotacoes!Q135</f>
        <v>-2.3407335907335881E-2</v>
      </c>
      <c r="R136" s="5">
        <f>(Cotacoes!R136-Cotacoes!R135)/Cotacoes!R135</f>
        <v>2.2598870056497241E-2</v>
      </c>
      <c r="S136" s="5">
        <f>(Cotacoes!S136-Cotacoes!S135)/Cotacoes!S135</f>
        <v>-4.4523597506685499E-4</v>
      </c>
      <c r="T136" s="5">
        <f>(Cotacoes!T136-Cotacoes!T135)/Cotacoes!T135</f>
        <v>-2.8943560057886502E-3</v>
      </c>
      <c r="U136" s="5">
        <f>(Cotacoes!U136-Cotacoes!U135)/Cotacoes!U135</f>
        <v>-1.8226002430134346E-3</v>
      </c>
      <c r="V136" s="5">
        <f>(Cotacoes!V136-Cotacoes!V135)/Cotacoes!V135</f>
        <v>-2.9490616621983899E-2</v>
      </c>
      <c r="W136" s="5"/>
    </row>
    <row r="137" spans="1:23" x14ac:dyDescent="0.2">
      <c r="A137" s="4">
        <v>44760</v>
      </c>
      <c r="B137" s="5">
        <f>(Cotacoes!B137-Cotacoes!B136)/Cotacoes!B136</f>
        <v>3.4355828220859037E-3</v>
      </c>
      <c r="C137" s="5">
        <f>(Cotacoes!C137-Cotacoes!C136)/Cotacoes!C136</f>
        <v>5.199306759098847E-3</v>
      </c>
      <c r="D137" s="5">
        <f>(Cotacoes!D137-Cotacoes!D136)/Cotacoes!D136</f>
        <v>2.2382094324540316E-2</v>
      </c>
      <c r="E137" s="5">
        <f>(Cotacoes!E137-Cotacoes!E136)/Cotacoes!E136</f>
        <v>1.3087447947650353E-2</v>
      </c>
      <c r="F137" s="5">
        <f>(Cotacoes!F137-Cotacoes!F136)/Cotacoes!F136</f>
        <v>3.3723331039229199E-2</v>
      </c>
      <c r="G137" s="5">
        <f>(Cotacoes!G137-Cotacoes!G136)/Cotacoes!G136</f>
        <v>-1.6341171781586294E-2</v>
      </c>
      <c r="H137" s="5">
        <f>(Cotacoes!H137-Cotacoes!H136)/Cotacoes!H136</f>
        <v>1.3996889580093291E-2</v>
      </c>
      <c r="I137" s="5">
        <f>(Cotacoes!I137-Cotacoes!I136)/Cotacoes!I136</f>
        <v>-3.5246727089627535E-3</v>
      </c>
      <c r="J137" s="5">
        <f>(Cotacoes!J137-Cotacoes!J136)/Cotacoes!J136</f>
        <v>-1.7357093265447814E-2</v>
      </c>
      <c r="K137" s="5">
        <f>(Cotacoes!K137-Cotacoes!K136)/Cotacoes!K136</f>
        <v>1.2947448591012942E-2</v>
      </c>
      <c r="L137" s="5">
        <f>(Cotacoes!L137-Cotacoes!L136)/Cotacoes!L136</f>
        <v>2.3887079261671971E-2</v>
      </c>
      <c r="M137" s="5">
        <f>(Cotacoes!M137-Cotacoes!M136)/Cotacoes!M136</f>
        <v>-6.4724919093851196E-3</v>
      </c>
      <c r="N137" s="5">
        <f>(Cotacoes!N137-Cotacoes!N136)/Cotacoes!N136</f>
        <v>9.1911764705882026E-3</v>
      </c>
      <c r="O137" s="5">
        <f>(Cotacoes!O137-Cotacoes!O136)/Cotacoes!O136</f>
        <v>-7.9946702198533792E-3</v>
      </c>
      <c r="P137" s="5">
        <f>(Cotacoes!P137-Cotacoes!P136)/Cotacoes!P136</f>
        <v>1.2556053811659085E-2</v>
      </c>
      <c r="Q137" s="5">
        <f>(Cotacoes!Q137-Cotacoes!Q136)/Cotacoes!Q136</f>
        <v>-4.2006424511984606E-3</v>
      </c>
      <c r="R137" s="5">
        <f>(Cotacoes!R137-Cotacoes!R136)/Cotacoes!R136</f>
        <v>-5.0226017076853661E-4</v>
      </c>
      <c r="S137" s="5">
        <f>(Cotacoes!S137-Cotacoes!S136)/Cotacoes!S136</f>
        <v>1.7817371937638819E-3</v>
      </c>
      <c r="T137" s="5">
        <f>(Cotacoes!T137-Cotacoes!T136)/Cotacoes!T136</f>
        <v>6.6763425253991232E-2</v>
      </c>
      <c r="U137" s="5">
        <f>(Cotacoes!U137-Cotacoes!U136)/Cotacoes!U136</f>
        <v>-1.8259281801581721E-3</v>
      </c>
      <c r="V137" s="5">
        <f>(Cotacoes!V137-Cotacoes!V136)/Cotacoes!V136</f>
        <v>-2.6440410418310897E-2</v>
      </c>
      <c r="W137" s="5"/>
    </row>
    <row r="138" spans="1:23" x14ac:dyDescent="0.2">
      <c r="A138" s="4">
        <v>44761</v>
      </c>
      <c r="B138" s="5">
        <f>(Cotacoes!B138-Cotacoes!B137)/Cotacoes!B137</f>
        <v>8.8041085840058556E-3</v>
      </c>
      <c r="C138" s="5">
        <f>(Cotacoes!C138-Cotacoes!C137)/Cotacoes!C137</f>
        <v>2.107279693486579E-3</v>
      </c>
      <c r="D138" s="5">
        <f>(Cotacoes!D138-Cotacoes!D137)/Cotacoes!D137</f>
        <v>2.0328381548084563E-2</v>
      </c>
      <c r="E138" s="5">
        <f>(Cotacoes!E138-Cotacoes!E137)/Cotacoes!E137</f>
        <v>3.4057545507927084E-2</v>
      </c>
      <c r="F138" s="5">
        <f>(Cotacoes!F138-Cotacoes!F137)/Cotacoes!F137</f>
        <v>1.0652463382157133E-2</v>
      </c>
      <c r="G138" s="5">
        <f>(Cotacoes!G138-Cotacoes!G137)/Cotacoes!G137</f>
        <v>3.2414910858995165E-2</v>
      </c>
      <c r="H138" s="5">
        <f>(Cotacoes!H138-Cotacoes!H137)/Cotacoes!H137</f>
        <v>2.6840490797546124E-2</v>
      </c>
      <c r="I138" s="5">
        <f>(Cotacoes!I138-Cotacoes!I137)/Cotacoes!I137</f>
        <v>7.5795856493179456E-3</v>
      </c>
      <c r="J138" s="5">
        <f>(Cotacoes!J138-Cotacoes!J137)/Cotacoes!J137</f>
        <v>3.5327366933584213E-3</v>
      </c>
      <c r="K138" s="5">
        <f>(Cotacoes!K138-Cotacoes!K137)/Cotacoes!K137</f>
        <v>3.6842105263157773E-2</v>
      </c>
      <c r="L138" s="5">
        <f>(Cotacoes!L138-Cotacoes!L137)/Cotacoes!L137</f>
        <v>-5.3022269353127189E-3</v>
      </c>
      <c r="M138" s="5">
        <f>(Cotacoes!M138-Cotacoes!M137)/Cotacoes!M137</f>
        <v>-8.1433224755698595E-4</v>
      </c>
      <c r="N138" s="5">
        <f>(Cotacoes!N138-Cotacoes!N137)/Cotacoes!N137</f>
        <v>2.0036429872495341E-2</v>
      </c>
      <c r="O138" s="5">
        <f>(Cotacoes!O138-Cotacoes!O137)/Cotacoes!O137</f>
        <v>-5.0369375419745512E-3</v>
      </c>
      <c r="P138" s="5">
        <f>(Cotacoes!P138-Cotacoes!P137)/Cotacoes!P137</f>
        <v>7.7059344552701595E-2</v>
      </c>
      <c r="Q138" s="5">
        <f>(Cotacoes!Q138-Cotacoes!Q137)/Cotacoes!Q137</f>
        <v>5.0124069478908267E-2</v>
      </c>
      <c r="R138" s="5">
        <f>(Cotacoes!R138-Cotacoes!R137)/Cotacoes!R137</f>
        <v>5.1758793969849309E-2</v>
      </c>
      <c r="S138" s="5">
        <f>(Cotacoes!S138-Cotacoes!S137)/Cotacoes!S137</f>
        <v>8.0035571365052599E-3</v>
      </c>
      <c r="T138" s="5">
        <f>(Cotacoes!T138-Cotacoes!T137)/Cotacoes!T137</f>
        <v>1.2244897959183654E-2</v>
      </c>
      <c r="U138" s="5">
        <f>(Cotacoes!U138-Cotacoes!U137)/Cotacoes!U137</f>
        <v>1.6260162601625669E-3</v>
      </c>
      <c r="V138" s="5">
        <f>(Cotacoes!V138-Cotacoes!V137)/Cotacoes!V137</f>
        <v>3.8508309687879987E-2</v>
      </c>
      <c r="W138" s="5"/>
    </row>
    <row r="139" spans="1:23" x14ac:dyDescent="0.2">
      <c r="A139" s="4">
        <v>44762</v>
      </c>
      <c r="B139" s="5">
        <f>(Cotacoes!B139-Cotacoes!B138)/Cotacoes!B138</f>
        <v>3.2727272727272245E-3</v>
      </c>
      <c r="C139" s="5">
        <f>(Cotacoes!C139-Cotacoes!C138)/Cotacoes!C138</f>
        <v>-2.1601988147581772E-2</v>
      </c>
      <c r="D139" s="5">
        <f>(Cotacoes!D139-Cotacoes!D138)/Cotacoes!D138</f>
        <v>0</v>
      </c>
      <c r="E139" s="5">
        <f>(Cotacoes!E139-Cotacoes!E138)/Cotacoes!E138</f>
        <v>-1.3060760931289064E-2</v>
      </c>
      <c r="F139" s="5">
        <f>(Cotacoes!F139-Cotacoes!F138)/Cotacoes!F138</f>
        <v>8.5638998682477461E-3</v>
      </c>
      <c r="G139" s="5">
        <f>(Cotacoes!G139-Cotacoes!G138)/Cotacoes!G138</f>
        <v>-3.6106750392464741E-2</v>
      </c>
      <c r="H139" s="5">
        <f>(Cotacoes!H139-Cotacoes!H138)/Cotacoes!H138</f>
        <v>0</v>
      </c>
      <c r="I139" s="5">
        <f>(Cotacoes!I139-Cotacoes!I138)/Cotacoes!I138</f>
        <v>3.259779338013928E-3</v>
      </c>
      <c r="J139" s="5">
        <f>(Cotacoes!J139-Cotacoes!J138)/Cotacoes!J138</f>
        <v>-4.9284205585543497E-3</v>
      </c>
      <c r="K139" s="5">
        <f>(Cotacoes!K139-Cotacoes!K138)/Cotacoes!K138</f>
        <v>-1.3052936910804912E-2</v>
      </c>
      <c r="L139" s="5">
        <f>(Cotacoes!L139-Cotacoes!L138)/Cotacoes!L138</f>
        <v>3.1982942430703508E-2</v>
      </c>
      <c r="M139" s="5">
        <f>(Cotacoes!M139-Cotacoes!M138)/Cotacoes!M138</f>
        <v>-1.303993480032601E-2</v>
      </c>
      <c r="N139" s="5">
        <f>(Cotacoes!N139-Cotacoes!N138)/Cotacoes!N138</f>
        <v>-1.6071428571428546E-2</v>
      </c>
      <c r="O139" s="5">
        <f>(Cotacoes!O139-Cotacoes!O138)/Cotacoes!O138</f>
        <v>1.4849814377320327E-2</v>
      </c>
      <c r="P139" s="5">
        <f>(Cotacoes!P139-Cotacoes!P138)/Cotacoes!P138</f>
        <v>-1.6447368421052282E-3</v>
      </c>
      <c r="Q139" s="5">
        <f>(Cotacoes!Q139-Cotacoes!Q138)/Cotacoes!Q138</f>
        <v>-2.0793950850661685E-2</v>
      </c>
      <c r="R139" s="5">
        <f>(Cotacoes!R139-Cotacoes!R138)/Cotacoes!R138</f>
        <v>-9.5556617295745698E-4</v>
      </c>
      <c r="S139" s="5">
        <f>(Cotacoes!S139-Cotacoes!S138)/Cotacoes!S138</f>
        <v>2.2055580061755623E-2</v>
      </c>
      <c r="T139" s="5">
        <f>(Cotacoes!T139-Cotacoes!T138)/Cotacoes!T138</f>
        <v>-4.4802867383513184E-3</v>
      </c>
      <c r="U139" s="5">
        <f>(Cotacoes!U139-Cotacoes!U138)/Cotacoes!U138</f>
        <v>-7.9139610389610503E-3</v>
      </c>
      <c r="V139" s="5">
        <f>(Cotacoes!V139-Cotacoes!V138)/Cotacoes!V138</f>
        <v>4.8790007806401248E-2</v>
      </c>
      <c r="W139" s="5"/>
    </row>
    <row r="140" spans="1:23" x14ac:dyDescent="0.2">
      <c r="A140" s="4">
        <v>44763</v>
      </c>
      <c r="B140" s="5">
        <f>(Cotacoes!B140-Cotacoes!B139)/Cotacoes!B139</f>
        <v>5.1951190044703015E-3</v>
      </c>
      <c r="C140" s="5">
        <f>(Cotacoes!C140-Cotacoes!C139)/Cotacoes!C139</f>
        <v>1.758499413833526E-2</v>
      </c>
      <c r="D140" s="5">
        <f>(Cotacoes!D140-Cotacoes!D139)/Cotacoes!D139</f>
        <v>-5.3639846743295232E-3</v>
      </c>
      <c r="E140" s="5">
        <f>(Cotacoes!E140-Cotacoes!E139)/Cotacoes!E139</f>
        <v>8.6306098964328039E-3</v>
      </c>
      <c r="F140" s="5">
        <f>(Cotacoes!F140-Cotacoes!F139)/Cotacoes!F139</f>
        <v>-1.0450685826257357E-2</v>
      </c>
      <c r="G140" s="5">
        <f>(Cotacoes!G140-Cotacoes!G139)/Cotacoes!G139</f>
        <v>-2.5244299674266998E-2</v>
      </c>
      <c r="H140" s="5">
        <f>(Cotacoes!H140-Cotacoes!H139)/Cotacoes!H139</f>
        <v>7.4682598954443347E-3</v>
      </c>
      <c r="I140" s="5">
        <f>(Cotacoes!I140-Cotacoes!I139)/Cotacoes!I139</f>
        <v>4.2489377655586533E-3</v>
      </c>
      <c r="J140" s="5">
        <f>(Cotacoes!J140-Cotacoes!J139)/Cotacoes!J139</f>
        <v>-4.7169811320745334E-4</v>
      </c>
      <c r="K140" s="5">
        <f>(Cotacoes!K140-Cotacoes!K139)/Cotacoes!K139</f>
        <v>1.322556943423951E-2</v>
      </c>
      <c r="L140" s="5">
        <f>(Cotacoes!L140-Cotacoes!L139)/Cotacoes!L139</f>
        <v>4.4421487603305755E-2</v>
      </c>
      <c r="M140" s="5">
        <f>(Cotacoes!M140-Cotacoes!M139)/Cotacoes!M139</f>
        <v>1.8166804293971977E-2</v>
      </c>
      <c r="N140" s="5">
        <f>(Cotacoes!N140-Cotacoes!N139)/Cotacoes!N139</f>
        <v>1.2704174228675189E-2</v>
      </c>
      <c r="O140" s="5">
        <f>(Cotacoes!O140-Cotacoes!O139)/Cotacoes!O139</f>
        <v>2.6604589291652832E-2</v>
      </c>
      <c r="P140" s="5">
        <f>(Cotacoes!P140-Cotacoes!P139)/Cotacoes!P139</f>
        <v>-1.4003294892915973E-2</v>
      </c>
      <c r="Q140" s="5">
        <f>(Cotacoes!Q140-Cotacoes!Q139)/Cotacoes!Q139</f>
        <v>1.423745173745182E-2</v>
      </c>
      <c r="R140" s="5">
        <f>(Cotacoes!R140-Cotacoes!R139)/Cotacoes!R139</f>
        <v>-2.3912003825920952E-3</v>
      </c>
      <c r="S140" s="5">
        <f>(Cotacoes!S140-Cotacoes!S139)/Cotacoes!S139</f>
        <v>7.3370738023305192E-3</v>
      </c>
      <c r="T140" s="5">
        <f>(Cotacoes!T140-Cotacoes!T139)/Cotacoes!T139</f>
        <v>2.6102610261026189E-2</v>
      </c>
      <c r="U140" s="5">
        <f>(Cotacoes!U140-Cotacoes!U139)/Cotacoes!U139</f>
        <v>1.574964205358961E-2</v>
      </c>
      <c r="V140" s="5">
        <f>(Cotacoes!V140-Cotacoes!V139)/Cotacoes!V139</f>
        <v>7.7781912914030513E-2</v>
      </c>
      <c r="W140" s="5"/>
    </row>
    <row r="141" spans="1:23" x14ac:dyDescent="0.2">
      <c r="A141" s="4">
        <v>44764</v>
      </c>
      <c r="B141" s="5">
        <f>(Cotacoes!B141-Cotacoes!B140)/Cotacoes!B140</f>
        <v>-6.0096153846150423E-4</v>
      </c>
      <c r="C141" s="5">
        <f>(Cotacoes!C141-Cotacoes!C140)/Cotacoes!C140</f>
        <v>9.2165898617512284E-3</v>
      </c>
      <c r="D141" s="5">
        <f>(Cotacoes!D141-Cotacoes!D140)/Cotacoes!D140</f>
        <v>1.0785824345146286E-2</v>
      </c>
      <c r="E141" s="5">
        <f>(Cotacoes!E141-Cotacoes!E140)/Cotacoes!E140</f>
        <v>-1.0838562464346906E-2</v>
      </c>
      <c r="F141" s="5">
        <f>(Cotacoes!F141-Cotacoes!F140)/Cotacoes!F140</f>
        <v>1.056105610561057E-2</v>
      </c>
      <c r="G141" s="5">
        <f>(Cotacoes!G141-Cotacoes!G140)/Cotacoes!G140</f>
        <v>2.0050125313283224E-2</v>
      </c>
      <c r="H141" s="5">
        <f>(Cotacoes!H141-Cotacoes!H140)/Cotacoes!H140</f>
        <v>-7.4128984432913006E-3</v>
      </c>
      <c r="I141" s="5">
        <f>(Cotacoes!I141-Cotacoes!I140)/Cotacoes!I140</f>
        <v>1.7421602787456518E-3</v>
      </c>
      <c r="J141" s="5">
        <f>(Cotacoes!J141-Cotacoes!J140)/Cotacoes!J140</f>
        <v>2.7607361963190056E-2</v>
      </c>
      <c r="K141" s="5">
        <f>(Cotacoes!K141-Cotacoes!K140)/Cotacoes!K140</f>
        <v>-1.2327773749093541E-2</v>
      </c>
      <c r="L141" s="5">
        <f>(Cotacoes!L141-Cotacoes!L140)/Cotacoes!L140</f>
        <v>-2.5717111770524215E-2</v>
      </c>
      <c r="M141" s="5">
        <f>(Cotacoes!M141-Cotacoes!M140)/Cotacoes!M140</f>
        <v>-3.2441200324412754E-3</v>
      </c>
      <c r="N141" s="5">
        <f>(Cotacoes!N141-Cotacoes!N140)/Cotacoes!N140</f>
        <v>-1.07526881720431E-2</v>
      </c>
      <c r="O141" s="5">
        <f>(Cotacoes!O141-Cotacoes!O140)/Cotacoes!O140</f>
        <v>-4.5351473922902678E-3</v>
      </c>
      <c r="P141" s="5">
        <f>(Cotacoes!P141-Cotacoes!P140)/Cotacoes!P140</f>
        <v>-9.1896407685882371E-3</v>
      </c>
      <c r="Q141" s="5">
        <f>(Cotacoes!Q141-Cotacoes!Q140)/Cotacoes!Q140</f>
        <v>2.7837259100642438E-2</v>
      </c>
      <c r="R141" s="5">
        <f>(Cotacoes!R141-Cotacoes!R140)/Cotacoes!R140</f>
        <v>-7.1907957813997407E-3</v>
      </c>
      <c r="S141" s="5">
        <f>(Cotacoes!S141-Cotacoes!S140)/Cotacoes!S140</f>
        <v>-1.2425021422450692E-2</v>
      </c>
      <c r="T141" s="5">
        <f>(Cotacoes!T141-Cotacoes!T140)/Cotacoes!T140</f>
        <v>-7.4561403508772673E-3</v>
      </c>
      <c r="U141" s="5">
        <f>(Cotacoes!U141-Cotacoes!U140)/Cotacoes!U140</f>
        <v>1.1276681433749543E-2</v>
      </c>
      <c r="V141" s="5">
        <f>(Cotacoes!V141-Cotacoes!V140)/Cotacoes!V140</f>
        <v>-8.9779005524862412E-3</v>
      </c>
      <c r="W141" s="5"/>
    </row>
    <row r="142" spans="1:23" x14ac:dyDescent="0.2">
      <c r="A142" s="4">
        <v>44767</v>
      </c>
      <c r="B142" s="5">
        <f>(Cotacoes!B142-Cotacoes!B141)/Cotacoes!B141</f>
        <v>1.5273601924233264E-2</v>
      </c>
      <c r="C142" s="5">
        <f>(Cotacoes!C142-Cotacoes!C141)/Cotacoes!C141</f>
        <v>1.8645357686453517E-2</v>
      </c>
      <c r="D142" s="5">
        <f>(Cotacoes!D142-Cotacoes!D141)/Cotacoes!D141</f>
        <v>4.6493902439024487E-2</v>
      </c>
      <c r="E142" s="5">
        <f>(Cotacoes!E142-Cotacoes!E141)/Cotacoes!E141</f>
        <v>1.4417531718569781E-2</v>
      </c>
      <c r="F142" s="5">
        <f>(Cotacoes!F142-Cotacoes!F141)/Cotacoes!F141</f>
        <v>4.310907903331157E-2</v>
      </c>
      <c r="G142" s="5">
        <f>(Cotacoes!G142-Cotacoes!G141)/Cotacoes!G141</f>
        <v>2.9893529893529763E-2</v>
      </c>
      <c r="H142" s="5">
        <f>(Cotacoes!H142-Cotacoes!H141)/Cotacoes!H141</f>
        <v>1.5683345780433091E-2</v>
      </c>
      <c r="I142" s="5">
        <f>(Cotacoes!I142-Cotacoes!I141)/Cotacoes!I141</f>
        <v>4.9689440993789524E-3</v>
      </c>
      <c r="J142" s="5">
        <f>(Cotacoes!J142-Cotacoes!J141)/Cotacoes!J141</f>
        <v>5.2812858783008957E-3</v>
      </c>
      <c r="K142" s="5">
        <f>(Cotacoes!K142-Cotacoes!K141)/Cotacoes!K141</f>
        <v>1.3215859030837114E-2</v>
      </c>
      <c r="L142" s="5">
        <f>(Cotacoes!L142-Cotacoes!L141)/Cotacoes!L141</f>
        <v>1.0152284263959175E-3</v>
      </c>
      <c r="M142" s="5">
        <f>(Cotacoes!M142-Cotacoes!M141)/Cotacoes!M141</f>
        <v>1.2205044751830787E-2</v>
      </c>
      <c r="N142" s="5">
        <f>(Cotacoes!N142-Cotacoes!N141)/Cotacoes!N141</f>
        <v>9.0579710144928823E-3</v>
      </c>
      <c r="O142" s="5">
        <f>(Cotacoes!O142-Cotacoes!O141)/Cotacoes!O141</f>
        <v>2.8961926456231715E-2</v>
      </c>
      <c r="P142" s="5">
        <f>(Cotacoes!P142-Cotacoes!P141)/Cotacoes!P141</f>
        <v>-6.7453625632377806E-3</v>
      </c>
      <c r="Q142" s="5">
        <f>(Cotacoes!Q142-Cotacoes!Q141)/Cotacoes!Q141</f>
        <v>-1.6435185185185205E-2</v>
      </c>
      <c r="R142" s="5">
        <f>(Cotacoes!R142-Cotacoes!R141)/Cotacoes!R141</f>
        <v>6.2771607918879289E-3</v>
      </c>
      <c r="S142" s="5">
        <f>(Cotacoes!S142-Cotacoes!S141)/Cotacoes!S141</f>
        <v>1.0412147505422926E-2</v>
      </c>
      <c r="T142" s="5">
        <f>(Cotacoes!T142-Cotacoes!T141)/Cotacoes!T141</f>
        <v>4.1537781705700459E-2</v>
      </c>
      <c r="U142" s="5">
        <f>(Cotacoes!U142-Cotacoes!U141)/Cotacoes!U141</f>
        <v>1.4934289127837515E-2</v>
      </c>
      <c r="V142" s="5">
        <f>(Cotacoes!V142-Cotacoes!V141)/Cotacoes!V141</f>
        <v>2.0905923344947785E-2</v>
      </c>
      <c r="W142" s="5"/>
    </row>
    <row r="143" spans="1:23" x14ac:dyDescent="0.2">
      <c r="A143" s="4">
        <v>44768</v>
      </c>
      <c r="B143" s="5">
        <f>(Cotacoes!B143-Cotacoes!B142)/Cotacoes!B142</f>
        <v>-1.7768301350391577E-3</v>
      </c>
      <c r="C143" s="5">
        <f>(Cotacoes!C143-Cotacoes!C142)/Cotacoes!C142</f>
        <v>-1.8677624206201236E-3</v>
      </c>
      <c r="D143" s="5">
        <f>(Cotacoes!D143-Cotacoes!D142)/Cotacoes!D142</f>
        <v>1.0196649672250459E-2</v>
      </c>
      <c r="E143" s="5">
        <f>(Cotacoes!E143-Cotacoes!E142)/Cotacoes!E142</f>
        <v>-5.1165434906196624E-3</v>
      </c>
      <c r="F143" s="5">
        <f>(Cotacoes!F143-Cotacoes!F142)/Cotacoes!F142</f>
        <v>1.4402003757044373E-2</v>
      </c>
      <c r="G143" s="5">
        <f>(Cotacoes!G143-Cotacoes!G142)/Cotacoes!G142</f>
        <v>-1.0337972166997934E-2</v>
      </c>
      <c r="H143" s="5">
        <f>(Cotacoes!H143-Cotacoes!H142)/Cotacoes!H142</f>
        <v>3.6764705882353465E-3</v>
      </c>
      <c r="I143" s="5">
        <f>(Cotacoes!I143-Cotacoes!I142)/Cotacoes!I142</f>
        <v>-4.449938195302836E-3</v>
      </c>
      <c r="J143" s="5">
        <f>(Cotacoes!J143-Cotacoes!J142)/Cotacoes!J142</f>
        <v>-9.3650068524441226E-3</v>
      </c>
      <c r="K143" s="5">
        <f>(Cotacoes!K143-Cotacoes!K142)/Cotacoes!K142</f>
        <v>-6.5217391304347718E-3</v>
      </c>
      <c r="L143" s="5">
        <f>(Cotacoes!L143-Cotacoes!L142)/Cotacoes!L142</f>
        <v>0</v>
      </c>
      <c r="M143" s="5">
        <f>(Cotacoes!M143-Cotacoes!M142)/Cotacoes!M142</f>
        <v>9.6463022508039391E-3</v>
      </c>
      <c r="N143" s="5">
        <f>(Cotacoes!N143-Cotacoes!N142)/Cotacoes!N142</f>
        <v>-3.5906642728905673E-3</v>
      </c>
      <c r="O143" s="5">
        <f>(Cotacoes!O143-Cotacoes!O142)/Cotacoes!O142</f>
        <v>2.9728020240354244E-2</v>
      </c>
      <c r="P143" s="5">
        <f>(Cotacoes!P143-Cotacoes!P142)/Cotacoes!P142</f>
        <v>-1.6129032258064474E-2</v>
      </c>
      <c r="Q143" s="5">
        <f>(Cotacoes!Q143-Cotacoes!Q142)/Cotacoes!Q142</f>
        <v>-1.3414921157919516E-2</v>
      </c>
      <c r="R143" s="5">
        <f>(Cotacoes!R143-Cotacoes!R142)/Cotacoes!R142</f>
        <v>-3.4548944337811846E-2</v>
      </c>
      <c r="S143" s="5">
        <f>(Cotacoes!S143-Cotacoes!S142)/Cotacoes!S142</f>
        <v>8.1580077286389566E-3</v>
      </c>
      <c r="T143" s="5">
        <f>(Cotacoes!T143-Cotacoes!T142)/Cotacoes!T142</f>
        <v>5.5154857870173529E-3</v>
      </c>
      <c r="U143" s="5">
        <f>(Cotacoes!U143-Cotacoes!U142)/Cotacoes!U142</f>
        <v>-2.3150873062585831E-2</v>
      </c>
      <c r="V143" s="5">
        <f>(Cotacoes!V143-Cotacoes!V142)/Cotacoes!V142</f>
        <v>-2.6621160409556352E-2</v>
      </c>
      <c r="W143" s="5"/>
    </row>
    <row r="144" spans="1:23" x14ac:dyDescent="0.2">
      <c r="A144" s="4">
        <v>44769</v>
      </c>
      <c r="B144" s="5">
        <f>(Cotacoes!B144-Cotacoes!B143)/Cotacoes!B143</f>
        <v>1.1273288240180406E-2</v>
      </c>
      <c r="C144" s="5">
        <f>(Cotacoes!C144-Cotacoes!C143)/Cotacoes!C143</f>
        <v>2.2455089820360135E-3</v>
      </c>
      <c r="D144" s="5">
        <f>(Cotacoes!D144-Cotacoes!D143)/Cotacoes!D143</f>
        <v>1.1535688536409528E-2</v>
      </c>
      <c r="E144" s="5">
        <f>(Cotacoes!E144-Cotacoes!E143)/Cotacoes!E143</f>
        <v>3.4285714285713555E-3</v>
      </c>
      <c r="F144" s="5">
        <f>(Cotacoes!F144-Cotacoes!F143)/Cotacoes!F143</f>
        <v>6.7901234567900887E-3</v>
      </c>
      <c r="G144" s="5">
        <f>(Cotacoes!G144-Cotacoes!G143)/Cotacoes!G143</f>
        <v>2.5311370028123704E-2</v>
      </c>
      <c r="H144" s="5">
        <f>(Cotacoes!H144-Cotacoes!H143)/Cotacoes!H143</f>
        <v>5.860805860805866E-3</v>
      </c>
      <c r="I144" s="5">
        <f>(Cotacoes!I144-Cotacoes!I143)/Cotacoes!I143</f>
        <v>1.5892724112242202E-2</v>
      </c>
      <c r="J144" s="5">
        <f>(Cotacoes!J144-Cotacoes!J143)/Cotacoes!J143</f>
        <v>1.2451002997463666E-2</v>
      </c>
      <c r="K144" s="5">
        <f>(Cotacoes!K144-Cotacoes!K143)/Cotacoes!K143</f>
        <v>5.8351568198394084E-3</v>
      </c>
      <c r="L144" s="5">
        <f>(Cotacoes!L144-Cotacoes!L143)/Cotacoes!L143</f>
        <v>1.3184584178499065E-2</v>
      </c>
      <c r="M144" s="5">
        <f>(Cotacoes!M144-Cotacoes!M143)/Cotacoes!M143</f>
        <v>1.0350318471337499E-2</v>
      </c>
      <c r="N144" s="5">
        <f>(Cotacoes!N144-Cotacoes!N143)/Cotacoes!N143</f>
        <v>5.4054054054054508E-3</v>
      </c>
      <c r="O144" s="5">
        <f>(Cotacoes!O144-Cotacoes!O143)/Cotacoes!O143</f>
        <v>1.9041769041768963E-2</v>
      </c>
      <c r="P144" s="5">
        <f>(Cotacoes!P144-Cotacoes!P143)/Cotacoes!P143</f>
        <v>2.8472821397756694E-2</v>
      </c>
      <c r="Q144" s="5">
        <f>(Cotacoes!Q144-Cotacoes!Q143)/Cotacoes!Q143</f>
        <v>2.9341603053435038E-2</v>
      </c>
      <c r="R144" s="5">
        <f>(Cotacoes!R144-Cotacoes!R143)/Cotacoes!R143</f>
        <v>1.9880715705765335E-2</v>
      </c>
      <c r="S144" s="5">
        <f>(Cotacoes!S144-Cotacoes!S143)/Cotacoes!S143</f>
        <v>2.7257240204429326E-2</v>
      </c>
      <c r="T144" s="5">
        <f>(Cotacoes!T144-Cotacoes!T143)/Cotacoes!T143</f>
        <v>-2.1097046413502412E-3</v>
      </c>
      <c r="U144" s="5">
        <f>(Cotacoes!U144-Cotacoes!U143)/Cotacoes!U143</f>
        <v>4.6394858405302317E-2</v>
      </c>
      <c r="V144" s="5">
        <f>(Cotacoes!V144-Cotacoes!V143)/Cotacoes!V143</f>
        <v>2.9803646563814918E-2</v>
      </c>
      <c r="W144" s="5"/>
    </row>
    <row r="145" spans="1:23" x14ac:dyDescent="0.2">
      <c r="A145" s="4">
        <v>44770</v>
      </c>
      <c r="B145" s="5">
        <f>(Cotacoes!B145-Cotacoes!B144)/Cotacoes!B144</f>
        <v>1.149964796996015E-2</v>
      </c>
      <c r="C145" s="5">
        <f>(Cotacoes!C145-Cotacoes!C144)/Cotacoes!C144</f>
        <v>2.4271844660193323E-3</v>
      </c>
      <c r="D145" s="5">
        <f>(Cotacoes!D145-Cotacoes!D144)/Cotacoes!D144</f>
        <v>2.9935851746258013E-2</v>
      </c>
      <c r="E145" s="5">
        <f>(Cotacoes!E145-Cotacoes!E144)/Cotacoes!E144</f>
        <v>6.2642369020502846E-3</v>
      </c>
      <c r="F145" s="5">
        <f>(Cotacoes!F145-Cotacoes!F144)/Cotacoes!F144</f>
        <v>2.0846106683016546E-2</v>
      </c>
      <c r="G145" s="5">
        <f>(Cotacoes!G145-Cotacoes!G144)/Cotacoes!G144</f>
        <v>3.9576802507837051E-2</v>
      </c>
      <c r="H145" s="5">
        <f>(Cotacoes!H145-Cotacoes!H144)/Cotacoes!H144</f>
        <v>1.8936635105608141E-2</v>
      </c>
      <c r="I145" s="5">
        <f>(Cotacoes!I145-Cotacoes!I144)/Cotacoes!I144</f>
        <v>1.9555120997312493E-3</v>
      </c>
      <c r="J145" s="5">
        <f>(Cotacoes!J145-Cotacoes!J144)/Cotacoes!J144</f>
        <v>1.7991345934866915E-2</v>
      </c>
      <c r="K145" s="5">
        <f>(Cotacoes!K145-Cotacoes!K144)/Cotacoes!K144</f>
        <v>7.2516316171139543E-3</v>
      </c>
      <c r="L145" s="5">
        <f>(Cotacoes!L145-Cotacoes!L144)/Cotacoes!L144</f>
        <v>3.5035035035035002E-2</v>
      </c>
      <c r="M145" s="5">
        <f>(Cotacoes!M145-Cotacoes!M144)/Cotacoes!M144</f>
        <v>7.8802206461780645E-3</v>
      </c>
      <c r="N145" s="5">
        <f>(Cotacoes!N145-Cotacoes!N144)/Cotacoes!N144</f>
        <v>1.075268817204294E-2</v>
      </c>
      <c r="O145" s="5">
        <f>(Cotacoes!O145-Cotacoes!O144)/Cotacoes!O144</f>
        <v>-3.3152501506931928E-2</v>
      </c>
      <c r="P145" s="5">
        <f>(Cotacoes!P145-Cotacoes!P144)/Cotacoes!P144</f>
        <v>-1.0906040268456442E-2</v>
      </c>
      <c r="Q145" s="5">
        <f>(Cotacoes!Q145-Cotacoes!Q144)/Cotacoes!Q144</f>
        <v>2.0857473928158382E-3</v>
      </c>
      <c r="R145" s="5">
        <f>(Cotacoes!R145-Cotacoes!R144)/Cotacoes!R144</f>
        <v>2.2417153996101405E-2</v>
      </c>
      <c r="S145" s="5">
        <f>(Cotacoes!S145-Cotacoes!S144)/Cotacoes!S144</f>
        <v>1.533996683250404E-2</v>
      </c>
      <c r="T145" s="5">
        <f>(Cotacoes!T145-Cotacoes!T144)/Cotacoes!T144</f>
        <v>4.2283298097252186E-3</v>
      </c>
      <c r="U145" s="5">
        <f>(Cotacoes!U145-Cotacoes!U144)/Cotacoes!U144</f>
        <v>7.6775431861802589E-4</v>
      </c>
      <c r="V145" s="5">
        <f>(Cotacoes!V145-Cotacoes!V144)/Cotacoes!V144</f>
        <v>1.3959822948586997E-2</v>
      </c>
      <c r="W145" s="5"/>
    </row>
    <row r="146" spans="1:23" x14ac:dyDescent="0.2">
      <c r="A146" s="4">
        <v>44771</v>
      </c>
      <c r="B146" s="5">
        <f>(Cotacoes!B146-Cotacoes!B145)/Cotacoes!B145</f>
        <v>1.1252900232018548E-2</v>
      </c>
      <c r="C146" s="5">
        <f>(Cotacoes!C146-Cotacoes!C145)/Cotacoes!C145</f>
        <v>-1.3410318495064237E-2</v>
      </c>
      <c r="D146" s="5">
        <f>(Cotacoes!D146-Cotacoes!D145)/Cotacoes!D145</f>
        <v>5.7439446366782013E-2</v>
      </c>
      <c r="E146" s="5">
        <f>(Cotacoes!E146-Cotacoes!E145)/Cotacoes!E145</f>
        <v>-3.3955857385400265E-3</v>
      </c>
      <c r="F146" s="5">
        <f>(Cotacoes!F146-Cotacoes!F145)/Cotacoes!F145</f>
        <v>6.4264264264264293E-2</v>
      </c>
      <c r="G146" s="5">
        <f>(Cotacoes!G146-Cotacoes!G145)/Cotacoes!G145</f>
        <v>3.7693177534865382E-3</v>
      </c>
      <c r="H146" s="5">
        <f>(Cotacoes!H146-Cotacoes!H145)/Cotacoes!H145</f>
        <v>-6.4331665475339424E-3</v>
      </c>
      <c r="I146" s="5">
        <f>(Cotacoes!I146-Cotacoes!I145)/Cotacoes!I145</f>
        <v>7.8067821419858571E-3</v>
      </c>
      <c r="J146" s="5">
        <f>(Cotacoes!J146-Cotacoes!J145)/Cotacoes!J145</f>
        <v>-6.7114093959734088E-4</v>
      </c>
      <c r="K146" s="5">
        <f>(Cotacoes!K146-Cotacoes!K145)/Cotacoes!K145</f>
        <v>2.1598272138228479E-3</v>
      </c>
      <c r="L146" s="5">
        <f>(Cotacoes!L146-Cotacoes!L145)/Cotacoes!L145</f>
        <v>-1.4506769825918796E-2</v>
      </c>
      <c r="M146" s="5">
        <f>(Cotacoes!M146-Cotacoes!M145)/Cotacoes!M145</f>
        <v>-1.0946051602814606E-2</v>
      </c>
      <c r="N146" s="5">
        <f>(Cotacoes!N146-Cotacoes!N145)/Cotacoes!N145</f>
        <v>-3.5460992907800663E-3</v>
      </c>
      <c r="O146" s="5">
        <f>(Cotacoes!O146-Cotacoes!O145)/Cotacoes!O145</f>
        <v>-4.3640897755610041E-3</v>
      </c>
      <c r="P146" s="5">
        <f>(Cotacoes!P146-Cotacoes!P145)/Cotacoes!P145</f>
        <v>-4.2408821034774329E-3</v>
      </c>
      <c r="Q146" s="5">
        <f>(Cotacoes!Q146-Cotacoes!Q145)/Cotacoes!Q145</f>
        <v>2.8445883441258021E-2</v>
      </c>
      <c r="R146" s="5">
        <f>(Cotacoes!R146-Cotacoes!R145)/Cotacoes!R145</f>
        <v>-1.0009532888465246E-2</v>
      </c>
      <c r="S146" s="5">
        <f>(Cotacoes!S146-Cotacoes!S145)/Cotacoes!S145</f>
        <v>1.306655777868519E-2</v>
      </c>
      <c r="T146" s="5">
        <f>(Cotacoes!T146-Cotacoes!T145)/Cotacoes!T145</f>
        <v>1.8105263157894725E-2</v>
      </c>
      <c r="U146" s="5">
        <f>(Cotacoes!U146-Cotacoes!U145)/Cotacoes!U145</f>
        <v>1.1507479861910678E-3</v>
      </c>
      <c r="V146" s="5">
        <f>(Cotacoes!V146-Cotacoes!V145)/Cotacoes!V145</f>
        <v>3.190060443250501E-2</v>
      </c>
      <c r="W146" s="5"/>
    </row>
    <row r="147" spans="1:23" x14ac:dyDescent="0.2">
      <c r="A147" s="4">
        <v>44774</v>
      </c>
      <c r="B147" s="5">
        <f>(Cotacoes!B147-Cotacoes!B146)/Cotacoes!B146</f>
        <v>-1.411035906848691E-2</v>
      </c>
      <c r="C147" s="5">
        <f>(Cotacoes!C147-Cotacoes!C146)/Cotacoes!C146</f>
        <v>-2.3787049273173457E-2</v>
      </c>
      <c r="D147" s="5">
        <f>(Cotacoes!D147-Cotacoes!D146)/Cotacoes!D146</f>
        <v>-1.3743455497382139E-2</v>
      </c>
      <c r="E147" s="5">
        <f>(Cotacoes!E147-Cotacoes!E146)/Cotacoes!E146</f>
        <v>-5.678591709255984E-3</v>
      </c>
      <c r="F147" s="5">
        <f>(Cotacoes!F147-Cotacoes!F146)/Cotacoes!F146</f>
        <v>-1.241534988713312E-2</v>
      </c>
      <c r="G147" s="5">
        <f>(Cotacoes!G147-Cotacoes!G146)/Cotacoes!G146</f>
        <v>-5.6327450244085088E-3</v>
      </c>
      <c r="H147" s="5">
        <f>(Cotacoes!H147-Cotacoes!H146)/Cotacoes!H146</f>
        <v>-7.9136690647482882E-3</v>
      </c>
      <c r="I147" s="5">
        <f>(Cotacoes!I147-Cotacoes!I146)/Cotacoes!I146</f>
        <v>1.5008472524812331E-2</v>
      </c>
      <c r="J147" s="5">
        <f>(Cotacoes!J147-Cotacoes!J146)/Cotacoes!J146</f>
        <v>3.3579583613162879E-3</v>
      </c>
      <c r="K147" s="5">
        <f>(Cotacoes!K147-Cotacoes!K146)/Cotacoes!K146</f>
        <v>-2.1551724137930574E-3</v>
      </c>
      <c r="L147" s="5">
        <f>(Cotacoes!L147-Cotacoes!L146)/Cotacoes!L146</f>
        <v>-2.0608439646712374E-2</v>
      </c>
      <c r="M147" s="5">
        <f>(Cotacoes!M147-Cotacoes!M146)/Cotacoes!M146</f>
        <v>-2.0553359683794448E-2</v>
      </c>
      <c r="N147" s="5">
        <f>(Cotacoes!N147-Cotacoes!N146)/Cotacoes!N146</f>
        <v>-8.8967971530248789E-3</v>
      </c>
      <c r="O147" s="5">
        <f>(Cotacoes!O147-Cotacoes!O146)/Cotacoes!O146</f>
        <v>-4.0701314965561229E-3</v>
      </c>
      <c r="P147" s="5">
        <f>(Cotacoes!P147-Cotacoes!P146)/Cotacoes!P146</f>
        <v>2.3850085178875585E-2</v>
      </c>
      <c r="Q147" s="5">
        <f>(Cotacoes!Q147-Cotacoes!Q146)/Cotacoes!Q146</f>
        <v>-1.6865302451090622E-2</v>
      </c>
      <c r="R147" s="5">
        <f>(Cotacoes!R147-Cotacoes!R146)/Cotacoes!R146</f>
        <v>-1.2036591237361579E-2</v>
      </c>
      <c r="S147" s="5">
        <f>(Cotacoes!S147-Cotacoes!S146)/Cotacoes!S146</f>
        <v>-1.6122531237403931E-3</v>
      </c>
      <c r="T147" s="5">
        <f>(Cotacoes!T147-Cotacoes!T146)/Cotacoes!T146</f>
        <v>-3.5153019023986827E-2</v>
      </c>
      <c r="U147" s="5">
        <f>(Cotacoes!U147-Cotacoes!U146)/Cotacoes!U146</f>
        <v>-7.8544061302682697E-3</v>
      </c>
      <c r="V147" s="5">
        <f>(Cotacoes!V147-Cotacoes!V146)/Cotacoes!V146</f>
        <v>-7.8099576960625446E-3</v>
      </c>
      <c r="W147" s="5"/>
    </row>
    <row r="148" spans="1:23" x14ac:dyDescent="0.2">
      <c r="A148" s="4">
        <v>44775</v>
      </c>
      <c r="B148" s="5">
        <f>(Cotacoes!B148-Cotacoes!B147)/Cotacoes!B147</f>
        <v>1.4661391668606064E-2</v>
      </c>
      <c r="C148" s="5">
        <f>(Cotacoes!C148-Cotacoes!C147)/Cotacoes!C147</f>
        <v>3.171533552504352E-2</v>
      </c>
      <c r="D148" s="5">
        <f>(Cotacoes!D148-Cotacoes!D147)/Cotacoes!D147</f>
        <v>3.9814200398142329E-3</v>
      </c>
      <c r="E148" s="5">
        <f>(Cotacoes!E148-Cotacoes!E147)/Cotacoes!E147</f>
        <v>1.0279840091376339E-2</v>
      </c>
      <c r="F148" s="5">
        <f>(Cotacoes!F148-Cotacoes!F147)/Cotacoes!F147</f>
        <v>5.714285714286607E-4</v>
      </c>
      <c r="G148" s="5">
        <f>(Cotacoes!G148-Cotacoes!G147)/Cotacoes!G147</f>
        <v>1.8126888217522674E-2</v>
      </c>
      <c r="H148" s="5">
        <f>(Cotacoes!H148-Cotacoes!H147)/Cotacoes!H147</f>
        <v>1.305293691080504E-2</v>
      </c>
      <c r="I148" s="5">
        <f>(Cotacoes!I148-Cotacoes!I147)/Cotacoes!I147</f>
        <v>7.8702599570712687E-3</v>
      </c>
      <c r="J148" s="5">
        <f>(Cotacoes!J148-Cotacoes!J147)/Cotacoes!J147</f>
        <v>4.016064257028106E-3</v>
      </c>
      <c r="K148" s="5">
        <f>(Cotacoes!K148-Cotacoes!K147)/Cotacoes!K147</f>
        <v>1.7278617710583168E-2</v>
      </c>
      <c r="L148" s="5">
        <f>(Cotacoes!L148-Cotacoes!L147)/Cotacoes!L147</f>
        <v>-6.0120240480962418E-3</v>
      </c>
      <c r="M148" s="5">
        <f>(Cotacoes!M148-Cotacoes!M147)/Cotacoes!M147</f>
        <v>5.6497175141243163E-3</v>
      </c>
      <c r="N148" s="5">
        <f>(Cotacoes!N148-Cotacoes!N147)/Cotacoes!N147</f>
        <v>8.9766606822261792E-3</v>
      </c>
      <c r="O148" s="5">
        <f>(Cotacoes!O148-Cotacoes!O147)/Cotacoes!O147</f>
        <v>1.3517761710154143E-2</v>
      </c>
      <c r="P148" s="5">
        <f>(Cotacoes!P148-Cotacoes!P147)/Cotacoes!P147</f>
        <v>7.4875207986688733E-3</v>
      </c>
      <c r="Q148" s="5">
        <f>(Cotacoes!Q148-Cotacoes!Q147)/Cotacoes!Q147</f>
        <v>8.2342177493138023E-3</v>
      </c>
      <c r="R148" s="5">
        <f>(Cotacoes!R148-Cotacoes!R147)/Cotacoes!R147</f>
        <v>9.2592592592593212E-3</v>
      </c>
      <c r="S148" s="5">
        <f>(Cotacoes!S148-Cotacoes!S147)/Cotacoes!S147</f>
        <v>6.4594267258780841E-3</v>
      </c>
      <c r="T148" s="5">
        <f>(Cotacoes!T148-Cotacoes!T147)/Cotacoes!T147</f>
        <v>8.5726532361779376E-4</v>
      </c>
      <c r="U148" s="5">
        <f>(Cotacoes!U148-Cotacoes!U147)/Cotacoes!U147</f>
        <v>4.8271867155821584E-3</v>
      </c>
      <c r="V148" s="5">
        <f>(Cotacoes!V148-Cotacoes!V147)/Cotacoes!V147</f>
        <v>2.3614299770416611E-2</v>
      </c>
      <c r="W148" s="5"/>
    </row>
    <row r="149" spans="1:23" x14ac:dyDescent="0.2">
      <c r="A149" s="4">
        <v>44776</v>
      </c>
      <c r="B149" s="5">
        <f>(Cotacoes!B149-Cotacoes!B148)/Cotacoes!B148</f>
        <v>1.4908256880733423E-3</v>
      </c>
      <c r="C149" s="5">
        <f>(Cotacoes!C149-Cotacoes!C148)/Cotacoes!C148</f>
        <v>-3.8800374882849112E-2</v>
      </c>
      <c r="D149" s="5">
        <f>(Cotacoes!D149-Cotacoes!D148)/Cotacoes!D148</f>
        <v>1.9828155981493297E-3</v>
      </c>
      <c r="E149" s="5">
        <f>(Cotacoes!E149-Cotacoes!E148)/Cotacoes!E148</f>
        <v>7.3487846240813453E-3</v>
      </c>
      <c r="F149" s="5">
        <f>(Cotacoes!F149-Cotacoes!F148)/Cotacoes!F148</f>
        <v>-5.7110222729869452E-3</v>
      </c>
      <c r="G149" s="5">
        <f>(Cotacoes!G149-Cotacoes!G148)/Cotacoes!G148</f>
        <v>-9.2729970326409488E-3</v>
      </c>
      <c r="H149" s="5">
        <f>(Cotacoes!H149-Cotacoes!H148)/Cotacoes!H148</f>
        <v>7.1581961345740614E-3</v>
      </c>
      <c r="I149" s="5">
        <f>(Cotacoes!I149-Cotacoes!I148)/Cotacoes!I148</f>
        <v>3.0761949834359338E-3</v>
      </c>
      <c r="J149" s="5">
        <f>(Cotacoes!J149-Cotacoes!J148)/Cotacoes!J148</f>
        <v>9.1111111111110352E-3</v>
      </c>
      <c r="K149" s="5">
        <f>(Cotacoes!K149-Cotacoes!K148)/Cotacoes!K148</f>
        <v>1.5569709837225679E-2</v>
      </c>
      <c r="L149" s="5">
        <f>(Cotacoes!L149-Cotacoes!L148)/Cotacoes!L148</f>
        <v>3.326612903225807E-2</v>
      </c>
      <c r="M149" s="5">
        <f>(Cotacoes!M149-Cotacoes!M148)/Cotacoes!M148</f>
        <v>-5.61797752808991E-3</v>
      </c>
      <c r="N149" s="5">
        <f>(Cotacoes!N149-Cotacoes!N148)/Cotacoes!N148</f>
        <v>7.1174377224199354E-3</v>
      </c>
      <c r="O149" s="5">
        <f>(Cotacoes!O149-Cotacoes!O148)/Cotacoes!O148</f>
        <v>-1.6749379652605541E-2</v>
      </c>
      <c r="P149" s="5">
        <f>(Cotacoes!P149-Cotacoes!P148)/Cotacoes!P148</f>
        <v>3.8810900082576441E-2</v>
      </c>
      <c r="Q149" s="5">
        <f>(Cotacoes!Q149-Cotacoes!Q148)/Cotacoes!Q148</f>
        <v>-1.1116152450090629E-2</v>
      </c>
      <c r="R149" s="5">
        <f>(Cotacoes!R149-Cotacoes!R148)/Cotacoes!R148</f>
        <v>2.9937228392080996E-2</v>
      </c>
      <c r="S149" s="5">
        <f>(Cotacoes!S149-Cotacoes!S148)/Cotacoes!S148</f>
        <v>2.8078620136381982E-3</v>
      </c>
      <c r="T149" s="5">
        <f>(Cotacoes!T149-Cotacoes!T148)/Cotacoes!T148</f>
        <v>1.5845824411134794E-2</v>
      </c>
      <c r="U149" s="5">
        <f>(Cotacoes!U149-Cotacoes!U148)/Cotacoes!U148</f>
        <v>3.1129900076863903E-2</v>
      </c>
      <c r="V149" s="5">
        <f>(Cotacoes!V149-Cotacoes!V148)/Cotacoes!V148</f>
        <v>6.7286126241589504E-3</v>
      </c>
      <c r="W149" s="5"/>
    </row>
    <row r="150" spans="1:23" x14ac:dyDescent="0.2">
      <c r="A150" s="4">
        <v>44777</v>
      </c>
      <c r="B150" s="5">
        <f>(Cotacoes!B150-Cotacoes!B149)/Cotacoes!B149</f>
        <v>1.6947211725638428E-2</v>
      </c>
      <c r="C150" s="5">
        <f>(Cotacoes!C150-Cotacoes!C149)/Cotacoes!C149</f>
        <v>-5.850234009360457E-3</v>
      </c>
      <c r="D150" s="5">
        <f>(Cotacoes!D150-Cotacoes!D149)/Cotacoes!D149</f>
        <v>9.2348284960422546E-3</v>
      </c>
      <c r="E150" s="5">
        <f>(Cotacoes!E150-Cotacoes!E149)/Cotacoes!E149</f>
        <v>2.4130190796857447E-2</v>
      </c>
      <c r="F150" s="5">
        <f>(Cotacoes!F150-Cotacoes!F149)/Cotacoes!F149</f>
        <v>1.5508328546812153E-2</v>
      </c>
      <c r="G150" s="5">
        <f>(Cotacoes!G150-Cotacoes!G149)/Cotacoes!G149</f>
        <v>2.4709846499438418E-2</v>
      </c>
      <c r="H150" s="5">
        <f>(Cotacoes!H150-Cotacoes!H149)/Cotacoes!H149</f>
        <v>1.8479033404406525E-2</v>
      </c>
      <c r="I150" s="5">
        <f>(Cotacoes!I150-Cotacoes!I149)/Cotacoes!I149</f>
        <v>2.8072658645906998E-2</v>
      </c>
      <c r="J150" s="5">
        <f>(Cotacoes!J150-Cotacoes!J149)/Cotacoes!J149</f>
        <v>3.14908610438231E-2</v>
      </c>
      <c r="K150" s="5">
        <f>(Cotacoes!K150-Cotacoes!K149)/Cotacoes!K149</f>
        <v>1.8118466898954688E-2</v>
      </c>
      <c r="L150" s="5">
        <f>(Cotacoes!L150-Cotacoes!L149)/Cotacoes!L149</f>
        <v>6.6341463414634122E-2</v>
      </c>
      <c r="M150" s="5">
        <f>(Cotacoes!M150-Cotacoes!M149)/Cotacoes!M149</f>
        <v>4.035512510088695E-3</v>
      </c>
      <c r="N150" s="5">
        <f>(Cotacoes!N150-Cotacoes!N149)/Cotacoes!N149</f>
        <v>2.2968197879858637E-2</v>
      </c>
      <c r="O150" s="5">
        <f>(Cotacoes!O150-Cotacoes!O149)/Cotacoes!O149</f>
        <v>-7.2555205047318749E-3</v>
      </c>
      <c r="P150" s="5">
        <f>(Cotacoes!P150-Cotacoes!P149)/Cotacoes!P149</f>
        <v>5.4848966613672459E-2</v>
      </c>
      <c r="Q150" s="5">
        <f>(Cotacoes!Q150-Cotacoes!Q149)/Cotacoes!Q149</f>
        <v>-3.2117458132599349E-3</v>
      </c>
      <c r="R150" s="5">
        <f>(Cotacoes!R150-Cotacoes!R149)/Cotacoes!R149</f>
        <v>6.0947022972339469E-2</v>
      </c>
      <c r="S150" s="5">
        <f>(Cotacoes!S150-Cotacoes!S149)/Cotacoes!S149</f>
        <v>2.6400000000000007E-2</v>
      </c>
      <c r="T150" s="5">
        <f>(Cotacoes!T150-Cotacoes!T149)/Cotacoes!T149</f>
        <v>-1.7284991568296802E-2</v>
      </c>
      <c r="U150" s="5">
        <f>(Cotacoes!U150-Cotacoes!U149)/Cotacoes!U149</f>
        <v>4.9385016772269953E-2</v>
      </c>
      <c r="V150" s="5">
        <f>(Cotacoes!V150-Cotacoes!V149)/Cotacoes!V149</f>
        <v>4.2647994907701978E-2</v>
      </c>
      <c r="W150" s="5"/>
    </row>
    <row r="151" spans="1:23" x14ac:dyDescent="0.2">
      <c r="A151" s="4">
        <v>44778</v>
      </c>
      <c r="B151" s="5">
        <f>(Cotacoes!B151-Cotacoes!B150)/Cotacoes!B150</f>
        <v>7.0937957437225019E-3</v>
      </c>
      <c r="C151" s="5">
        <f>(Cotacoes!C151-Cotacoes!C150)/Cotacoes!C150</f>
        <v>1.2946253432718786E-2</v>
      </c>
      <c r="D151" s="5">
        <f>(Cotacoes!D151-Cotacoes!D150)/Cotacoes!D150</f>
        <v>1.9607843137254832E-2</v>
      </c>
      <c r="E151" s="5">
        <f>(Cotacoes!E151-Cotacoes!E150)/Cotacoes!E150</f>
        <v>1.9178082191780899E-2</v>
      </c>
      <c r="F151" s="5">
        <f>(Cotacoes!F151-Cotacoes!F150)/Cotacoes!F150</f>
        <v>1.7533936651583638E-2</v>
      </c>
      <c r="G151" s="5">
        <f>(Cotacoes!G151-Cotacoes!G150)/Cotacoes!G150</f>
        <v>3.6536353671896274E-4</v>
      </c>
      <c r="H151" s="5">
        <f>(Cotacoes!H151-Cotacoes!H150)/Cotacoes!H150</f>
        <v>1.8841591067690129E-2</v>
      </c>
      <c r="I151" s="5">
        <f>(Cotacoes!I151-Cotacoes!I150)/Cotacoes!I150</f>
        <v>-4.1303350160624072E-3</v>
      </c>
      <c r="J151" s="5">
        <f>(Cotacoes!J151-Cotacoes!J150)/Cotacoes!J150</f>
        <v>-7.4722459436379462E-3</v>
      </c>
      <c r="K151" s="5">
        <f>(Cotacoes!K151-Cotacoes!K150)/Cotacoes!K150</f>
        <v>1.2320328542094437E-2</v>
      </c>
      <c r="L151" s="5">
        <f>(Cotacoes!L151-Cotacoes!L150)/Cotacoes!L150</f>
        <v>1.4638609332113462E-2</v>
      </c>
      <c r="M151" s="5">
        <f>(Cotacoes!M151-Cotacoes!M150)/Cotacoes!M150</f>
        <v>-5.6270096463022735E-3</v>
      </c>
      <c r="N151" s="5">
        <f>(Cotacoes!N151-Cotacoes!N150)/Cotacoes!N150</f>
        <v>1.3816925734024191E-2</v>
      </c>
      <c r="O151" s="5">
        <f>(Cotacoes!O151-Cotacoes!O150)/Cotacoes!O150</f>
        <v>-1.2392755004766463E-2</v>
      </c>
      <c r="P151" s="5">
        <f>(Cotacoes!P151-Cotacoes!P150)/Cotacoes!P150</f>
        <v>6.0286360211002313E-3</v>
      </c>
      <c r="Q151" s="5">
        <f>(Cotacoes!Q151-Cotacoes!Q150)/Cotacoes!Q150</f>
        <v>1.2888377445339359E-2</v>
      </c>
      <c r="R151" s="5">
        <f>(Cotacoes!R151-Cotacoes!R150)/Cotacoes!R150</f>
        <v>1.458241272646937E-2</v>
      </c>
      <c r="S151" s="5">
        <f>(Cotacoes!S151-Cotacoes!S150)/Cotacoes!S150</f>
        <v>-7.0148090413094197E-3</v>
      </c>
      <c r="T151" s="5">
        <f>(Cotacoes!T151-Cotacoes!T150)/Cotacoes!T150</f>
        <v>3.0888030888030993E-2</v>
      </c>
      <c r="U151" s="5">
        <f>(Cotacoes!U151-Cotacoes!U150)/Cotacoes!U150</f>
        <v>1.7758835020419126E-4</v>
      </c>
      <c r="V151" s="5">
        <f>(Cotacoes!V151-Cotacoes!V150)/Cotacoes!V150</f>
        <v>-2.2893772893772896E-2</v>
      </c>
      <c r="W151" s="5"/>
    </row>
    <row r="152" spans="1:23" x14ac:dyDescent="0.2">
      <c r="A152" s="4">
        <v>44781</v>
      </c>
      <c r="B152" s="5">
        <f>(Cotacoes!B152-Cotacoes!B151)/Cotacoes!B151</f>
        <v>1.8336314847942761E-2</v>
      </c>
      <c r="C152" s="5">
        <f>(Cotacoes!C152-Cotacoes!C151)/Cotacoes!C151</f>
        <v>8.7141750580945546E-3</v>
      </c>
      <c r="D152" s="5">
        <f>(Cotacoes!D152-Cotacoes!D151)/Cotacoes!D151</f>
        <v>5.0641025641025704E-2</v>
      </c>
      <c r="E152" s="5">
        <f>(Cotacoes!E152-Cotacoes!E151)/Cotacoes!E151</f>
        <v>1.2365591397849294E-2</v>
      </c>
      <c r="F152" s="5">
        <f>(Cotacoes!F152-Cotacoes!F151)/Cotacoes!F151</f>
        <v>4.8360200111172931E-2</v>
      </c>
      <c r="G152" s="5">
        <f>(Cotacoes!G152-Cotacoes!G151)/Cotacoes!G151</f>
        <v>3.1409788166544904E-2</v>
      </c>
      <c r="H152" s="5">
        <f>(Cotacoes!H152-Cotacoes!H151)/Cotacoes!H151</f>
        <v>3.1506849315068551E-2</v>
      </c>
      <c r="I152" s="5">
        <f>(Cotacoes!I152-Cotacoes!I151)/Cotacoes!I151</f>
        <v>3.4562211981566493E-3</v>
      </c>
      <c r="J152" s="5">
        <f>(Cotacoes!J152-Cotacoes!J151)/Cotacoes!J151</f>
        <v>1.978920197892008E-2</v>
      </c>
      <c r="K152" s="5">
        <f>(Cotacoes!K152-Cotacoes!K151)/Cotacoes!K151</f>
        <v>3.3806626098715829E-3</v>
      </c>
      <c r="L152" s="5">
        <f>(Cotacoes!L152-Cotacoes!L151)/Cotacoes!L151</f>
        <v>3.1559963931469759E-2</v>
      </c>
      <c r="M152" s="5">
        <f>(Cotacoes!M152-Cotacoes!M151)/Cotacoes!M151</f>
        <v>1.3742926434923197E-2</v>
      </c>
      <c r="N152" s="5">
        <f>(Cotacoes!N152-Cotacoes!N151)/Cotacoes!N151</f>
        <v>1.3628620102214663E-2</v>
      </c>
      <c r="O152" s="5">
        <f>(Cotacoes!O152-Cotacoes!O151)/Cotacoes!O151</f>
        <v>-3.6357786357786324E-2</v>
      </c>
      <c r="P152" s="5">
        <f>(Cotacoes!P152-Cotacoes!P151)/Cotacoes!P151</f>
        <v>2.7715355805243522E-2</v>
      </c>
      <c r="Q152" s="5">
        <f>(Cotacoes!Q152-Cotacoes!Q151)/Cotacoes!Q151</f>
        <v>1.658713928652588E-2</v>
      </c>
      <c r="R152" s="5">
        <f>(Cotacoes!R152-Cotacoes!R151)/Cotacoes!R151</f>
        <v>9.1463414634146718E-3</v>
      </c>
      <c r="S152" s="5">
        <f>(Cotacoes!S152-Cotacoes!S151)/Cotacoes!S151</f>
        <v>-1.1773940345369363E-3</v>
      </c>
      <c r="T152" s="5">
        <f>(Cotacoes!T152-Cotacoes!T151)/Cotacoes!T151</f>
        <v>2.4136496046608336E-2</v>
      </c>
      <c r="U152" s="5">
        <f>(Cotacoes!U152-Cotacoes!U151)/Cotacoes!U151</f>
        <v>2.0063920454545501E-2</v>
      </c>
      <c r="V152" s="5">
        <f>(Cotacoes!V152-Cotacoes!V151)/Cotacoes!V151</f>
        <v>6.5916900968447351E-2</v>
      </c>
      <c r="W152" s="5"/>
    </row>
    <row r="153" spans="1:23" x14ac:dyDescent="0.2">
      <c r="A153" s="4">
        <v>44782</v>
      </c>
      <c r="B153" s="5">
        <f>(Cotacoes!B153-Cotacoes!B152)/Cotacoes!B152</f>
        <v>4.6113306982872391E-3</v>
      </c>
      <c r="C153" s="5">
        <f>(Cotacoes!C153-Cotacoes!C152)/Cotacoes!C152</f>
        <v>2.0541370704549686E-2</v>
      </c>
      <c r="D153" s="5">
        <f>(Cotacoes!D153-Cotacoes!D152)/Cotacoes!D152</f>
        <v>1.6473459426479535E-2</v>
      </c>
      <c r="E153" s="5">
        <f>(Cotacoes!E153-Cotacoes!E152)/Cotacoes!E152</f>
        <v>2.6022304832713863E-2</v>
      </c>
      <c r="F153" s="5">
        <f>(Cotacoes!F153-Cotacoes!F152)/Cotacoes!F152</f>
        <v>1.3255567338282079E-2</v>
      </c>
      <c r="G153" s="5">
        <f>(Cotacoes!G153-Cotacoes!G152)/Cotacoes!G152</f>
        <v>-4.9575070821528695E-3</v>
      </c>
      <c r="H153" s="5">
        <f>(Cotacoes!H153-Cotacoes!H152)/Cotacoes!H152</f>
        <v>1.6600265604249667E-2</v>
      </c>
      <c r="I153" s="5">
        <f>(Cotacoes!I153-Cotacoes!I152)/Cotacoes!I152</f>
        <v>6.8886337543056571E-4</v>
      </c>
      <c r="J153" s="5">
        <f>(Cotacoes!J153-Cotacoes!J152)/Cotacoes!J152</f>
        <v>-1.7506855093862021E-2</v>
      </c>
      <c r="K153" s="5">
        <f>(Cotacoes!K153-Cotacoes!K152)/Cotacoes!K152</f>
        <v>1.4150943396226473E-2</v>
      </c>
      <c r="L153" s="5">
        <f>(Cotacoes!L153-Cotacoes!L152)/Cotacoes!L152</f>
        <v>-1.6608391608391566E-2</v>
      </c>
      <c r="M153" s="5">
        <f>(Cotacoes!M153-Cotacoes!M152)/Cotacoes!M152</f>
        <v>-3.9872408293460081E-3</v>
      </c>
      <c r="N153" s="5">
        <f>(Cotacoes!N153-Cotacoes!N152)/Cotacoes!N152</f>
        <v>1.8487394957983096E-2</v>
      </c>
      <c r="O153" s="5">
        <f>(Cotacoes!O153-Cotacoes!O152)/Cotacoes!O152</f>
        <v>-1.8697829716193614E-2</v>
      </c>
      <c r="P153" s="5">
        <f>(Cotacoes!P153-Cotacoes!P152)/Cotacoes!P152</f>
        <v>-3.6443148688047162E-3</v>
      </c>
      <c r="Q153" s="5">
        <f>(Cotacoes!Q153-Cotacoes!Q152)/Cotacoes!Q152</f>
        <v>1.0058113544926145E-2</v>
      </c>
      <c r="R153" s="5">
        <f>(Cotacoes!R153-Cotacoes!R152)/Cotacoes!R152</f>
        <v>-2.1148036253776519E-2</v>
      </c>
      <c r="S153" s="5">
        <f>(Cotacoes!S153-Cotacoes!S152)/Cotacoes!S152</f>
        <v>4.3222003929272862E-3</v>
      </c>
      <c r="T153" s="5">
        <f>(Cotacoes!T153-Cotacoes!T152)/Cotacoes!T152</f>
        <v>1.6253555465258113E-2</v>
      </c>
      <c r="U153" s="5">
        <f>(Cotacoes!U153-Cotacoes!U152)/Cotacoes!U152</f>
        <v>-2.5239338555265497E-2</v>
      </c>
      <c r="V153" s="5">
        <f>(Cotacoes!V153-Cotacoes!V152)/Cotacoes!V152</f>
        <v>-3.3118405627197992E-2</v>
      </c>
      <c r="W153" s="5"/>
    </row>
    <row r="154" spans="1:23" x14ac:dyDescent="0.2">
      <c r="A154" s="4">
        <v>44783</v>
      </c>
      <c r="B154" s="5">
        <f>(Cotacoes!B154-Cotacoes!B153)/Cotacoes!B153</f>
        <v>1.1584699453551938E-2</v>
      </c>
      <c r="C154" s="5">
        <f>(Cotacoes!C154-Cotacoes!C153)/Cotacoes!C153</f>
        <v>7.524454477051591E-4</v>
      </c>
      <c r="D154" s="5">
        <f>(Cotacoes!D154-Cotacoes!D153)/Cotacoes!D153</f>
        <v>-3.6014405762304154E-3</v>
      </c>
      <c r="E154" s="5">
        <f>(Cotacoes!E154-Cotacoes!E153)/Cotacoes!E153</f>
        <v>1.8633540372670777E-2</v>
      </c>
      <c r="F154" s="5">
        <f>(Cotacoes!F154-Cotacoes!F153)/Cotacoes!F153</f>
        <v>-3.6630036630036782E-3</v>
      </c>
      <c r="G154" s="5">
        <f>(Cotacoes!G154-Cotacoes!G153)/Cotacoes!G153</f>
        <v>3.70106761565836E-2</v>
      </c>
      <c r="H154" s="5">
        <f>(Cotacoes!H154-Cotacoes!H153)/Cotacoes!H153</f>
        <v>8.4911822338340302E-3</v>
      </c>
      <c r="I154" s="5">
        <f>(Cotacoes!I154-Cotacoes!I153)/Cotacoes!I153</f>
        <v>-7.113354749885158E-3</v>
      </c>
      <c r="J154" s="5">
        <f>(Cotacoes!J154-Cotacoes!J153)/Cotacoes!J153</f>
        <v>1.2666380420781526E-2</v>
      </c>
      <c r="K154" s="5">
        <f>(Cotacoes!K154-Cotacoes!K153)/Cotacoes!K153</f>
        <v>1.5946843853820492E-2</v>
      </c>
      <c r="L154" s="5">
        <f>(Cotacoes!L154-Cotacoes!L153)/Cotacoes!L153</f>
        <v>9.7777777777777273E-3</v>
      </c>
      <c r="M154" s="5">
        <f>(Cotacoes!M154-Cotacoes!M153)/Cotacoes!M153</f>
        <v>2.8022417934347447E-2</v>
      </c>
      <c r="N154" s="5">
        <f>(Cotacoes!N154-Cotacoes!N153)/Cotacoes!N153</f>
        <v>4.9504950495049922E-3</v>
      </c>
      <c r="O154" s="5">
        <f>(Cotacoes!O154-Cotacoes!O153)/Cotacoes!O153</f>
        <v>3.9469207213337874E-2</v>
      </c>
      <c r="P154" s="5">
        <f>(Cotacoes!P154-Cotacoes!P153)/Cotacoes!P153</f>
        <v>3.7307973664959748E-2</v>
      </c>
      <c r="Q154" s="5">
        <f>(Cotacoes!Q154-Cotacoes!Q153)/Cotacoes!Q153</f>
        <v>-1.1064394777605038E-3</v>
      </c>
      <c r="R154" s="5">
        <f>(Cotacoes!R154-Cotacoes!R153)/Cotacoes!R153</f>
        <v>7.0987654320987637E-2</v>
      </c>
      <c r="S154" s="5">
        <f>(Cotacoes!S154-Cotacoes!S153)/Cotacoes!S153</f>
        <v>-3.5211267605633747E-3</v>
      </c>
      <c r="T154" s="5">
        <f>(Cotacoes!T154-Cotacoes!T153)/Cotacoes!T153</f>
        <v>-9.996001599360255E-3</v>
      </c>
      <c r="U154" s="5">
        <f>(Cotacoes!U154-Cotacoes!U153)/Cotacoes!U153</f>
        <v>3.3214285714285703E-2</v>
      </c>
      <c r="V154" s="5">
        <f>(Cotacoes!V154-Cotacoes!V153)/Cotacoes!V153</f>
        <v>2.6371627765989614E-2</v>
      </c>
      <c r="W154" s="5"/>
    </row>
    <row r="155" spans="1:23" x14ac:dyDescent="0.2">
      <c r="A155" s="4">
        <v>44784</v>
      </c>
      <c r="B155" s="5">
        <f>(Cotacoes!B155-Cotacoes!B154)/Cotacoes!B154</f>
        <v>5.6179775280898441E-3</v>
      </c>
      <c r="C155" s="5">
        <f>(Cotacoes!C155-Cotacoes!C154)/Cotacoes!C154</f>
        <v>3.4774436090225458E-2</v>
      </c>
      <c r="D155" s="5">
        <f>(Cotacoes!D155-Cotacoes!D154)/Cotacoes!D154</f>
        <v>-2.2891566265060392E-2</v>
      </c>
      <c r="E155" s="5">
        <f>(Cotacoes!E155-Cotacoes!E154)/Cotacoes!E154</f>
        <v>1.5243902439024968E-3</v>
      </c>
      <c r="F155" s="5">
        <f>(Cotacoes!F155-Cotacoes!F154)/Cotacoes!F154</f>
        <v>-1.8907563025210055E-2</v>
      </c>
      <c r="G155" s="5">
        <f>(Cotacoes!G155-Cotacoes!G154)/Cotacoes!G154</f>
        <v>-1.7844886753603278E-2</v>
      </c>
      <c r="H155" s="5">
        <f>(Cotacoes!H155-Cotacoes!H154)/Cotacoes!H154</f>
        <v>4.4689119170984427E-2</v>
      </c>
      <c r="I155" s="5">
        <f>(Cotacoes!I155-Cotacoes!I154)/Cotacoes!I154</f>
        <v>-2.1261844233880323E-2</v>
      </c>
      <c r="J155" s="5">
        <f>(Cotacoes!J155-Cotacoes!J154)/Cotacoes!J154</f>
        <v>-2.7347890608437547E-2</v>
      </c>
      <c r="K155" s="5">
        <f>(Cotacoes!K155-Cotacoes!K154)/Cotacoes!K154</f>
        <v>8.502289077828698E-3</v>
      </c>
      <c r="L155" s="5">
        <f>(Cotacoes!L155-Cotacoes!L154)/Cotacoes!L154</f>
        <v>-1.760563380281684E-2</v>
      </c>
      <c r="M155" s="5">
        <f>(Cotacoes!M155-Cotacoes!M154)/Cotacoes!M154</f>
        <v>-1.5576323987538609E-3</v>
      </c>
      <c r="N155" s="5">
        <f>(Cotacoes!N155-Cotacoes!N154)/Cotacoes!N154</f>
        <v>-3.284072249589421E-3</v>
      </c>
      <c r="O155" s="5">
        <f>(Cotacoes!O155-Cotacoes!O154)/Cotacoes!O154</f>
        <v>2.2585924713584213E-2</v>
      </c>
      <c r="P155" s="5">
        <f>(Cotacoes!P155-Cotacoes!P154)/Cotacoes!P154</f>
        <v>7.757404795486561E-3</v>
      </c>
      <c r="Q155" s="5">
        <f>(Cotacoes!Q155-Cotacoes!Q154)/Cotacoes!Q154</f>
        <v>8.861320336730141E-3</v>
      </c>
      <c r="R155" s="5">
        <f>(Cotacoes!R155-Cotacoes!R154)/Cotacoes!R154</f>
        <v>-4.1169205434326927E-4</v>
      </c>
      <c r="S155" s="5">
        <f>(Cotacoes!S155-Cotacoes!S154)/Cotacoes!S154</f>
        <v>-5.0255202198665007E-2</v>
      </c>
      <c r="T155" s="5">
        <f>(Cotacoes!T155-Cotacoes!T154)/Cotacoes!T154</f>
        <v>2.2617124394184115E-2</v>
      </c>
      <c r="U155" s="5">
        <f>(Cotacoes!U155-Cotacoes!U154)/Cotacoes!U154</f>
        <v>-1.4863463532665044E-2</v>
      </c>
      <c r="V155" s="5">
        <f>(Cotacoes!V155-Cotacoes!V154)/Cotacoes!V154</f>
        <v>-2.805670407560552E-2</v>
      </c>
      <c r="W155" s="5"/>
    </row>
    <row r="156" spans="1:23" x14ac:dyDescent="0.2">
      <c r="A156" s="4">
        <v>44785</v>
      </c>
      <c r="B156" s="5">
        <f>(Cotacoes!B156-Cotacoes!B155)/Cotacoes!B155</f>
        <v>1.7941555651052876E-2</v>
      </c>
      <c r="C156" s="5">
        <f>(Cotacoes!C156-Cotacoes!C155)/Cotacoes!C155</f>
        <v>9.4459582198002396E-3</v>
      </c>
      <c r="D156" s="5">
        <f>(Cotacoes!D156-Cotacoes!D155)/Cotacoes!D155</f>
        <v>7.1516646115906302E-2</v>
      </c>
      <c r="E156" s="5">
        <f>(Cotacoes!E156-Cotacoes!E155)/Cotacoes!E155</f>
        <v>1.2176560121765521E-2</v>
      </c>
      <c r="F156" s="5">
        <f>(Cotacoes!F156-Cotacoes!F155)/Cotacoes!F155</f>
        <v>8.0299785867237683E-2</v>
      </c>
      <c r="G156" s="5">
        <f>(Cotacoes!G156-Cotacoes!G155)/Cotacoes!G155</f>
        <v>2.55066387141859E-2</v>
      </c>
      <c r="H156" s="5">
        <f>(Cotacoes!H156-Cotacoes!H155)/Cotacoes!H155</f>
        <v>5.6416615003099829E-2</v>
      </c>
      <c r="I156" s="5">
        <f>(Cotacoes!I156-Cotacoes!I155)/Cotacoes!I155</f>
        <v>-1.4167650531287431E-3</v>
      </c>
      <c r="J156" s="5">
        <f>(Cotacoes!J156-Cotacoes!J155)/Cotacoes!J155</f>
        <v>-4.4245858761987819E-2</v>
      </c>
      <c r="K156" s="5">
        <f>(Cotacoes!K156-Cotacoes!K155)/Cotacoes!K155</f>
        <v>1.2321660181582329E-2</v>
      </c>
      <c r="L156" s="5">
        <f>(Cotacoes!L156-Cotacoes!L155)/Cotacoes!L155</f>
        <v>7.7956989247311759E-2</v>
      </c>
      <c r="M156" s="5">
        <f>(Cotacoes!M156-Cotacoes!M155)/Cotacoes!M155</f>
        <v>5.4602184087363713E-3</v>
      </c>
      <c r="N156" s="5">
        <f>(Cotacoes!N156-Cotacoes!N155)/Cotacoes!N155</f>
        <v>1.3179571663920933E-2</v>
      </c>
      <c r="O156" s="5">
        <f>(Cotacoes!O156-Cotacoes!O155)/Cotacoes!O155</f>
        <v>-2.6248399487836003E-2</v>
      </c>
      <c r="P156" s="5">
        <f>(Cotacoes!P156-Cotacoes!P155)/Cotacoes!P155</f>
        <v>2.659202239328207E-2</v>
      </c>
      <c r="Q156" s="5">
        <f>(Cotacoes!Q156-Cotacoes!Q155)/Cotacoes!Q155</f>
        <v>1.4492753623188488E-2</v>
      </c>
      <c r="R156" s="5">
        <f>(Cotacoes!R156-Cotacoes!R155)/Cotacoes!R155</f>
        <v>3.7067545304777533E-3</v>
      </c>
      <c r="S156" s="5">
        <f>(Cotacoes!S156-Cotacoes!S155)/Cotacoes!S155</f>
        <v>1.1575031004547234E-2</v>
      </c>
      <c r="T156" s="5">
        <f>(Cotacoes!T156-Cotacoes!T155)/Cotacoes!T155</f>
        <v>2.014218009478665E-2</v>
      </c>
      <c r="U156" s="5">
        <f>(Cotacoes!U156-Cotacoes!U155)/Cotacoes!U155</f>
        <v>9.2982456140351076E-3</v>
      </c>
      <c r="V156" s="5">
        <f>(Cotacoes!V156-Cotacoes!V155)/Cotacoes!V155</f>
        <v>4.5578851412944398E-2</v>
      </c>
      <c r="W156" s="5"/>
    </row>
    <row r="157" spans="1:23" x14ac:dyDescent="0.2">
      <c r="A157" s="4">
        <v>44788</v>
      </c>
      <c r="B157" s="5">
        <f>(Cotacoes!B157-Cotacoes!B156)/Cotacoes!B156</f>
        <v>2.6385224274406332E-3</v>
      </c>
      <c r="C157" s="5">
        <f>(Cotacoes!C157-Cotacoes!C156)/Cotacoes!C156</f>
        <v>-2.1414432247615578E-2</v>
      </c>
      <c r="D157" s="5">
        <f>(Cotacoes!D157-Cotacoes!D156)/Cotacoes!D156</f>
        <v>5.7537399309560207E-4</v>
      </c>
      <c r="E157" s="5">
        <f>(Cotacoes!E157-Cotacoes!E156)/Cotacoes!E156</f>
        <v>8.5213032581454486E-3</v>
      </c>
      <c r="F157" s="5">
        <f>(Cotacoes!F157-Cotacoes!F156)/Cotacoes!F156</f>
        <v>-3.4687809712586862E-3</v>
      </c>
      <c r="G157" s="5">
        <f>(Cotacoes!G157-Cotacoes!G156)/Cotacoes!G156</f>
        <v>-1.8057921635434449E-2</v>
      </c>
      <c r="H157" s="5">
        <f>(Cotacoes!H157-Cotacoes!H156)/Cotacoes!H156</f>
        <v>-2.5234741784037545E-2</v>
      </c>
      <c r="I157" s="5">
        <f>(Cotacoes!I157-Cotacoes!I156)/Cotacoes!I156</f>
        <v>3.8070465831165745E-2</v>
      </c>
      <c r="J157" s="5">
        <f>(Cotacoes!J157-Cotacoes!J156)/Cotacoes!J156</f>
        <v>1.7559863169897286E-2</v>
      </c>
      <c r="K157" s="5">
        <f>(Cotacoes!K157-Cotacoes!K156)/Cotacoes!K156</f>
        <v>-5.124919923126206E-3</v>
      </c>
      <c r="L157" s="5">
        <f>(Cotacoes!L157-Cotacoes!L156)/Cotacoes!L156</f>
        <v>8.3125519534498274E-3</v>
      </c>
      <c r="M157" s="5">
        <f>(Cotacoes!M157-Cotacoes!M156)/Cotacoes!M156</f>
        <v>1.318851823118696E-2</v>
      </c>
      <c r="N157" s="5">
        <f>(Cotacoes!N157-Cotacoes!N156)/Cotacoes!N156</f>
        <v>1.6260162601625669E-3</v>
      </c>
      <c r="O157" s="5">
        <f>(Cotacoes!O157-Cotacoes!O156)/Cotacoes!O156</f>
        <v>-1.2163050624589118E-2</v>
      </c>
      <c r="P157" s="5">
        <f>(Cotacoes!P157-Cotacoes!P156)/Cotacoes!P156</f>
        <v>1.7723244717109732E-2</v>
      </c>
      <c r="Q157" s="5">
        <f>(Cotacoes!Q157-Cotacoes!Q156)/Cotacoes!Q156</f>
        <v>-2.5757575757575861E-2</v>
      </c>
      <c r="R157" s="5">
        <f>(Cotacoes!R157-Cotacoes!R156)/Cotacoes!R156</f>
        <v>1.0258514567090685E-2</v>
      </c>
      <c r="S157" s="5">
        <f>(Cotacoes!S157-Cotacoes!S156)/Cotacoes!S156</f>
        <v>2.3293829178586037E-2</v>
      </c>
      <c r="T157" s="5">
        <f>(Cotacoes!T157-Cotacoes!T156)/Cotacoes!T156</f>
        <v>-2.0905923344947702E-2</v>
      </c>
      <c r="U157" s="5">
        <f>(Cotacoes!U157-Cotacoes!U156)/Cotacoes!U156</f>
        <v>1.147227533460797E-2</v>
      </c>
      <c r="V157" s="5">
        <f>(Cotacoes!V157-Cotacoes!V156)/Cotacoes!V156</f>
        <v>7.5268817204301175E-2</v>
      </c>
      <c r="W157" s="5"/>
    </row>
    <row r="158" spans="1:23" x14ac:dyDescent="0.2">
      <c r="A158" s="4">
        <v>44789</v>
      </c>
      <c r="B158" s="5">
        <f>(Cotacoes!B158-Cotacoes!B157)/Cotacoes!B157</f>
        <v>2.5263157894736305E-3</v>
      </c>
      <c r="C158" s="5">
        <f>(Cotacoes!C158-Cotacoes!C157)/Cotacoes!C157</f>
        <v>2.4089738874586156E-2</v>
      </c>
      <c r="D158" s="5">
        <f>(Cotacoes!D158-Cotacoes!D157)/Cotacoes!D157</f>
        <v>9.2006900517538886E-3</v>
      </c>
      <c r="E158" s="5">
        <f>(Cotacoes!E158-Cotacoes!E157)/Cotacoes!E157</f>
        <v>9.9403578528826676E-3</v>
      </c>
      <c r="F158" s="5">
        <f>(Cotacoes!F158-Cotacoes!F157)/Cotacoes!F157</f>
        <v>1.1437095972153179E-2</v>
      </c>
      <c r="G158" s="5">
        <f>(Cotacoes!G158-Cotacoes!G157)/Cotacoes!G157</f>
        <v>8.3275503122830826E-3</v>
      </c>
      <c r="H158" s="5">
        <f>(Cotacoes!H158-Cotacoes!H157)/Cotacoes!H157</f>
        <v>4.8163756773029406E-3</v>
      </c>
      <c r="I158" s="5">
        <f>(Cotacoes!I158-Cotacoes!I157)/Cotacoes!I157</f>
        <v>-5.0113895216400651E-3</v>
      </c>
      <c r="J158" s="5">
        <f>(Cotacoes!J158-Cotacoes!J157)/Cotacoes!J157</f>
        <v>-3.8099506947555941E-3</v>
      </c>
      <c r="K158" s="5">
        <f>(Cotacoes!K158-Cotacoes!K157)/Cotacoes!K157</f>
        <v>1.4810045074050253E-2</v>
      </c>
      <c r="L158" s="5">
        <f>(Cotacoes!L158-Cotacoes!L157)/Cotacoes!L157</f>
        <v>-6.5952184666117119E-3</v>
      </c>
      <c r="M158" s="5">
        <f>(Cotacoes!M158-Cotacoes!M157)/Cotacoes!M157</f>
        <v>5.3598774885145698E-3</v>
      </c>
      <c r="N158" s="5">
        <f>(Cotacoes!N158-Cotacoes!N157)/Cotacoes!N157</f>
        <v>3.2467532467531776E-3</v>
      </c>
      <c r="O158" s="5">
        <f>(Cotacoes!O158-Cotacoes!O157)/Cotacoes!O157</f>
        <v>4.8918469217970009E-2</v>
      </c>
      <c r="P158" s="5">
        <f>(Cotacoes!P158-Cotacoes!P157)/Cotacoes!P157</f>
        <v>1.5405224380442091E-2</v>
      </c>
      <c r="Q158" s="5">
        <f>(Cotacoes!Q158-Cotacoes!Q157)/Cotacoes!Q157</f>
        <v>2.1106420795378868E-2</v>
      </c>
      <c r="R158" s="5">
        <f>(Cotacoes!R158-Cotacoes!R157)/Cotacoes!R157</f>
        <v>-4.8740861088546299E-3</v>
      </c>
      <c r="S158" s="5">
        <f>(Cotacoes!S158-Cotacoes!S157)/Cotacoes!S157</f>
        <v>-2.7955271565495324E-3</v>
      </c>
      <c r="T158" s="5">
        <f>(Cotacoes!T158-Cotacoes!T157)/Cotacoes!T157</f>
        <v>-3.9936733886911747E-2</v>
      </c>
      <c r="U158" s="5">
        <f>(Cotacoes!U158-Cotacoes!U157)/Cotacoes!U157</f>
        <v>-1.8903591682419563E-2</v>
      </c>
      <c r="V158" s="5">
        <f>(Cotacoes!V158-Cotacoes!V157)/Cotacoes!V157</f>
        <v>-3.9729729729729699E-2</v>
      </c>
      <c r="W158" s="5"/>
    </row>
    <row r="159" spans="1:23" x14ac:dyDescent="0.2">
      <c r="A159" s="4">
        <v>44790</v>
      </c>
      <c r="B159" s="5">
        <f>(Cotacoes!B159-Cotacoes!B158)/Cotacoes!B158</f>
        <v>1.6799664006721001E-3</v>
      </c>
      <c r="C159" s="5">
        <f>(Cotacoes!C159-Cotacoes!C158)/Cotacoes!C158</f>
        <v>-2.4600466870174132E-2</v>
      </c>
      <c r="D159" s="5">
        <f>(Cotacoes!D159-Cotacoes!D158)/Cotacoes!D158</f>
        <v>2.336182336182337E-2</v>
      </c>
      <c r="E159" s="5">
        <f>(Cotacoes!E159-Cotacoes!E158)/Cotacoes!E158</f>
        <v>3.9370078740156638E-3</v>
      </c>
      <c r="F159" s="5">
        <f>(Cotacoes!F159-Cotacoes!F158)/Cotacoes!F158</f>
        <v>3.2940019665683468E-2</v>
      </c>
      <c r="G159" s="5">
        <f>(Cotacoes!G159-Cotacoes!G158)/Cotacoes!G158</f>
        <v>-5.5058499655884427E-3</v>
      </c>
      <c r="H159" s="5">
        <f>(Cotacoes!H159-Cotacoes!H158)/Cotacoes!H158</f>
        <v>-8.9874176153386526E-3</v>
      </c>
      <c r="I159" s="5">
        <f>(Cotacoes!I159-Cotacoes!I158)/Cotacoes!I158</f>
        <v>2.4038461538461474E-2</v>
      </c>
      <c r="J159" s="5">
        <f>(Cotacoes!J159-Cotacoes!J158)/Cotacoes!J158</f>
        <v>4.2294713160854785E-2</v>
      </c>
      <c r="K159" s="5">
        <f>(Cotacoes!K159-Cotacoes!K158)/Cotacoes!K158</f>
        <v>1.2690355329948969E-3</v>
      </c>
      <c r="L159" s="5">
        <f>(Cotacoes!L159-Cotacoes!L158)/Cotacoes!L158</f>
        <v>-1.9087136929460614E-2</v>
      </c>
      <c r="M159" s="5">
        <f>(Cotacoes!M159-Cotacoes!M158)/Cotacoes!M158</f>
        <v>3.0464584920029815E-3</v>
      </c>
      <c r="N159" s="5">
        <f>(Cotacoes!N159-Cotacoes!N158)/Cotacoes!N158</f>
        <v>1.6181229773463877E-3</v>
      </c>
      <c r="O159" s="5">
        <f>(Cotacoes!O159-Cotacoes!O158)/Cotacoes!O158</f>
        <v>2.9822335025380751E-2</v>
      </c>
      <c r="P159" s="5">
        <f>(Cotacoes!P159-Cotacoes!P158)/Cotacoes!P158</f>
        <v>-5.2770448548812715E-3</v>
      </c>
      <c r="Q159" s="5">
        <f>(Cotacoes!Q159-Cotacoes!Q158)/Cotacoes!Q158</f>
        <v>2.1975630983463838E-2</v>
      </c>
      <c r="R159" s="5">
        <f>(Cotacoes!R159-Cotacoes!R158)/Cotacoes!R158</f>
        <v>2.4489795918366825E-3</v>
      </c>
      <c r="S159" s="5">
        <f>(Cotacoes!S159-Cotacoes!S158)/Cotacoes!S158</f>
        <v>1.4016820184221122E-2</v>
      </c>
      <c r="T159" s="5">
        <f>(Cotacoes!T159-Cotacoes!T158)/Cotacoes!T158</f>
        <v>8.2372322899504011E-4</v>
      </c>
      <c r="U159" s="5">
        <f>(Cotacoes!U159-Cotacoes!U158)/Cotacoes!U158</f>
        <v>1.1035207566999394E-2</v>
      </c>
      <c r="V159" s="5">
        <f>(Cotacoes!V159-Cotacoes!V158)/Cotacoes!V158</f>
        <v>-4.2780748663101692E-2</v>
      </c>
      <c r="W159" s="5"/>
    </row>
    <row r="160" spans="1:23" x14ac:dyDescent="0.2">
      <c r="A160" s="4">
        <v>44791</v>
      </c>
      <c r="B160" s="5">
        <f>(Cotacoes!B160-Cotacoes!B159)/Cotacoes!B159</f>
        <v>4.2976939203353938E-3</v>
      </c>
      <c r="C160" s="5">
        <f>(Cotacoes!C160-Cotacoes!C159)/Cotacoes!C159</f>
        <v>-7.3637702503681624E-3</v>
      </c>
      <c r="D160" s="5">
        <f>(Cotacoes!D160-Cotacoes!D159)/Cotacoes!D159</f>
        <v>2.0044543429844065E-2</v>
      </c>
      <c r="E160" s="5">
        <f>(Cotacoes!E160-Cotacoes!E159)/Cotacoes!E159</f>
        <v>-2.9411764705881728E-3</v>
      </c>
      <c r="F160" s="5">
        <f>(Cotacoes!F160-Cotacoes!F159)/Cotacoes!F159</f>
        <v>1.3326987148976562E-2</v>
      </c>
      <c r="G160" s="5">
        <f>(Cotacoes!G160-Cotacoes!G159)/Cotacoes!G159</f>
        <v>1.3494809688581336E-2</v>
      </c>
      <c r="H160" s="5">
        <f>(Cotacoes!H160-Cotacoes!H159)/Cotacoes!H159</f>
        <v>-2.2974607013301028E-2</v>
      </c>
      <c r="I160" s="5">
        <f>(Cotacoes!I160-Cotacoes!I159)/Cotacoes!I159</f>
        <v>-3.5770176615246277E-3</v>
      </c>
      <c r="J160" s="5">
        <f>(Cotacoes!J160-Cotacoes!J159)/Cotacoes!J159</f>
        <v>2.8059572631125096E-3</v>
      </c>
      <c r="K160" s="5">
        <f>(Cotacoes!K160-Cotacoes!K159)/Cotacoes!K159</f>
        <v>6.3371356147022447E-3</v>
      </c>
      <c r="L160" s="5">
        <f>(Cotacoes!L160-Cotacoes!L159)/Cotacoes!L159</f>
        <v>-1.6920473773265291E-3</v>
      </c>
      <c r="M160" s="5">
        <f>(Cotacoes!M160-Cotacoes!M159)/Cotacoes!M159</f>
        <v>2.885345482156422E-2</v>
      </c>
      <c r="N160" s="5">
        <f>(Cotacoes!N160-Cotacoes!N159)/Cotacoes!N159</f>
        <v>0</v>
      </c>
      <c r="O160" s="5">
        <f>(Cotacoes!O160-Cotacoes!O159)/Cotacoes!O159</f>
        <v>-6.161429451632866E-3</v>
      </c>
      <c r="P160" s="5">
        <f>(Cotacoes!P160-Cotacoes!P159)/Cotacoes!P159</f>
        <v>1.1936339522546401E-2</v>
      </c>
      <c r="Q160" s="5">
        <f>(Cotacoes!Q160-Cotacoes!Q159)/Cotacoes!Q159</f>
        <v>-7.0257611241217434E-3</v>
      </c>
      <c r="R160" s="5">
        <f>(Cotacoes!R160-Cotacoes!R159)/Cotacoes!R159</f>
        <v>-5.7003257328989013E-3</v>
      </c>
      <c r="S160" s="5">
        <f>(Cotacoes!S160-Cotacoes!S159)/Cotacoes!S159</f>
        <v>-5.1342812006318723E-3</v>
      </c>
      <c r="T160" s="5">
        <f>(Cotacoes!T160-Cotacoes!T159)/Cotacoes!T159</f>
        <v>1.2345679012345708E-2</v>
      </c>
      <c r="U160" s="5">
        <f>(Cotacoes!U160-Cotacoes!U159)/Cotacoes!U159</f>
        <v>4.6777546777547318E-3</v>
      </c>
      <c r="V160" s="5">
        <f>(Cotacoes!V160-Cotacoes!V159)/Cotacoes!V159</f>
        <v>-1.4701558365185876E-3</v>
      </c>
      <c r="W160" s="5"/>
    </row>
    <row r="161" spans="1:23" x14ac:dyDescent="0.2">
      <c r="A161" s="4">
        <v>44792</v>
      </c>
      <c r="B161" s="5">
        <f>(Cotacoes!B161-Cotacoes!B160)/Cotacoes!B160</f>
        <v>-2.3275232230456151E-2</v>
      </c>
      <c r="C161" s="5">
        <f>(Cotacoes!C161-Cotacoes!C160)/Cotacoes!C160</f>
        <v>-1.1313056379821948E-2</v>
      </c>
      <c r="D161" s="5">
        <f>(Cotacoes!D161-Cotacoes!D160)/Cotacoes!D160</f>
        <v>-5.0764192139737978E-2</v>
      </c>
      <c r="E161" s="5">
        <f>(Cotacoes!E161-Cotacoes!E160)/Cotacoes!E160</f>
        <v>-1.3765978367748335E-2</v>
      </c>
      <c r="F161" s="5">
        <f>(Cotacoes!F161-Cotacoes!F160)/Cotacoes!F160</f>
        <v>-4.0864255519022896E-2</v>
      </c>
      <c r="G161" s="5">
        <f>(Cotacoes!G161-Cotacoes!G160)/Cotacoes!G160</f>
        <v>-3.2092864458859602E-2</v>
      </c>
      <c r="H161" s="5">
        <f>(Cotacoes!H161-Cotacoes!H160)/Cotacoes!H160</f>
        <v>-1.8564356435643609E-2</v>
      </c>
      <c r="I161" s="5">
        <f>(Cotacoes!I161-Cotacoes!I160)/Cotacoes!I160</f>
        <v>-2.5353376710792071E-2</v>
      </c>
      <c r="J161" s="5">
        <f>(Cotacoes!J161-Cotacoes!J160)/Cotacoes!J160</f>
        <v>2.3676280671545294E-3</v>
      </c>
      <c r="K161" s="5">
        <f>(Cotacoes!K161-Cotacoes!K160)/Cotacoes!K160</f>
        <v>-1.259445843828722E-2</v>
      </c>
      <c r="L161" s="5">
        <f>(Cotacoes!L161-Cotacoes!L160)/Cotacoes!L160</f>
        <v>-2.6271186440678006E-2</v>
      </c>
      <c r="M161" s="5">
        <f>(Cotacoes!M161-Cotacoes!M160)/Cotacoes!M160</f>
        <v>-2.0664206642066505E-2</v>
      </c>
      <c r="N161" s="5">
        <f>(Cotacoes!N161-Cotacoes!N160)/Cotacoes!N160</f>
        <v>-4.8465266558966472E-3</v>
      </c>
      <c r="O161" s="5">
        <f>(Cotacoes!O161-Cotacoes!O160)/Cotacoes!O160</f>
        <v>3.4097954122752462E-3</v>
      </c>
      <c r="P161" s="5">
        <f>(Cotacoes!P161-Cotacoes!P160)/Cotacoes!P160</f>
        <v>-4.5871559633027477E-2</v>
      </c>
      <c r="Q161" s="5">
        <f>(Cotacoes!Q161-Cotacoes!Q160)/Cotacoes!Q160</f>
        <v>-1.3293310463121729E-2</v>
      </c>
      <c r="R161" s="5">
        <f>(Cotacoes!R161-Cotacoes!R160)/Cotacoes!R160</f>
        <v>-1.3923013923014062E-2</v>
      </c>
      <c r="S161" s="5">
        <f>(Cotacoes!S161-Cotacoes!S160)/Cotacoes!S160</f>
        <v>-9.1306073838825098E-3</v>
      </c>
      <c r="T161" s="5">
        <f>(Cotacoes!T161-Cotacoes!T160)/Cotacoes!T160</f>
        <v>-2.7235772357723644E-2</v>
      </c>
      <c r="U161" s="5">
        <f>(Cotacoes!U161-Cotacoes!U160)/Cotacoes!U160</f>
        <v>-1.9486118296258018E-2</v>
      </c>
      <c r="V161" s="5">
        <f>(Cotacoes!V161-Cotacoes!V160)/Cotacoes!V160</f>
        <v>-2.7090694935217954E-2</v>
      </c>
      <c r="W161" s="5"/>
    </row>
    <row r="162" spans="1:23" x14ac:dyDescent="0.2">
      <c r="A162" s="4">
        <v>44795</v>
      </c>
      <c r="B162" s="5">
        <f>(Cotacoes!B162-Cotacoes!B161)/Cotacoes!B161</f>
        <v>-6.9459286172258118E-3</v>
      </c>
      <c r="C162" s="5">
        <f>(Cotacoes!C162-Cotacoes!C161)/Cotacoes!C161</f>
        <v>-1.4631401238041663E-2</v>
      </c>
      <c r="D162" s="5">
        <f>(Cotacoes!D162-Cotacoes!D161)/Cotacoes!D161</f>
        <v>2.185163887291541E-2</v>
      </c>
      <c r="E162" s="5">
        <f>(Cotacoes!E162-Cotacoes!E161)/Cotacoes!E161</f>
        <v>-1.0967098703888279E-2</v>
      </c>
      <c r="F162" s="5">
        <f>(Cotacoes!F162-Cotacoes!F161)/Cotacoes!F161</f>
        <v>1.6160626836434783E-2</v>
      </c>
      <c r="G162" s="5">
        <f>(Cotacoes!G162-Cotacoes!G161)/Cotacoes!G161</f>
        <v>-2.9982363315696696E-2</v>
      </c>
      <c r="H162" s="5">
        <f>(Cotacoes!H162-Cotacoes!H161)/Cotacoes!H161</f>
        <v>1.0088272383354359E-2</v>
      </c>
      <c r="I162" s="5">
        <f>(Cotacoes!I162-Cotacoes!I161)/Cotacoes!I161</f>
        <v>-1.2200736648250486E-2</v>
      </c>
      <c r="J162" s="5">
        <f>(Cotacoes!J162-Cotacoes!J161)/Cotacoes!J161</f>
        <v>-4.5093407773244762E-3</v>
      </c>
      <c r="K162" s="5">
        <f>(Cotacoes!K162-Cotacoes!K161)/Cotacoes!K161</f>
        <v>-1.4030612244897886E-2</v>
      </c>
      <c r="L162" s="5">
        <f>(Cotacoes!L162-Cotacoes!L161)/Cotacoes!L161</f>
        <v>-1.6536118363794559E-2</v>
      </c>
      <c r="M162" s="5">
        <f>(Cotacoes!M162-Cotacoes!M161)/Cotacoes!M161</f>
        <v>-1.5825169555388024E-2</v>
      </c>
      <c r="N162" s="5">
        <f>(Cotacoes!N162-Cotacoes!N161)/Cotacoes!N161</f>
        <v>-8.1168831168830884E-3</v>
      </c>
      <c r="O162" s="5">
        <f>(Cotacoes!O162-Cotacoes!O161)/Cotacoes!O161</f>
        <v>-1.8226753166512091E-2</v>
      </c>
      <c r="P162" s="5">
        <f>(Cotacoes!P162-Cotacoes!P161)/Cotacoes!P161</f>
        <v>-4.6016483516483513E-2</v>
      </c>
      <c r="Q162" s="5">
        <f>(Cotacoes!Q162-Cotacoes!Q161)/Cotacoes!Q161</f>
        <v>-2.4771838331160374E-2</v>
      </c>
      <c r="R162" s="5">
        <f>(Cotacoes!R162-Cotacoes!R161)/Cotacoes!R161</f>
        <v>-1.7026578073089559E-2</v>
      </c>
      <c r="S162" s="5">
        <f>(Cotacoes!S162-Cotacoes!S161)/Cotacoes!S161</f>
        <v>-1.0817307692307675E-2</v>
      </c>
      <c r="T162" s="5">
        <f>(Cotacoes!T162-Cotacoes!T161)/Cotacoes!T161</f>
        <v>-2.2983702465524475E-2</v>
      </c>
      <c r="U162" s="5">
        <f>(Cotacoes!U162-Cotacoes!U161)/Cotacoes!U161</f>
        <v>-1.2310939148786544E-2</v>
      </c>
      <c r="V162" s="5">
        <f>(Cotacoes!V162-Cotacoes!V161)/Cotacoes!V161</f>
        <v>-3.1476997578692469E-2</v>
      </c>
      <c r="W162" s="5"/>
    </row>
    <row r="163" spans="1:23" x14ac:dyDescent="0.2">
      <c r="A163" s="4">
        <v>44796</v>
      </c>
      <c r="B163" s="5">
        <f>(Cotacoes!B163-Cotacoes!B162)/Cotacoes!B162</f>
        <v>2.4426988055525619E-2</v>
      </c>
      <c r="C163" s="5">
        <f>(Cotacoes!C163-Cotacoes!C162)/Cotacoes!C162</f>
        <v>6.4153816866552402E-2</v>
      </c>
      <c r="D163" s="5">
        <f>(Cotacoes!D163-Cotacoes!D162)/Cotacoes!D162</f>
        <v>3.1513787281935775E-2</v>
      </c>
      <c r="E163" s="5">
        <f>(Cotacoes!E163-Cotacoes!E162)/Cotacoes!E162</f>
        <v>2.5201612903226166E-3</v>
      </c>
      <c r="F163" s="5">
        <f>(Cotacoes!F163-Cotacoes!F162)/Cotacoes!F162</f>
        <v>3.7590361445783184E-2</v>
      </c>
      <c r="G163" s="5">
        <f>(Cotacoes!G163-Cotacoes!G162)/Cotacoes!G162</f>
        <v>-5.0909090909091112E-3</v>
      </c>
      <c r="H163" s="5">
        <f>(Cotacoes!H163-Cotacoes!H162)/Cotacoes!H162</f>
        <v>1.8726591760299671E-2</v>
      </c>
      <c r="I163" s="5">
        <f>(Cotacoes!I163-Cotacoes!I162)/Cotacoes!I162</f>
        <v>4.6609182008863033E-4</v>
      </c>
      <c r="J163" s="5">
        <f>(Cotacoes!J163-Cotacoes!J162)/Cotacoes!J162</f>
        <v>1.7903364969801515E-2</v>
      </c>
      <c r="K163" s="5">
        <f>(Cotacoes!K163-Cotacoes!K162)/Cotacoes!K162</f>
        <v>7.1151358344113472E-3</v>
      </c>
      <c r="L163" s="5">
        <f>(Cotacoes!L163-Cotacoes!L162)/Cotacoes!L162</f>
        <v>1.0619469026548603E-2</v>
      </c>
      <c r="M163" s="5">
        <f>(Cotacoes!M163-Cotacoes!M162)/Cotacoes!M162</f>
        <v>1.5313935681469811E-3</v>
      </c>
      <c r="N163" s="5">
        <f>(Cotacoes!N163-Cotacoes!N162)/Cotacoes!N162</f>
        <v>0</v>
      </c>
      <c r="O163" s="5">
        <f>(Cotacoes!O163-Cotacoes!O162)/Cotacoes!O162</f>
        <v>-1.2901195720578984E-2</v>
      </c>
      <c r="P163" s="5">
        <f>(Cotacoes!P163-Cotacoes!P162)/Cotacoes!P162</f>
        <v>7.919366450683904E-3</v>
      </c>
      <c r="Q163" s="5">
        <f>(Cotacoes!Q163-Cotacoes!Q162)/Cotacoes!Q162</f>
        <v>1.6042780748663076E-2</v>
      </c>
      <c r="R163" s="5">
        <f>(Cotacoes!R163-Cotacoes!R162)/Cotacoes!R162</f>
        <v>1.9011406844106432E-2</v>
      </c>
      <c r="S163" s="5">
        <f>(Cotacoes!S163-Cotacoes!S162)/Cotacoes!S162</f>
        <v>2.0251113811258466E-3</v>
      </c>
      <c r="T163" s="5">
        <f>(Cotacoes!T163-Cotacoes!T162)/Cotacoes!T162</f>
        <v>7.2284003421728027E-2</v>
      </c>
      <c r="U163" s="5">
        <f>(Cotacoes!U163-Cotacoes!U162)/Cotacoes!U162</f>
        <v>2.0833333333333363E-2</v>
      </c>
      <c r="V163" s="5">
        <f>(Cotacoes!V163-Cotacoes!V162)/Cotacoes!V162</f>
        <v>1.3437499999999991E-2</v>
      </c>
      <c r="W163" s="5"/>
    </row>
    <row r="164" spans="1:23" x14ac:dyDescent="0.2">
      <c r="A164" s="4">
        <v>44797</v>
      </c>
      <c r="B164" s="5">
        <f>(Cotacoes!B164-Cotacoes!B163)/Cotacoes!B163</f>
        <v>-1.1554621848739435E-3</v>
      </c>
      <c r="C164" s="5">
        <f>(Cotacoes!C164-Cotacoes!C163)/Cotacoes!C163</f>
        <v>-3.2200357781753078E-2</v>
      </c>
      <c r="D164" s="5">
        <f>(Cotacoes!D164-Cotacoes!D163)/Cotacoes!D163</f>
        <v>6.0010911074742492E-3</v>
      </c>
      <c r="E164" s="5">
        <f>(Cotacoes!E164-Cotacoes!E163)/Cotacoes!E163</f>
        <v>4.0221216691804064E-3</v>
      </c>
      <c r="F164" s="5">
        <f>(Cotacoes!F164-Cotacoes!F163)/Cotacoes!F163</f>
        <v>6.5025545750116379E-3</v>
      </c>
      <c r="G164" s="5">
        <f>(Cotacoes!G164-Cotacoes!G163)/Cotacoes!G163</f>
        <v>-3.654970760233191E-4</v>
      </c>
      <c r="H164" s="5">
        <f>(Cotacoes!H164-Cotacoes!H163)/Cotacoes!H163</f>
        <v>-1.6544117647058796E-2</v>
      </c>
      <c r="I164" s="5">
        <f>(Cotacoes!I164-Cotacoes!I163)/Cotacoes!I163</f>
        <v>-2.5623107384113541E-3</v>
      </c>
      <c r="J164" s="5">
        <f>(Cotacoes!J164-Cotacoes!J163)/Cotacoes!J163</f>
        <v>1.1231193049374892E-2</v>
      </c>
      <c r="K164" s="5">
        <f>(Cotacoes!K164-Cotacoes!K163)/Cotacoes!K163</f>
        <v>-5.1380860629415591E-3</v>
      </c>
      <c r="L164" s="5">
        <f>(Cotacoes!L164-Cotacoes!L163)/Cotacoes!L163</f>
        <v>2.6269702276706971E-3</v>
      </c>
      <c r="M164" s="5">
        <f>(Cotacoes!M164-Cotacoes!M163)/Cotacoes!M163</f>
        <v>2.3700305810397591E-2</v>
      </c>
      <c r="N164" s="5">
        <f>(Cotacoes!N164-Cotacoes!N163)/Cotacoes!N163</f>
        <v>-3.2733224222586681E-3</v>
      </c>
      <c r="O164" s="5">
        <f>(Cotacoes!O164-Cotacoes!O163)/Cotacoes!O163</f>
        <v>-2.2633088938476278E-2</v>
      </c>
      <c r="P164" s="5">
        <f>(Cotacoes!P164-Cotacoes!P163)/Cotacoes!P163</f>
        <v>2.2857142857142878E-2</v>
      </c>
      <c r="Q164" s="5">
        <f>(Cotacoes!Q164-Cotacoes!Q163)/Cotacoes!Q163</f>
        <v>-3.245614035087728E-2</v>
      </c>
      <c r="R164" s="5">
        <f>(Cotacoes!R164-Cotacoes!R163)/Cotacoes!R163</f>
        <v>8.7064676616914298E-3</v>
      </c>
      <c r="S164" s="5">
        <f>(Cotacoes!S164-Cotacoes!S163)/Cotacoes!S163</f>
        <v>-4.4462409054163068E-3</v>
      </c>
      <c r="T164" s="5">
        <f>(Cotacoes!T164-Cotacoes!T163)/Cotacoes!T163</f>
        <v>3.4702832070203471E-2</v>
      </c>
      <c r="U164" s="5">
        <f>(Cotacoes!U164-Cotacoes!U163)/Cotacoes!U163</f>
        <v>9.4191522762951188E-3</v>
      </c>
      <c r="V164" s="5">
        <f>(Cotacoes!V164-Cotacoes!V163)/Cotacoes!V163</f>
        <v>1.5109466543324145E-2</v>
      </c>
      <c r="W164" s="5"/>
    </row>
    <row r="165" spans="1:23" x14ac:dyDescent="0.2">
      <c r="A165" s="4">
        <v>44798</v>
      </c>
      <c r="B165" s="5">
        <f>(Cotacoes!B165-Cotacoes!B164)/Cotacoes!B164</f>
        <v>2.7342517614890199E-3</v>
      </c>
      <c r="C165" s="5">
        <f>(Cotacoes!C165-Cotacoes!C164)/Cotacoes!C164</f>
        <v>1.9408502772643201E-2</v>
      </c>
      <c r="D165" s="5">
        <f>(Cotacoes!D165-Cotacoes!D164)/Cotacoes!D164</f>
        <v>-1.0845986984815771E-2</v>
      </c>
      <c r="E165" s="5">
        <f>(Cotacoes!E165-Cotacoes!E164)/Cotacoes!E164</f>
        <v>1.2518778167250878E-2</v>
      </c>
      <c r="F165" s="5">
        <f>(Cotacoes!F165-Cotacoes!F164)/Cotacoes!F164</f>
        <v>-1.0152284263959501E-2</v>
      </c>
      <c r="G165" s="5">
        <f>(Cotacoes!G165-Cotacoes!G164)/Cotacoes!G164</f>
        <v>5.4844606946983024E-3</v>
      </c>
      <c r="H165" s="5">
        <f>(Cotacoes!H165-Cotacoes!H164)/Cotacoes!H164</f>
        <v>2.3676012461059128E-2</v>
      </c>
      <c r="I165" s="5">
        <f>(Cotacoes!I165-Cotacoes!I164)/Cotacoes!I164</f>
        <v>-1.4479215319943891E-2</v>
      </c>
      <c r="J165" s="5">
        <f>(Cotacoes!J165-Cotacoes!J164)/Cotacoes!J164</f>
        <v>1.5507124895222171E-2</v>
      </c>
      <c r="K165" s="5">
        <f>(Cotacoes!K165-Cotacoes!K164)/Cotacoes!K164</f>
        <v>7.1013557133634232E-3</v>
      </c>
      <c r="L165" s="5">
        <f>(Cotacoes!L165-Cotacoes!L164)/Cotacoes!L164</f>
        <v>2.4454148471615821E-2</v>
      </c>
      <c r="M165" s="5">
        <f>(Cotacoes!M165-Cotacoes!M164)/Cotacoes!M164</f>
        <v>7.4682598954442015E-4</v>
      </c>
      <c r="N165" s="5">
        <f>(Cotacoes!N165-Cotacoes!N164)/Cotacoes!N164</f>
        <v>9.8522167487685545E-3</v>
      </c>
      <c r="O165" s="5">
        <f>(Cotacoes!O165-Cotacoes!O164)/Cotacoes!O164</f>
        <v>1.9569471624265727E-3</v>
      </c>
      <c r="P165" s="5">
        <f>(Cotacoes!P165-Cotacoes!P164)/Cotacoes!P164</f>
        <v>2.7234636871508421E-2</v>
      </c>
      <c r="Q165" s="5">
        <f>(Cotacoes!Q165-Cotacoes!Q164)/Cotacoes!Q164</f>
        <v>-1.2239347234814124E-2</v>
      </c>
      <c r="R165" s="5">
        <f>(Cotacoes!R165-Cotacoes!R164)/Cotacoes!R164</f>
        <v>-8.6313193588161662E-3</v>
      </c>
      <c r="S165" s="5">
        <f>(Cotacoes!S165-Cotacoes!S164)/Cotacoes!S164</f>
        <v>-7.3081607795371381E-3</v>
      </c>
      <c r="T165" s="5">
        <f>(Cotacoes!T165-Cotacoes!T164)/Cotacoes!T164</f>
        <v>1.5805705474171167E-2</v>
      </c>
      <c r="U165" s="5">
        <f>(Cotacoes!U165-Cotacoes!U164)/Cotacoes!U164</f>
        <v>-3.2832210126144414E-3</v>
      </c>
      <c r="V165" s="5">
        <f>(Cotacoes!V165-Cotacoes!V164)/Cotacoes!V164</f>
        <v>-7.2904009720535226E-3</v>
      </c>
      <c r="W165" s="5"/>
    </row>
    <row r="166" spans="1:23" x14ac:dyDescent="0.2">
      <c r="A166" s="4">
        <v>44799</v>
      </c>
      <c r="B166" s="5">
        <f>(Cotacoes!B166-Cotacoes!B165)/Cotacoes!B165</f>
        <v>-1.048767697954903E-2</v>
      </c>
      <c r="C166" s="5">
        <f>(Cotacoes!C166-Cotacoes!C165)/Cotacoes!C165</f>
        <v>-1.5049864007252917E-2</v>
      </c>
      <c r="D166" s="5">
        <f>(Cotacoes!D166-Cotacoes!D165)/Cotacoes!D165</f>
        <v>1.0964912280701912E-2</v>
      </c>
      <c r="E166" s="5">
        <f>(Cotacoes!E166-Cotacoes!E165)/Cotacoes!E165</f>
        <v>-5.9347181008900813E-3</v>
      </c>
      <c r="F166" s="5">
        <f>(Cotacoes!F166-Cotacoes!F165)/Cotacoes!F165</f>
        <v>1.0256410256410369E-2</v>
      </c>
      <c r="G166" s="5">
        <f>(Cotacoes!G166-Cotacoes!G165)/Cotacoes!G165</f>
        <v>-4.7272727272726911E-3</v>
      </c>
      <c r="H166" s="5">
        <f>(Cotacoes!H166-Cotacoes!H165)/Cotacoes!H165</f>
        <v>-4.8691418137552216E-3</v>
      </c>
      <c r="I166" s="5">
        <f>(Cotacoes!I166-Cotacoes!I165)/Cotacoes!I165</f>
        <v>-9.4786729857821248E-3</v>
      </c>
      <c r="J166" s="5">
        <f>(Cotacoes!J166-Cotacoes!J165)/Cotacoes!J165</f>
        <v>-1.6302104828724705E-2</v>
      </c>
      <c r="K166" s="5">
        <f>(Cotacoes!K166-Cotacoes!K165)/Cotacoes!K165</f>
        <v>-3.846153846153878E-3</v>
      </c>
      <c r="L166" s="5">
        <f>(Cotacoes!L166-Cotacoes!L165)/Cotacoes!L165</f>
        <v>-2.6427962489343607E-2</v>
      </c>
      <c r="M166" s="5">
        <f>(Cotacoes!M166-Cotacoes!M165)/Cotacoes!M165</f>
        <v>-8.9552238805970883E-3</v>
      </c>
      <c r="N166" s="5">
        <f>(Cotacoes!N166-Cotacoes!N165)/Cotacoes!N165</f>
        <v>-3.2520325203252783E-3</v>
      </c>
      <c r="O166" s="5">
        <f>(Cotacoes!O166-Cotacoes!O165)/Cotacoes!O165</f>
        <v>-2.5065104166666654E-2</v>
      </c>
      <c r="P166" s="5">
        <f>(Cotacoes!P166-Cotacoes!P165)/Cotacoes!P165</f>
        <v>-1.3596193065941608E-2</v>
      </c>
      <c r="Q166" s="5">
        <f>(Cotacoes!Q166-Cotacoes!Q165)/Cotacoes!Q165</f>
        <v>-4.1532813217071946E-2</v>
      </c>
      <c r="R166" s="5">
        <f>(Cotacoes!R166-Cotacoes!R165)/Cotacoes!R165</f>
        <v>-2.0729684908789386E-2</v>
      </c>
      <c r="S166" s="5">
        <f>(Cotacoes!S166-Cotacoes!S165)/Cotacoes!S165</f>
        <v>-1.8813905930470384E-2</v>
      </c>
      <c r="T166" s="5">
        <f>(Cotacoes!T166-Cotacoes!T165)/Cotacoes!T165</f>
        <v>6.4516129032257362E-3</v>
      </c>
      <c r="U166" s="5">
        <f>(Cotacoes!U166-Cotacoes!U165)/Cotacoes!U165</f>
        <v>-3.3113730929264854E-2</v>
      </c>
      <c r="V166" s="5">
        <f>(Cotacoes!V166-Cotacoes!V165)/Cotacoes!V165</f>
        <v>-2.8763769889840921E-2</v>
      </c>
      <c r="W166" s="5"/>
    </row>
    <row r="167" spans="1:23" x14ac:dyDescent="0.2">
      <c r="A167" s="4">
        <v>44802</v>
      </c>
      <c r="B167" s="5">
        <f>(Cotacoes!B167-Cotacoes!B166)/Cotacoes!B166</f>
        <v>0</v>
      </c>
      <c r="C167" s="5">
        <f>(Cotacoes!C167-Cotacoes!C166)/Cotacoes!C166</f>
        <v>-1.9329896907216444E-2</v>
      </c>
      <c r="D167" s="5">
        <f>(Cotacoes!D167-Cotacoes!D166)/Cotacoes!D166</f>
        <v>2.4945770065075774E-2</v>
      </c>
      <c r="E167" s="5">
        <f>(Cotacoes!E167-Cotacoes!E166)/Cotacoes!E166</f>
        <v>-3.4825870646766309E-3</v>
      </c>
      <c r="F167" s="5">
        <f>(Cotacoes!F167-Cotacoes!F166)/Cotacoes!F166</f>
        <v>2.1688970927549553E-2</v>
      </c>
      <c r="G167" s="5">
        <f>(Cotacoes!G167-Cotacoes!G166)/Cotacoes!G166</f>
        <v>-1.534526854219955E-2</v>
      </c>
      <c r="H167" s="5">
        <f>(Cotacoes!H167-Cotacoes!H166)/Cotacoes!H166</f>
        <v>2.0183486238532004E-2</v>
      </c>
      <c r="I167" s="5">
        <f>(Cotacoes!I167-Cotacoes!I166)/Cotacoes!I166</f>
        <v>6.6985645933014632E-3</v>
      </c>
      <c r="J167" s="5">
        <f>(Cotacoes!J167-Cotacoes!J166)/Cotacoes!J166</f>
        <v>8.8105726872247051E-3</v>
      </c>
      <c r="K167" s="5">
        <f>(Cotacoes!K167-Cotacoes!K166)/Cotacoes!K166</f>
        <v>3.8610038610038932E-3</v>
      </c>
      <c r="L167" s="5">
        <f>(Cotacoes!L167-Cotacoes!L166)/Cotacoes!L166</f>
        <v>-7.0052539404553476E-3</v>
      </c>
      <c r="M167" s="5">
        <f>(Cotacoes!M167-Cotacoes!M166)/Cotacoes!M166</f>
        <v>-4.51807228915653E-3</v>
      </c>
      <c r="N167" s="5">
        <f>(Cotacoes!N167-Cotacoes!N166)/Cotacoes!N166</f>
        <v>-6.5252854812398097E-3</v>
      </c>
      <c r="O167" s="5">
        <f>(Cotacoes!O167-Cotacoes!O166)/Cotacoes!O166</f>
        <v>5.0083472454090861E-3</v>
      </c>
      <c r="P167" s="5">
        <f>(Cotacoes!P167-Cotacoes!P166)/Cotacoes!P166</f>
        <v>-9.6485182632667522E-3</v>
      </c>
      <c r="Q167" s="5">
        <f>(Cotacoes!Q167-Cotacoes!Q166)/Cotacoes!Q166</f>
        <v>-1.4364376346660825E-3</v>
      </c>
      <c r="R167" s="5">
        <f>(Cotacoes!R167-Cotacoes!R166)/Cotacoes!R166</f>
        <v>1.7358171041490268E-2</v>
      </c>
      <c r="S167" s="5">
        <f>(Cotacoes!S167-Cotacoes!S166)/Cotacoes!S166</f>
        <v>1.6673614005836891E-3</v>
      </c>
      <c r="T167" s="5">
        <f>(Cotacoes!T167-Cotacoes!T166)/Cotacoes!T166</f>
        <v>2.5263951734540036E-2</v>
      </c>
      <c r="U167" s="5">
        <f>(Cotacoes!U167-Cotacoes!U166)/Cotacoes!U166</f>
        <v>-3.2275416890801454E-3</v>
      </c>
      <c r="V167" s="5">
        <f>(Cotacoes!V167-Cotacoes!V166)/Cotacoes!V166</f>
        <v>-1.1972274732199088E-2</v>
      </c>
      <c r="W167" s="5"/>
    </row>
    <row r="168" spans="1:23" x14ac:dyDescent="0.2">
      <c r="A168" s="4">
        <v>44803</v>
      </c>
      <c r="B168" s="5">
        <f>(Cotacoes!B168-Cotacoes!B167)/Cotacoes!B167</f>
        <v>-1.6428192898781106E-2</v>
      </c>
      <c r="C168" s="5">
        <f>(Cotacoes!C168-Cotacoes!C167)/Cotacoes!C167</f>
        <v>-2.8909329829172256E-2</v>
      </c>
      <c r="D168" s="5">
        <f>(Cotacoes!D168-Cotacoes!D167)/Cotacoes!D167</f>
        <v>-5.925925925925913E-2</v>
      </c>
      <c r="E168" s="5">
        <f>(Cotacoes!E168-Cotacoes!E167)/Cotacoes!E167</f>
        <v>-4.4932601098352397E-3</v>
      </c>
      <c r="F168" s="5">
        <f>(Cotacoes!F168-Cotacoes!F167)/Cotacoes!F167</f>
        <v>-5.6458897922312554E-2</v>
      </c>
      <c r="G168" s="5">
        <f>(Cotacoes!G168-Cotacoes!G167)/Cotacoes!G167</f>
        <v>7.4211502782929779E-4</v>
      </c>
      <c r="H168" s="5">
        <f>(Cotacoes!H168-Cotacoes!H167)/Cotacoes!H167</f>
        <v>-2.3980815347721313E-3</v>
      </c>
      <c r="I168" s="5">
        <f>(Cotacoes!I168-Cotacoes!I167)/Cotacoes!I167</f>
        <v>-1.3307984790874411E-2</v>
      </c>
      <c r="J168" s="5">
        <f>(Cotacoes!J168-Cotacoes!J167)/Cotacoes!J167</f>
        <v>-3.9509253483053612E-3</v>
      </c>
      <c r="K168" s="5">
        <f>(Cotacoes!K168-Cotacoes!K167)/Cotacoes!K167</f>
        <v>-3.2051282051281369E-3</v>
      </c>
      <c r="L168" s="5">
        <f>(Cotacoes!L168-Cotacoes!L167)/Cotacoes!L167</f>
        <v>-1.2345679012345729E-2</v>
      </c>
      <c r="M168" s="5">
        <f>(Cotacoes!M168-Cotacoes!M167)/Cotacoes!M167</f>
        <v>-1.3615733736762593E-2</v>
      </c>
      <c r="N168" s="5">
        <f>(Cotacoes!N168-Cotacoes!N167)/Cotacoes!N167</f>
        <v>4.9261083743842773E-3</v>
      </c>
      <c r="O168" s="5">
        <f>(Cotacoes!O168-Cotacoes!O167)/Cotacoes!O167</f>
        <v>-3.6544850498339862E-3</v>
      </c>
      <c r="P168" s="5">
        <f>(Cotacoes!P168-Cotacoes!P167)/Cotacoes!P167</f>
        <v>-7.6548364648573028E-3</v>
      </c>
      <c r="Q168" s="5">
        <f>(Cotacoes!Q168-Cotacoes!Q167)/Cotacoes!Q167</f>
        <v>-4.0757612083433641E-3</v>
      </c>
      <c r="R168" s="5">
        <f>(Cotacoes!R168-Cotacoes!R167)/Cotacoes!R167</f>
        <v>-8.3229296712441006E-4</v>
      </c>
      <c r="S168" s="5">
        <f>(Cotacoes!S168-Cotacoes!S167)/Cotacoes!S167</f>
        <v>-4.1614648356227892E-4</v>
      </c>
      <c r="T168" s="5">
        <f>(Cotacoes!T168-Cotacoes!T167)/Cotacoes!T167</f>
        <v>-1.3240161824200182E-2</v>
      </c>
      <c r="U168" s="5">
        <f>(Cotacoes!U168-Cotacoes!U167)/Cotacoes!U167</f>
        <v>1.4391077531930151E-2</v>
      </c>
      <c r="V168" s="5">
        <f>(Cotacoes!V168-Cotacoes!V167)/Cotacoes!V167</f>
        <v>-1.5943877551020634E-3</v>
      </c>
      <c r="W168" s="5"/>
    </row>
    <row r="169" spans="1:23" x14ac:dyDescent="0.2">
      <c r="A169" s="4">
        <v>44804</v>
      </c>
      <c r="B169" s="5">
        <f>(Cotacoes!B169-Cotacoes!B168)/Cotacoes!B168</f>
        <v>-4.8491379310345133E-3</v>
      </c>
      <c r="C169" s="5">
        <f>(Cotacoes!C169-Cotacoes!C168)/Cotacoes!C168</f>
        <v>-7.3458341387975159E-3</v>
      </c>
      <c r="D169" s="5">
        <f>(Cotacoes!D169-Cotacoes!D168)/Cotacoes!D168</f>
        <v>2.4746906636670285E-2</v>
      </c>
      <c r="E169" s="5">
        <f>(Cotacoes!E169-Cotacoes!E168)/Cotacoes!E168</f>
        <v>-2.5075225677031091E-2</v>
      </c>
      <c r="F169" s="5">
        <f>(Cotacoes!F169-Cotacoes!F168)/Cotacoes!F168</f>
        <v>2.9200574437529891E-2</v>
      </c>
      <c r="G169" s="5">
        <f>(Cotacoes!G169-Cotacoes!G168)/Cotacoes!G168</f>
        <v>-3.7078235076009594E-3</v>
      </c>
      <c r="H169" s="5">
        <f>(Cotacoes!H169-Cotacoes!H168)/Cotacoes!H168</f>
        <v>-1.5625000000000094E-2</v>
      </c>
      <c r="I169" s="5">
        <f>(Cotacoes!I169-Cotacoes!I168)/Cotacoes!I168</f>
        <v>1.4450867052021956E-3</v>
      </c>
      <c r="J169" s="5">
        <f>(Cotacoes!J169-Cotacoes!J168)/Cotacoes!J168</f>
        <v>2.6096033402922755E-2</v>
      </c>
      <c r="K169" s="5">
        <f>(Cotacoes!K169-Cotacoes!K168)/Cotacoes!K168</f>
        <v>-2.5080385852090069E-2</v>
      </c>
      <c r="L169" s="5">
        <f>(Cotacoes!L169-Cotacoes!L168)/Cotacoes!L168</f>
        <v>-2.7678571428571316E-2</v>
      </c>
      <c r="M169" s="5">
        <f>(Cotacoes!M169-Cotacoes!M168)/Cotacoes!M168</f>
        <v>-7.6687116564416909E-3</v>
      </c>
      <c r="N169" s="5">
        <f>(Cotacoes!N169-Cotacoes!N168)/Cotacoes!N168</f>
        <v>-2.1241830065359461E-2</v>
      </c>
      <c r="O169" s="5">
        <f>(Cotacoes!O169-Cotacoes!O168)/Cotacoes!O168</f>
        <v>-1.3337779259753204E-2</v>
      </c>
      <c r="P169" s="5">
        <f>(Cotacoes!P169-Cotacoes!P168)/Cotacoes!P168</f>
        <v>-3.1556802244039221E-2</v>
      </c>
      <c r="Q169" s="5">
        <f>(Cotacoes!Q169-Cotacoes!Q168)/Cotacoes!Q168</f>
        <v>-1.8777082330284092E-2</v>
      </c>
      <c r="R169" s="5">
        <f>(Cotacoes!R169-Cotacoes!R168)/Cotacoes!R168</f>
        <v>-1.2078300708038428E-2</v>
      </c>
      <c r="S169" s="5">
        <f>(Cotacoes!S169-Cotacoes!S168)/Cotacoes!S168</f>
        <v>6.6611157368859347E-3</v>
      </c>
      <c r="T169" s="5">
        <f>(Cotacoes!T169-Cotacoes!T168)/Cotacoes!T168</f>
        <v>1.6399552739470791E-2</v>
      </c>
      <c r="U169" s="5">
        <f>(Cotacoes!U169-Cotacoes!U168)/Cotacoes!U168</f>
        <v>-2.269906011704205E-2</v>
      </c>
      <c r="V169" s="5">
        <f>(Cotacoes!V169-Cotacoes!V168)/Cotacoes!V168</f>
        <v>9.900990099009974E-3</v>
      </c>
      <c r="W169" s="5"/>
    </row>
    <row r="170" spans="1:23" x14ac:dyDescent="0.2">
      <c r="A170" s="4">
        <v>44805</v>
      </c>
      <c r="B170" s="5">
        <f>(Cotacoes!B170-Cotacoes!B169)/Cotacoes!B169</f>
        <v>4.3313481321061798E-3</v>
      </c>
      <c r="C170" s="5">
        <f>(Cotacoes!C170-Cotacoes!C169)/Cotacoes!C169</f>
        <v>-9.3476144109056278E-3</v>
      </c>
      <c r="D170" s="5">
        <f>(Cotacoes!D170-Cotacoes!D169)/Cotacoes!D169</f>
        <v>1.8660812294182212E-2</v>
      </c>
      <c r="E170" s="5">
        <f>(Cotacoes!E170-Cotacoes!E169)/Cotacoes!E169</f>
        <v>1.5432098765431952E-2</v>
      </c>
      <c r="F170" s="5">
        <f>(Cotacoes!F170-Cotacoes!F169)/Cotacoes!F169</f>
        <v>1.8139534883720956E-2</v>
      </c>
      <c r="G170" s="5">
        <f>(Cotacoes!G170-Cotacoes!G169)/Cotacoes!G169</f>
        <v>3.3494603647190122E-3</v>
      </c>
      <c r="H170" s="5">
        <f>(Cotacoes!H170-Cotacoes!H169)/Cotacoes!H169</f>
        <v>1.5873015873015969E-2</v>
      </c>
      <c r="I170" s="5">
        <f>(Cotacoes!I170-Cotacoes!I169)/Cotacoes!I169</f>
        <v>1.5151515151515214E-2</v>
      </c>
      <c r="J170" s="5">
        <f>(Cotacoes!J170-Cotacoes!J169)/Cotacoes!J169</f>
        <v>-3.0518819938962073E-3</v>
      </c>
      <c r="K170" s="5">
        <f>(Cotacoes!K170-Cotacoes!K169)/Cotacoes!K169</f>
        <v>8.5751978891819916E-3</v>
      </c>
      <c r="L170" s="5">
        <f>(Cotacoes!L170-Cotacoes!L169)/Cotacoes!L169</f>
        <v>2.0202020202020096E-2</v>
      </c>
      <c r="M170" s="5">
        <f>(Cotacoes!M170-Cotacoes!M169)/Cotacoes!M169</f>
        <v>1.0046367851622936E-2</v>
      </c>
      <c r="N170" s="5">
        <f>(Cotacoes!N170-Cotacoes!N169)/Cotacoes!N169</f>
        <v>3.3388981636059386E-3</v>
      </c>
      <c r="O170" s="5">
        <f>(Cotacoes!O170-Cotacoes!O169)/Cotacoes!O169</f>
        <v>-1.7235552551537733E-2</v>
      </c>
      <c r="P170" s="5">
        <f>(Cotacoes!P170-Cotacoes!P169)/Cotacoes!P169</f>
        <v>-2.3895727733526436E-2</v>
      </c>
      <c r="Q170" s="5">
        <f>(Cotacoes!Q170-Cotacoes!Q169)/Cotacoes!Q169</f>
        <v>-5.8881256133462932E-3</v>
      </c>
      <c r="R170" s="5">
        <f>(Cotacoes!R170-Cotacoes!R169)/Cotacoes!R169</f>
        <v>1.0961214165261449E-2</v>
      </c>
      <c r="S170" s="5">
        <f>(Cotacoes!S170-Cotacoes!S169)/Cotacoes!S169</f>
        <v>1.1166253101736955E-2</v>
      </c>
      <c r="T170" s="5">
        <f>(Cotacoes!T170-Cotacoes!T169)/Cotacoes!T169</f>
        <v>-4.0337367070040131E-3</v>
      </c>
      <c r="U170" s="5">
        <f>(Cotacoes!U170-Cotacoes!U169)/Cotacoes!U169</f>
        <v>2.9214298675376511E-2</v>
      </c>
      <c r="V170" s="5">
        <f>(Cotacoes!V170-Cotacoes!V169)/Cotacoes!V169</f>
        <v>2.1821631878557915E-2</v>
      </c>
      <c r="W170" s="5"/>
    </row>
    <row r="171" spans="1:23" x14ac:dyDescent="0.2">
      <c r="A171" s="4">
        <v>44806</v>
      </c>
      <c r="B171" s="5">
        <f>(Cotacoes!B171-Cotacoes!B170)/Cotacoes!B170</f>
        <v>1.0458221024258748E-2</v>
      </c>
      <c r="C171" s="5">
        <f>(Cotacoes!C171-Cotacoes!C170)/Cotacoes!C170</f>
        <v>-1.5136622763907924E-2</v>
      </c>
      <c r="D171" s="5">
        <f>(Cotacoes!D171-Cotacoes!D170)/Cotacoes!D170</f>
        <v>-1.2931034482758537E-2</v>
      </c>
      <c r="E171" s="5">
        <f>(Cotacoes!E171-Cotacoes!E170)/Cotacoes!E170</f>
        <v>1.3677811550152135E-2</v>
      </c>
      <c r="F171" s="5">
        <f>(Cotacoes!F171-Cotacoes!F170)/Cotacoes!F170</f>
        <v>-1.4618547281863877E-2</v>
      </c>
      <c r="G171" s="5">
        <f>(Cotacoes!G171-Cotacoes!G170)/Cotacoes!G170</f>
        <v>6.4540059347180948E-2</v>
      </c>
      <c r="H171" s="5">
        <f>(Cotacoes!H171-Cotacoes!H170)/Cotacoes!H170</f>
        <v>4.2067307692307864E-3</v>
      </c>
      <c r="I171" s="5">
        <f>(Cotacoes!I171-Cotacoes!I170)/Cotacoes!I170</f>
        <v>-6.3965884861407986E-3</v>
      </c>
      <c r="J171" s="5">
        <f>(Cotacoes!J171-Cotacoes!J170)/Cotacoes!J170</f>
        <v>7.7551020408163788E-3</v>
      </c>
      <c r="K171" s="5">
        <f>(Cotacoes!K171-Cotacoes!K170)/Cotacoes!K170</f>
        <v>1.0464355788096805E-2</v>
      </c>
      <c r="L171" s="5">
        <f>(Cotacoes!L171-Cotacoes!L170)/Cotacoes!L170</f>
        <v>4.5004500450045004E-2</v>
      </c>
      <c r="M171" s="5">
        <f>(Cotacoes!M171-Cotacoes!M170)/Cotacoes!M170</f>
        <v>3.060443764345765E-3</v>
      </c>
      <c r="N171" s="5">
        <f>(Cotacoes!N171-Cotacoes!N170)/Cotacoes!N170</f>
        <v>1.6638935108153168E-2</v>
      </c>
      <c r="O171" s="5">
        <f>(Cotacoes!O171-Cotacoes!O170)/Cotacoes!O170</f>
        <v>2.0632737276479463E-3</v>
      </c>
      <c r="P171" s="5">
        <f>(Cotacoes!P171-Cotacoes!P170)/Cotacoes!P170</f>
        <v>-1.0385756676557905E-2</v>
      </c>
      <c r="Q171" s="5">
        <f>(Cotacoes!Q171-Cotacoes!Q170)/Cotacoes!Q170</f>
        <v>-1.0858835143139308E-2</v>
      </c>
      <c r="R171" s="5">
        <f>(Cotacoes!R171-Cotacoes!R170)/Cotacoes!R170</f>
        <v>1.0008340283569577E-2</v>
      </c>
      <c r="S171" s="5">
        <f>(Cotacoes!S171-Cotacoes!S170)/Cotacoes!S170</f>
        <v>-2.4539877300612974E-3</v>
      </c>
      <c r="T171" s="5">
        <f>(Cotacoes!T171-Cotacoes!T170)/Cotacoes!T170</f>
        <v>2.0250368188512544E-2</v>
      </c>
      <c r="U171" s="5">
        <f>(Cotacoes!U171-Cotacoes!U170)/Cotacoes!U170</f>
        <v>3.5260930888575959E-3</v>
      </c>
      <c r="V171" s="5">
        <f>(Cotacoes!V171-Cotacoes!V170)/Cotacoes!V170</f>
        <v>-1.547508511296944E-3</v>
      </c>
      <c r="W171" s="5"/>
    </row>
    <row r="172" spans="1:23" x14ac:dyDescent="0.2">
      <c r="A172" s="4">
        <v>44809</v>
      </c>
      <c r="B172" s="5">
        <f>(Cotacoes!B172-Cotacoes!B171)/Cotacoes!B171</f>
        <v>6.1886470337174379E-3</v>
      </c>
      <c r="C172" s="5">
        <f>(Cotacoes!C172-Cotacoes!C171)/Cotacoes!C171</f>
        <v>3.6526946107784397E-2</v>
      </c>
      <c r="D172" s="5">
        <f>(Cotacoes!D172-Cotacoes!D171)/Cotacoes!D171</f>
        <v>-2.7292576419214363E-3</v>
      </c>
      <c r="E172" s="5">
        <f>(Cotacoes!E172-Cotacoes!E171)/Cotacoes!E171</f>
        <v>1.5992003998000836E-2</v>
      </c>
      <c r="F172" s="5">
        <f>(Cotacoes!F172-Cotacoes!F171)/Cotacoes!F171</f>
        <v>-2.3180343069077753E-3</v>
      </c>
      <c r="G172" s="5">
        <f>(Cotacoes!G172-Cotacoes!G171)/Cotacoes!G171</f>
        <v>2.2648083623693454E-2</v>
      </c>
      <c r="H172" s="5">
        <f>(Cotacoes!H172-Cotacoes!H171)/Cotacoes!H171</f>
        <v>-2.0945541591861246E-2</v>
      </c>
      <c r="I172" s="5">
        <f>(Cotacoes!I172-Cotacoes!I171)/Cotacoes!I171</f>
        <v>-1.1921793037672189E-3</v>
      </c>
      <c r="J172" s="5">
        <f>(Cotacoes!J172-Cotacoes!J171)/Cotacoes!J171</f>
        <v>2.207371405427291E-2</v>
      </c>
      <c r="K172" s="5">
        <f>(Cotacoes!K172-Cotacoes!K171)/Cotacoes!K171</f>
        <v>1.9417475728156076E-3</v>
      </c>
      <c r="L172" s="5">
        <f>(Cotacoes!L172-Cotacoes!L171)/Cotacoes!L171</f>
        <v>1.6365202411714151E-2</v>
      </c>
      <c r="M172" s="5">
        <f>(Cotacoes!M172-Cotacoes!M171)/Cotacoes!M171</f>
        <v>4.57665903890164E-3</v>
      </c>
      <c r="N172" s="5">
        <f>(Cotacoes!N172-Cotacoes!N171)/Cotacoes!N171</f>
        <v>1.1456628477904974E-2</v>
      </c>
      <c r="O172" s="5">
        <f>(Cotacoes!O172-Cotacoes!O171)/Cotacoes!O171</f>
        <v>-4.8043925875085984E-3</v>
      </c>
      <c r="P172" s="5">
        <f>(Cotacoes!P172-Cotacoes!P171)/Cotacoes!P171</f>
        <v>-1.5742128935532163E-2</v>
      </c>
      <c r="Q172" s="5">
        <f>(Cotacoes!Q172-Cotacoes!Q171)/Cotacoes!Q171</f>
        <v>2.76946107784431E-2</v>
      </c>
      <c r="R172" s="5">
        <f>(Cotacoes!R172-Cotacoes!R171)/Cotacoes!R171</f>
        <v>1.7753922378199824E-2</v>
      </c>
      <c r="S172" s="5">
        <f>(Cotacoes!S172-Cotacoes!S171)/Cotacoes!S171</f>
        <v>3.4440344403444026E-2</v>
      </c>
      <c r="T172" s="5">
        <f>(Cotacoes!T172-Cotacoes!T171)/Cotacoes!T171</f>
        <v>6.4236737639841127E-2</v>
      </c>
      <c r="U172" s="5">
        <f>(Cotacoes!U172-Cotacoes!U171)/Cotacoes!U171</f>
        <v>1.0892480674631016E-2</v>
      </c>
      <c r="V172" s="5">
        <f>(Cotacoes!V172-Cotacoes!V171)/Cotacoes!V171</f>
        <v>2.8518288902665896E-2</v>
      </c>
      <c r="W172" s="5"/>
    </row>
    <row r="173" spans="1:23" x14ac:dyDescent="0.2">
      <c r="A173" s="4">
        <v>44810</v>
      </c>
      <c r="B173" s="5">
        <f>(Cotacoes!B173-Cotacoes!B172)/Cotacoes!B172</f>
        <v>-2.0042417815482508E-2</v>
      </c>
      <c r="C173" s="5">
        <f>(Cotacoes!C173-Cotacoes!C172)/Cotacoes!C172</f>
        <v>-2.3878297708453726E-2</v>
      </c>
      <c r="D173" s="5">
        <f>(Cotacoes!D173-Cotacoes!D172)/Cotacoes!D172</f>
        <v>-3.6672140120415885E-2</v>
      </c>
      <c r="E173" s="5">
        <f>(Cotacoes!E173-Cotacoes!E172)/Cotacoes!E172</f>
        <v>-9.3457943925232528E-3</v>
      </c>
      <c r="F173" s="5">
        <f>(Cotacoes!F173-Cotacoes!F172)/Cotacoes!F172</f>
        <v>-3.4851301115241637E-2</v>
      </c>
      <c r="G173" s="5">
        <f>(Cotacoes!G173-Cotacoes!G172)/Cotacoes!G172</f>
        <v>-1.9761499148211306E-2</v>
      </c>
      <c r="H173" s="5">
        <f>(Cotacoes!H173-Cotacoes!H172)/Cotacoes!H172</f>
        <v>-4.8288508557457165E-2</v>
      </c>
      <c r="I173" s="5">
        <f>(Cotacoes!I173-Cotacoes!I172)/Cotacoes!I172</f>
        <v>-2.7691573167820571E-2</v>
      </c>
      <c r="J173" s="5">
        <f>(Cotacoes!J173-Cotacoes!J172)/Cotacoes!J172</f>
        <v>-2.7144838517931393E-2</v>
      </c>
      <c r="K173" s="5">
        <f>(Cotacoes!K173-Cotacoes!K172)/Cotacoes!K172</f>
        <v>-5.8139534883720834E-3</v>
      </c>
      <c r="L173" s="5">
        <f>(Cotacoes!L173-Cotacoes!L172)/Cotacoes!L172</f>
        <v>-3.5593220338983045E-2</v>
      </c>
      <c r="M173" s="5">
        <f>(Cotacoes!M173-Cotacoes!M172)/Cotacoes!M172</f>
        <v>7.5930144267272485E-4</v>
      </c>
      <c r="N173" s="5">
        <f>(Cotacoes!N173-Cotacoes!N172)/Cotacoes!N172</f>
        <v>-1.7799352750808971E-2</v>
      </c>
      <c r="O173" s="5">
        <f>(Cotacoes!O173-Cotacoes!O172)/Cotacoes!O172</f>
        <v>1.0344827586207289E-3</v>
      </c>
      <c r="P173" s="5">
        <f>(Cotacoes!P173-Cotacoes!P172)/Cotacoes!P172</f>
        <v>-6.8545316070069782E-3</v>
      </c>
      <c r="Q173" s="5">
        <f>(Cotacoes!Q173-Cotacoes!Q172)/Cotacoes!Q172</f>
        <v>5.5838795824230151E-3</v>
      </c>
      <c r="R173" s="5">
        <f>(Cotacoes!R173-Cotacoes!R172)/Cotacoes!R172</f>
        <v>-2.4746450304259614E-2</v>
      </c>
      <c r="S173" s="5">
        <f>(Cotacoes!S173-Cotacoes!S172)/Cotacoes!S172</f>
        <v>-1.2286959968291666E-2</v>
      </c>
      <c r="T173" s="5">
        <f>(Cotacoes!T173-Cotacoes!T172)/Cotacoes!T172</f>
        <v>-2.7806035944387818E-2</v>
      </c>
      <c r="U173" s="5">
        <f>(Cotacoes!U173-Cotacoes!U172)/Cotacoes!U172</f>
        <v>-2.7632950990615159E-2</v>
      </c>
      <c r="V173" s="5">
        <f>(Cotacoes!V173-Cotacoes!V172)/Cotacoes!V172</f>
        <v>-4.1892706449668492E-2</v>
      </c>
      <c r="W173" s="5"/>
    </row>
    <row r="174" spans="1:23" x14ac:dyDescent="0.2">
      <c r="A174" s="4">
        <v>44812</v>
      </c>
      <c r="B174" s="5">
        <f>(Cotacoes!B174-Cotacoes!B173)/Cotacoes!B173</f>
        <v>-2.2724813331889814E-3</v>
      </c>
      <c r="C174" s="5">
        <f>(Cotacoes!C174-Cotacoes!C173)/Cotacoes!C173</f>
        <v>1.3217597159203032E-2</v>
      </c>
      <c r="D174" s="5">
        <f>(Cotacoes!D174-Cotacoes!D173)/Cotacoes!D173</f>
        <v>-9.659090909091006E-3</v>
      </c>
      <c r="E174" s="5">
        <f>(Cotacoes!E174-Cotacoes!E173)/Cotacoes!E173</f>
        <v>-6.951340615690197E-3</v>
      </c>
      <c r="F174" s="5">
        <f>(Cotacoes!F174-Cotacoes!F173)/Cotacoes!F173</f>
        <v>-1.0110736639383769E-2</v>
      </c>
      <c r="G174" s="5">
        <f>(Cotacoes!G174-Cotacoes!G173)/Cotacoes!G173</f>
        <v>-2.4330900243309103E-3</v>
      </c>
      <c r="H174" s="5">
        <f>(Cotacoes!H174-Cotacoes!H173)/Cotacoes!H173</f>
        <v>-3.8535645472061977E-3</v>
      </c>
      <c r="I174" s="5">
        <f>(Cotacoes!I174-Cotacoes!I173)/Cotacoes!I173</f>
        <v>1.2275963663148605E-3</v>
      </c>
      <c r="J174" s="5">
        <f>(Cotacoes!J174-Cotacoes!J173)/Cotacoes!J173</f>
        <v>5.0101832993890039E-2</v>
      </c>
      <c r="K174" s="5">
        <f>(Cotacoes!K174-Cotacoes!K173)/Cotacoes!K173</f>
        <v>-5.8479532163742591E-3</v>
      </c>
      <c r="L174" s="5">
        <f>(Cotacoes!L174-Cotacoes!L173)/Cotacoes!L173</f>
        <v>4.920913884007018E-2</v>
      </c>
      <c r="M174" s="5">
        <f>(Cotacoes!M174-Cotacoes!M173)/Cotacoes!M173</f>
        <v>-3.7936267071319372E-3</v>
      </c>
      <c r="N174" s="5">
        <f>(Cotacoes!N174-Cotacoes!N173)/Cotacoes!N173</f>
        <v>3.2948929159801604E-3</v>
      </c>
      <c r="O174" s="5">
        <f>(Cotacoes!O174-Cotacoes!O173)/Cotacoes!O173</f>
        <v>-4.9948329314502334E-2</v>
      </c>
      <c r="P174" s="5">
        <f>(Cotacoes!P174-Cotacoes!P173)/Cotacoes!P173</f>
        <v>3.4509202453987815E-2</v>
      </c>
      <c r="Q174" s="5">
        <f>(Cotacoes!Q174-Cotacoes!Q173)/Cotacoes!Q173</f>
        <v>-2.2211492032834419E-2</v>
      </c>
      <c r="R174" s="5">
        <f>(Cotacoes!R174-Cotacoes!R173)/Cotacoes!R173</f>
        <v>1.1647254575707202E-2</v>
      </c>
      <c r="S174" s="5">
        <f>(Cotacoes!S174-Cotacoes!S173)/Cotacoes!S173</f>
        <v>-1.2038523274478359E-2</v>
      </c>
      <c r="T174" s="5">
        <f>(Cotacoes!T174-Cotacoes!T173)/Cotacoes!T173</f>
        <v>-4.0460411580048837E-2</v>
      </c>
      <c r="U174" s="5">
        <f>(Cotacoes!U174-Cotacoes!U173)/Cotacoes!U173</f>
        <v>5.3619302949061151E-3</v>
      </c>
      <c r="V174" s="5">
        <f>(Cotacoes!V174-Cotacoes!V173)/Cotacoes!V173</f>
        <v>-7.8641082101289714E-3</v>
      </c>
      <c r="W174" s="5"/>
    </row>
    <row r="175" spans="1:23" x14ac:dyDescent="0.2">
      <c r="A175" s="4">
        <v>44813</v>
      </c>
      <c r="B175" s="5">
        <f>(Cotacoes!B175-Cotacoes!B174)/Cotacoes!B174</f>
        <v>2.0715835140997792E-2</v>
      </c>
      <c r="C175" s="5">
        <f>(Cotacoes!C175-Cotacoes!C174)/Cotacoes!C174</f>
        <v>7.8076323987538901E-2</v>
      </c>
      <c r="D175" s="5">
        <f>(Cotacoes!D175-Cotacoes!D174)/Cotacoes!D174</f>
        <v>0</v>
      </c>
      <c r="E175" s="5">
        <f>(Cotacoes!E175-Cotacoes!E174)/Cotacoes!E174</f>
        <v>8.0000000000000071E-3</v>
      </c>
      <c r="F175" s="5">
        <f>(Cotacoes!F175-Cotacoes!F174)/Cotacoes!F174</f>
        <v>-1.9455252918287524E-3</v>
      </c>
      <c r="G175" s="5">
        <f>(Cotacoes!G175-Cotacoes!G174)/Cotacoes!G174</f>
        <v>7.6655052264809204E-3</v>
      </c>
      <c r="H175" s="5">
        <f>(Cotacoes!H175-Cotacoes!H174)/Cotacoes!H174</f>
        <v>2.7724049000644728E-2</v>
      </c>
      <c r="I175" s="5">
        <f>(Cotacoes!I175-Cotacoes!I174)/Cotacoes!I174</f>
        <v>2.6974006866110701E-3</v>
      </c>
      <c r="J175" s="5">
        <f>(Cotacoes!J175-Cotacoes!J174)/Cotacoes!J174</f>
        <v>2.8704422032583336E-2</v>
      </c>
      <c r="K175" s="5">
        <f>(Cotacoes!K175-Cotacoes!K174)/Cotacoes!K174</f>
        <v>1.372549019607837E-2</v>
      </c>
      <c r="L175" s="5">
        <f>(Cotacoes!L175-Cotacoes!L174)/Cotacoes!L174</f>
        <v>-3.3500837520937313E-3</v>
      </c>
      <c r="M175" s="5">
        <f>(Cotacoes!M175-Cotacoes!M174)/Cotacoes!M174</f>
        <v>1.4470677837014431E-2</v>
      </c>
      <c r="N175" s="5">
        <f>(Cotacoes!N175-Cotacoes!N174)/Cotacoes!N174</f>
        <v>6.5681444991789878E-3</v>
      </c>
      <c r="O175" s="5">
        <f>(Cotacoes!O175-Cotacoes!O174)/Cotacoes!O174</f>
        <v>1.305293691080504E-2</v>
      </c>
      <c r="P175" s="5">
        <f>(Cotacoes!P175-Cotacoes!P174)/Cotacoes!P174</f>
        <v>8.8954781319495347E-3</v>
      </c>
      <c r="Q175" s="5">
        <f>(Cotacoes!Q175-Cotacoes!Q174)/Cotacoes!Q174</f>
        <v>2.567901234567899E-2</v>
      </c>
      <c r="R175" s="5">
        <f>(Cotacoes!R175-Cotacoes!R174)/Cotacoes!R174</f>
        <v>7.812500000000052E-3</v>
      </c>
      <c r="S175" s="5">
        <f>(Cotacoes!S175-Cotacoes!S174)/Cotacoes!S174</f>
        <v>-4.8740861088546299E-3</v>
      </c>
      <c r="T175" s="5">
        <f>(Cotacoes!T175-Cotacoes!T174)/Cotacoes!T174</f>
        <v>1.817520901490367E-2</v>
      </c>
      <c r="U175" s="5">
        <f>(Cotacoes!U175-Cotacoes!U174)/Cotacoes!U174</f>
        <v>1.9199999999999971E-2</v>
      </c>
      <c r="V175" s="5">
        <f>(Cotacoes!V175-Cotacoes!V174)/Cotacoes!V174</f>
        <v>2.5364616360177689E-2</v>
      </c>
      <c r="W175" s="5"/>
    </row>
    <row r="176" spans="1:23" x14ac:dyDescent="0.2">
      <c r="A176" s="4">
        <v>44816</v>
      </c>
      <c r="B176" s="5">
        <f>(Cotacoes!B176-Cotacoes!B175)/Cotacoes!B175</f>
        <v>1.3176070555732599E-2</v>
      </c>
      <c r="C176" s="5">
        <f>(Cotacoes!C176-Cotacoes!C175)/Cotacoes!C175</f>
        <v>8.6689543073867441E-3</v>
      </c>
      <c r="D176" s="5">
        <f>(Cotacoes!D176-Cotacoes!D175)/Cotacoes!D175</f>
        <v>-6.8846815834768217E-3</v>
      </c>
      <c r="E176" s="5">
        <f>(Cotacoes!E176-Cotacoes!E175)/Cotacoes!E175</f>
        <v>1.1904761904761828E-2</v>
      </c>
      <c r="F176" s="5">
        <f>(Cotacoes!F176-Cotacoes!F175)/Cotacoes!F175</f>
        <v>-5.8479532163743173E-3</v>
      </c>
      <c r="G176" s="5">
        <f>(Cotacoes!G176-Cotacoes!G175)/Cotacoes!G175</f>
        <v>4.1839557399723282E-2</v>
      </c>
      <c r="H176" s="5">
        <f>(Cotacoes!H176-Cotacoes!H175)/Cotacoes!H175</f>
        <v>1.2547051442910984E-2</v>
      </c>
      <c r="I176" s="5">
        <f>(Cotacoes!I176-Cotacoes!I175)/Cotacoes!I175</f>
        <v>1.4184397163120525E-2</v>
      </c>
      <c r="J176" s="5">
        <f>(Cotacoes!J176-Cotacoes!J175)/Cotacoes!J175</f>
        <v>-1.3009049773755613E-2</v>
      </c>
      <c r="K176" s="5">
        <f>(Cotacoes!K176-Cotacoes!K175)/Cotacoes!K175</f>
        <v>1.2894906511927857E-2</v>
      </c>
      <c r="L176" s="5">
        <f>(Cotacoes!L176-Cotacoes!L175)/Cotacoes!L175</f>
        <v>2.1848739495798301E-2</v>
      </c>
      <c r="M176" s="5">
        <f>(Cotacoes!M176-Cotacoes!M175)/Cotacoes!M175</f>
        <v>-7.507507507507347E-4</v>
      </c>
      <c r="N176" s="5">
        <f>(Cotacoes!N176-Cotacoes!N175)/Cotacoes!N175</f>
        <v>1.9575856443719432E-2</v>
      </c>
      <c r="O176" s="5">
        <f>(Cotacoes!O176-Cotacoes!O175)/Cotacoes!O175</f>
        <v>1.3600572655690729E-2</v>
      </c>
      <c r="P176" s="5">
        <f>(Cotacoes!P176-Cotacoes!P175)/Cotacoes!P175</f>
        <v>-7.3475385745773599E-4</v>
      </c>
      <c r="Q176" s="5">
        <f>(Cotacoes!Q176-Cotacoes!Q175)/Cotacoes!Q175</f>
        <v>8.184882041405956E-3</v>
      </c>
      <c r="R176" s="5">
        <f>(Cotacoes!R176-Cotacoes!R175)/Cotacoes!R175</f>
        <v>2.4071807425540589E-2</v>
      </c>
      <c r="S176" s="5">
        <f>(Cotacoes!S176-Cotacoes!S175)/Cotacoes!S175</f>
        <v>5.3061224489795514E-3</v>
      </c>
      <c r="T176" s="5">
        <f>(Cotacoes!T176-Cotacoes!T175)/Cotacoes!T175</f>
        <v>-1.6779721528025791E-2</v>
      </c>
      <c r="U176" s="5">
        <f>(Cotacoes!U176-Cotacoes!U175)/Cotacoes!U175</f>
        <v>2.738531309959882E-2</v>
      </c>
      <c r="V176" s="5">
        <f>(Cotacoes!V176-Cotacoes!V175)/Cotacoes!V175</f>
        <v>1.7934446505875022E-2</v>
      </c>
      <c r="W176" s="5"/>
    </row>
    <row r="177" spans="1:23" x14ac:dyDescent="0.2">
      <c r="A177" s="4">
        <v>44817</v>
      </c>
      <c r="B177" s="5">
        <f>(Cotacoes!B177-Cotacoes!B176)/Cotacoes!B176</f>
        <v>-2.286313581541681E-2</v>
      </c>
      <c r="C177" s="5">
        <f>(Cotacoes!C177-Cotacoes!C176)/Cotacoes!C176</f>
        <v>-2.7036705461056364E-2</v>
      </c>
      <c r="D177" s="5">
        <f>(Cotacoes!D177-Cotacoes!D176)/Cotacoes!D176</f>
        <v>-2.9462738301559679E-2</v>
      </c>
      <c r="E177" s="5">
        <f>(Cotacoes!E177-Cotacoes!E176)/Cotacoes!E176</f>
        <v>-9.8039215686274161E-3</v>
      </c>
      <c r="F177" s="5">
        <f>(Cotacoes!F177-Cotacoes!F176)/Cotacoes!F176</f>
        <v>-2.8431372549019528E-2</v>
      </c>
      <c r="G177" s="5">
        <f>(Cotacoes!G177-Cotacoes!G176)/Cotacoes!G176</f>
        <v>-3.4848987719880542E-2</v>
      </c>
      <c r="H177" s="5">
        <f>(Cotacoes!H177-Cotacoes!H176)/Cotacoes!H176</f>
        <v>-1.4869888475836444E-2</v>
      </c>
      <c r="I177" s="5">
        <f>(Cotacoes!I177-Cotacoes!I176)/Cotacoes!I176</f>
        <v>-1.1333494092114755E-2</v>
      </c>
      <c r="J177" s="5">
        <f>(Cotacoes!J177-Cotacoes!J176)/Cotacoes!J176</f>
        <v>-1.4517669531996142E-2</v>
      </c>
      <c r="K177" s="5">
        <f>(Cotacoes!K177-Cotacoes!K176)/Cotacoes!K176</f>
        <v>-1.082113303628273E-2</v>
      </c>
      <c r="L177" s="5">
        <f>(Cotacoes!L177-Cotacoes!L176)/Cotacoes!L176</f>
        <v>-2.7138157894736847E-2</v>
      </c>
      <c r="M177" s="5">
        <f>(Cotacoes!M177-Cotacoes!M176)/Cotacoes!M176</f>
        <v>-7.5131480090157507E-3</v>
      </c>
      <c r="N177" s="5">
        <f>(Cotacoes!N177-Cotacoes!N176)/Cotacoes!N176</f>
        <v>-1.5999999999999945E-2</v>
      </c>
      <c r="O177" s="5">
        <f>(Cotacoes!O177-Cotacoes!O176)/Cotacoes!O176</f>
        <v>-1.3418079096045163E-2</v>
      </c>
      <c r="P177" s="5">
        <f>(Cotacoes!P177-Cotacoes!P176)/Cotacoes!P176</f>
        <v>-3.5294117647058858E-2</v>
      </c>
      <c r="Q177" s="5">
        <f>(Cotacoes!Q177-Cotacoes!Q176)/Cotacoes!Q176</f>
        <v>-2.5310410697230234E-2</v>
      </c>
      <c r="R177" s="5">
        <f>(Cotacoes!R177-Cotacoes!R176)/Cotacoes!R176</f>
        <v>-2.1115537848605623E-2</v>
      </c>
      <c r="S177" s="5">
        <f>(Cotacoes!S177-Cotacoes!S176)/Cotacoes!S176</f>
        <v>-4.8721071863579964E-3</v>
      </c>
      <c r="T177" s="5">
        <f>(Cotacoes!T177-Cotacoes!T176)/Cotacoes!T176</f>
        <v>-1.9970951343500389E-2</v>
      </c>
      <c r="U177" s="5">
        <f>(Cotacoes!U177-Cotacoes!U176)/Cotacoes!U176</f>
        <v>-2.3938879456706225E-2</v>
      </c>
      <c r="V177" s="5">
        <f>(Cotacoes!V177-Cotacoes!V176)/Cotacoes!V176</f>
        <v>-4.1919805589307489E-2</v>
      </c>
      <c r="W177" s="5"/>
    </row>
    <row r="178" spans="1:23" x14ac:dyDescent="0.2">
      <c r="A178" s="4">
        <v>44818</v>
      </c>
      <c r="B178" s="5">
        <f>(Cotacoes!B178-Cotacoes!B177)/Cotacoes!B177</f>
        <v>-8.9084469249758325E-3</v>
      </c>
      <c r="C178" s="5">
        <f>(Cotacoes!C178-Cotacoes!C177)/Cotacoes!C177</f>
        <v>-1.8402649981597349E-2</v>
      </c>
      <c r="D178" s="5">
        <f>(Cotacoes!D178-Cotacoes!D177)/Cotacoes!D177</f>
        <v>1.5476190476190357E-2</v>
      </c>
      <c r="E178" s="5">
        <f>(Cotacoes!E178-Cotacoes!E177)/Cotacoes!E177</f>
        <v>-3.9603960396038763E-3</v>
      </c>
      <c r="F178" s="5">
        <f>(Cotacoes!F178-Cotacoes!F177)/Cotacoes!F177</f>
        <v>1.2108980827446944E-2</v>
      </c>
      <c r="G178" s="5">
        <f>(Cotacoes!G178-Cotacoes!G177)/Cotacoes!G177</f>
        <v>3.4387895460803177E-4</v>
      </c>
      <c r="H178" s="5">
        <f>(Cotacoes!H178-Cotacoes!H177)/Cotacoes!H177</f>
        <v>6.2893081761004953E-4</v>
      </c>
      <c r="I178" s="5">
        <f>(Cotacoes!I178-Cotacoes!I177)/Cotacoes!I177</f>
        <v>-2.1951219512195952E-3</v>
      </c>
      <c r="J178" s="5">
        <f>(Cotacoes!J178-Cotacoes!J177)/Cotacoes!J177</f>
        <v>-6.5904245008723281E-3</v>
      </c>
      <c r="K178" s="5">
        <f>(Cotacoes!K178-Cotacoes!K177)/Cotacoes!K177</f>
        <v>-4.5045045045044091E-3</v>
      </c>
      <c r="L178" s="5">
        <f>(Cotacoes!L178-Cotacoes!L177)/Cotacoes!L177</f>
        <v>-7.6077768385460574E-3</v>
      </c>
      <c r="M178" s="5">
        <f>(Cotacoes!M178-Cotacoes!M177)/Cotacoes!M177</f>
        <v>-1.3626040878122747E-2</v>
      </c>
      <c r="N178" s="5">
        <f>(Cotacoes!N178-Cotacoes!N177)/Cotacoes!N177</f>
        <v>0</v>
      </c>
      <c r="O178" s="5">
        <f>(Cotacoes!O178-Cotacoes!O177)/Cotacoes!O177</f>
        <v>-7.1581961345739342E-4</v>
      </c>
      <c r="P178" s="5">
        <f>(Cotacoes!P178-Cotacoes!P177)/Cotacoes!P177</f>
        <v>7.6219512195133869E-4</v>
      </c>
      <c r="Q178" s="5">
        <f>(Cotacoes!Q178-Cotacoes!Q177)/Cotacoes!Q177</f>
        <v>3.184713375796241E-3</v>
      </c>
      <c r="R178" s="5">
        <f>(Cotacoes!R178-Cotacoes!R177)/Cotacoes!R177</f>
        <v>2.8490028490028604E-3</v>
      </c>
      <c r="S178" s="5">
        <f>(Cotacoes!S178-Cotacoes!S177)/Cotacoes!S177</f>
        <v>9.3839249286004432E-3</v>
      </c>
      <c r="T178" s="5">
        <f>(Cotacoes!T178-Cotacoes!T177)/Cotacoes!T177</f>
        <v>5.0759540570581733E-2</v>
      </c>
      <c r="U178" s="5">
        <f>(Cotacoes!U178-Cotacoes!U177)/Cotacoes!U177</f>
        <v>6.7837884849539145E-3</v>
      </c>
      <c r="V178" s="5">
        <f>(Cotacoes!V178-Cotacoes!V177)/Cotacoes!V177</f>
        <v>-1.5852885225111197E-3</v>
      </c>
      <c r="W178" s="5"/>
    </row>
    <row r="179" spans="1:23" x14ac:dyDescent="0.2">
      <c r="A179" s="4">
        <v>44819</v>
      </c>
      <c r="B179" s="5">
        <f>(Cotacoes!B179-Cotacoes!B178)/Cotacoes!B178</f>
        <v>-5.4147714966425338E-4</v>
      </c>
      <c r="C179" s="5">
        <f>(Cotacoes!C179-Cotacoes!C178)/Cotacoes!C178</f>
        <v>2.024746906636667E-2</v>
      </c>
      <c r="D179" s="5">
        <f>(Cotacoes!D179-Cotacoes!D178)/Cotacoes!D178</f>
        <v>-1.7584994138333872E-3</v>
      </c>
      <c r="E179" s="5">
        <f>(Cotacoes!E179-Cotacoes!E178)/Cotacoes!E178</f>
        <v>2.4850894632207111E-3</v>
      </c>
      <c r="F179" s="5">
        <f>(Cotacoes!F179-Cotacoes!F178)/Cotacoes!F178</f>
        <v>-2.492522432701753E-3</v>
      </c>
      <c r="G179" s="5">
        <f>(Cotacoes!G179-Cotacoes!G178)/Cotacoes!G178</f>
        <v>-1.9938123066345764E-2</v>
      </c>
      <c r="H179" s="5">
        <f>(Cotacoes!H179-Cotacoes!H178)/Cotacoes!H178</f>
        <v>-1.0056568196103089E-2</v>
      </c>
      <c r="I179" s="5">
        <f>(Cotacoes!I179-Cotacoes!I178)/Cotacoes!I178</f>
        <v>-1.4910779760449756E-2</v>
      </c>
      <c r="J179" s="5">
        <f>(Cotacoes!J179-Cotacoes!J178)/Cotacoes!J178</f>
        <v>-4.2146341463414567E-2</v>
      </c>
      <c r="K179" s="5">
        <f>(Cotacoes!K179-Cotacoes!K178)/Cotacoes!K178</f>
        <v>-3.878474466709793E-3</v>
      </c>
      <c r="L179" s="5">
        <f>(Cotacoes!L179-Cotacoes!L178)/Cotacoes!L178</f>
        <v>-1.7035775127768403E-2</v>
      </c>
      <c r="M179" s="5">
        <f>(Cotacoes!M179-Cotacoes!M178)/Cotacoes!M178</f>
        <v>-5.3722179585570613E-3</v>
      </c>
      <c r="N179" s="5">
        <f>(Cotacoes!N179-Cotacoes!N178)/Cotacoes!N178</f>
        <v>-1.6260162601627113E-3</v>
      </c>
      <c r="O179" s="5">
        <f>(Cotacoes!O179-Cotacoes!O178)/Cotacoes!O178</f>
        <v>3.5816618911167655E-4</v>
      </c>
      <c r="P179" s="5">
        <f>(Cotacoes!P179-Cotacoes!P178)/Cotacoes!P178</f>
        <v>3.5795887281035707E-2</v>
      </c>
      <c r="Q179" s="5">
        <f>(Cotacoes!Q179-Cotacoes!Q178)/Cotacoes!Q178</f>
        <v>-1.4163614163614294E-2</v>
      </c>
      <c r="R179" s="5">
        <f>(Cotacoes!R179-Cotacoes!R178)/Cotacoes!R178</f>
        <v>-8.1168831168829439E-4</v>
      </c>
      <c r="S179" s="5">
        <f>(Cotacoes!S179-Cotacoes!S178)/Cotacoes!S178</f>
        <v>-1.0509296685529428E-2</v>
      </c>
      <c r="T179" s="5">
        <f>(Cotacoes!T179-Cotacoes!T178)/Cotacoes!T178</f>
        <v>-2.4682651622002796E-2</v>
      </c>
      <c r="U179" s="5">
        <f>(Cotacoes!U179-Cotacoes!U178)/Cotacoes!U178</f>
        <v>-2.4533517622667617E-2</v>
      </c>
      <c r="V179" s="5">
        <f>(Cotacoes!V179-Cotacoes!V178)/Cotacoes!V178</f>
        <v>-3.3343918704350502E-2</v>
      </c>
      <c r="W179" s="5"/>
    </row>
    <row r="180" spans="1:23" x14ac:dyDescent="0.2">
      <c r="A180" s="4">
        <v>44820</v>
      </c>
      <c r="B180" s="5">
        <f>(Cotacoes!B180-Cotacoes!B179)/Cotacoes!B179</f>
        <v>-2.2429298948965296E-2</v>
      </c>
      <c r="C180" s="5">
        <f>(Cotacoes!C180-Cotacoes!C179)/Cotacoes!C179</f>
        <v>-1.4700477765527066E-3</v>
      </c>
      <c r="D180" s="5">
        <f>(Cotacoes!D180-Cotacoes!D179)/Cotacoes!D179</f>
        <v>-9.3951849677040601E-3</v>
      </c>
      <c r="E180" s="5">
        <f>(Cotacoes!E180-Cotacoes!E179)/Cotacoes!E179</f>
        <v>-2.9747149231533101E-3</v>
      </c>
      <c r="F180" s="5">
        <f>(Cotacoes!F180-Cotacoes!F179)/Cotacoes!F179</f>
        <v>-5.4972513743129919E-3</v>
      </c>
      <c r="G180" s="5">
        <f>(Cotacoes!G180-Cotacoes!G179)/Cotacoes!G179</f>
        <v>1.5433181339880662E-2</v>
      </c>
      <c r="H180" s="5">
        <f>(Cotacoes!H180-Cotacoes!H179)/Cotacoes!H179</f>
        <v>-1.1428571428571411E-2</v>
      </c>
      <c r="I180" s="5">
        <f>(Cotacoes!I180-Cotacoes!I179)/Cotacoes!I179</f>
        <v>-1.8114143920595457E-2</v>
      </c>
      <c r="J180" s="5">
        <f>(Cotacoes!J180-Cotacoes!J179)/Cotacoes!J179</f>
        <v>-4.053778773680998E-2</v>
      </c>
      <c r="K180" s="5">
        <f>(Cotacoes!K180-Cotacoes!K179)/Cotacoes!K179</f>
        <v>-1.1680726800778696E-2</v>
      </c>
      <c r="L180" s="5">
        <f>(Cotacoes!L180-Cotacoes!L179)/Cotacoes!L179</f>
        <v>-1.4731369150779891E-2</v>
      </c>
      <c r="M180" s="5">
        <f>(Cotacoes!M180-Cotacoes!M179)/Cotacoes!M179</f>
        <v>-1.5432098765433139E-3</v>
      </c>
      <c r="N180" s="5">
        <f>(Cotacoes!N180-Cotacoes!N179)/Cotacoes!N179</f>
        <v>-8.1433224755700032E-3</v>
      </c>
      <c r="O180" s="5">
        <f>(Cotacoes!O180-Cotacoes!O179)/Cotacoes!O179</f>
        <v>-6.0866451843894793E-3</v>
      </c>
      <c r="P180" s="5">
        <f>(Cotacoes!P180-Cotacoes!P179)/Cotacoes!P179</f>
        <v>-2.6470588235294076E-2</v>
      </c>
      <c r="Q180" s="5">
        <f>(Cotacoes!Q180-Cotacoes!Q179)/Cotacoes!Q179</f>
        <v>-5.2018825860787928E-3</v>
      </c>
      <c r="R180" s="5">
        <f>(Cotacoes!R180-Cotacoes!R179)/Cotacoes!R179</f>
        <v>2.8432168968318553E-3</v>
      </c>
      <c r="S180" s="5">
        <f>(Cotacoes!S180-Cotacoes!S179)/Cotacoes!S179</f>
        <v>-1.0620915032679801E-2</v>
      </c>
      <c r="T180" s="5">
        <f>(Cotacoes!T180-Cotacoes!T179)/Cotacoes!T179</f>
        <v>1.1569052783803336E-2</v>
      </c>
      <c r="U180" s="5">
        <f>(Cotacoes!U180-Cotacoes!U179)/Cotacoes!U179</f>
        <v>-7.2617782500886234E-3</v>
      </c>
      <c r="V180" s="5">
        <f>(Cotacoes!V180-Cotacoes!V179)/Cotacoes!V179</f>
        <v>6.5703022339027358E-3</v>
      </c>
      <c r="W180" s="5"/>
    </row>
    <row r="181" spans="1:23" x14ac:dyDescent="0.2">
      <c r="A181" s="4">
        <v>44823</v>
      </c>
      <c r="B181" s="5">
        <f>(Cotacoes!B181-Cotacoes!B180)/Cotacoes!B180</f>
        <v>3.7463976945244906E-2</v>
      </c>
      <c r="C181" s="5">
        <f>(Cotacoes!C181-Cotacoes!C180)/Cotacoes!C180</f>
        <v>3.2388663967611295E-2</v>
      </c>
      <c r="D181" s="5">
        <f>(Cotacoes!D181-Cotacoes!D180)/Cotacoes!D180</f>
        <v>1.6004742145820958E-2</v>
      </c>
      <c r="E181" s="5">
        <f>(Cotacoes!E181-Cotacoes!E180)/Cotacoes!E180</f>
        <v>3.7294878170064646E-2</v>
      </c>
      <c r="F181" s="5">
        <f>(Cotacoes!F181-Cotacoes!F180)/Cotacoes!F180</f>
        <v>1.2060301507537789E-2</v>
      </c>
      <c r="G181" s="5">
        <f>(Cotacoes!G181-Cotacoes!G180)/Cotacoes!G180</f>
        <v>4.1450777202072884E-3</v>
      </c>
      <c r="H181" s="5">
        <f>(Cotacoes!H181-Cotacoes!H180)/Cotacoes!H180</f>
        <v>1.9910083493898556E-2</v>
      </c>
      <c r="I181" s="5">
        <f>(Cotacoes!I181-Cotacoes!I180)/Cotacoes!I180</f>
        <v>6.3179176143543089E-3</v>
      </c>
      <c r="J181" s="5">
        <f>(Cotacoes!J181-Cotacoes!J180)/Cotacoes!J180</f>
        <v>2.2717622080679411E-2</v>
      </c>
      <c r="K181" s="5">
        <f>(Cotacoes!K181-Cotacoes!K180)/Cotacoes!K180</f>
        <v>2.6263952724885117E-2</v>
      </c>
      <c r="L181" s="5">
        <f>(Cotacoes!L181-Cotacoes!L180)/Cotacoes!L180</f>
        <v>6.7722075637643042E-2</v>
      </c>
      <c r="M181" s="5">
        <f>(Cotacoes!M181-Cotacoes!M180)/Cotacoes!M180</f>
        <v>1.3137557959814524E-2</v>
      </c>
      <c r="N181" s="5">
        <f>(Cotacoes!N181-Cotacoes!N180)/Cotacoes!N180</f>
        <v>3.119868637110023E-2</v>
      </c>
      <c r="O181" s="5">
        <f>(Cotacoes!O181-Cotacoes!O180)/Cotacoes!O180</f>
        <v>-3.9625360230548627E-3</v>
      </c>
      <c r="P181" s="5">
        <f>(Cotacoes!P181-Cotacoes!P180)/Cotacoes!P180</f>
        <v>1.7371601208459247E-2</v>
      </c>
      <c r="Q181" s="5">
        <f>(Cotacoes!Q181-Cotacoes!Q180)/Cotacoes!Q180</f>
        <v>1.2201195219123556E-2</v>
      </c>
      <c r="R181" s="5">
        <f>(Cotacoes!R181-Cotacoes!R180)/Cotacoes!R180</f>
        <v>4.0502227622518372E-3</v>
      </c>
      <c r="S181" s="5">
        <f>(Cotacoes!S181-Cotacoes!S180)/Cotacoes!S180</f>
        <v>1.9405450041288293E-2</v>
      </c>
      <c r="T181" s="5">
        <f>(Cotacoes!T181-Cotacoes!T180)/Cotacoes!T180</f>
        <v>1.7869907076483455E-3</v>
      </c>
      <c r="U181" s="5">
        <f>(Cotacoes!U181-Cotacoes!U180)/Cotacoes!U180</f>
        <v>2.2836752899197166E-2</v>
      </c>
      <c r="V181" s="5">
        <f>(Cotacoes!V181-Cotacoes!V180)/Cotacoes!V180</f>
        <v>2.8067885117493453E-2</v>
      </c>
      <c r="W181" s="5"/>
    </row>
    <row r="182" spans="1:23" x14ac:dyDescent="0.2">
      <c r="A182" s="4">
        <v>44824</v>
      </c>
      <c r="B182" s="5">
        <f>(Cotacoes!B182-Cotacoes!B181)/Cotacoes!B181</f>
        <v>5.8760683760684983E-3</v>
      </c>
      <c r="C182" s="5">
        <f>(Cotacoes!C182-Cotacoes!C181)/Cotacoes!C181</f>
        <v>-1.4438502673796831E-2</v>
      </c>
      <c r="D182" s="5">
        <f>(Cotacoes!D182-Cotacoes!D181)/Cotacoes!D181</f>
        <v>-5.8343057176196856E-3</v>
      </c>
      <c r="E182" s="5">
        <f>(Cotacoes!E182-Cotacoes!E181)/Cotacoes!E181</f>
        <v>3.307766059443918E-2</v>
      </c>
      <c r="F182" s="5">
        <f>(Cotacoes!F182-Cotacoes!F181)/Cotacoes!F181</f>
        <v>-1.4895729890765212E-3</v>
      </c>
      <c r="G182" s="5">
        <f>(Cotacoes!G182-Cotacoes!G181)/Cotacoes!G181</f>
        <v>1.7199862401100791E-2</v>
      </c>
      <c r="H182" s="5">
        <f>(Cotacoes!H182-Cotacoes!H181)/Cotacoes!H181</f>
        <v>1.5113350125944598E-2</v>
      </c>
      <c r="I182" s="5">
        <f>(Cotacoes!I182-Cotacoes!I181)/Cotacoes!I181</f>
        <v>-3.0135610246106843E-3</v>
      </c>
      <c r="J182" s="5">
        <f>(Cotacoes!J182-Cotacoes!J181)/Cotacoes!J181</f>
        <v>-5.8127465227320145E-3</v>
      </c>
      <c r="K182" s="5">
        <f>(Cotacoes!K182-Cotacoes!K181)/Cotacoes!K181</f>
        <v>3.1989763275751641E-2</v>
      </c>
      <c r="L182" s="5">
        <f>(Cotacoes!L182-Cotacoes!L181)/Cotacoes!L181</f>
        <v>3.2125205930807151E-2</v>
      </c>
      <c r="M182" s="5">
        <f>(Cotacoes!M182-Cotacoes!M181)/Cotacoes!M181</f>
        <v>1.8306636155606425E-2</v>
      </c>
      <c r="N182" s="5">
        <f>(Cotacoes!N182-Cotacoes!N181)/Cotacoes!N181</f>
        <v>2.7070063694267503E-2</v>
      </c>
      <c r="O182" s="5">
        <f>(Cotacoes!O182-Cotacoes!O181)/Cotacoes!O181</f>
        <v>-3.6166365280288562E-3</v>
      </c>
      <c r="P182" s="5">
        <f>(Cotacoes!P182-Cotacoes!P181)/Cotacoes!P181</f>
        <v>3.7861915367483276E-2</v>
      </c>
      <c r="Q182" s="5">
        <f>(Cotacoes!Q182-Cotacoes!Q181)/Cotacoes!Q181</f>
        <v>-2.4600246002460377E-3</v>
      </c>
      <c r="R182" s="5">
        <f>(Cotacoes!R182-Cotacoes!R181)/Cotacoes!R181</f>
        <v>2.5010084711577289E-2</v>
      </c>
      <c r="S182" s="5">
        <f>(Cotacoes!S182-Cotacoes!S181)/Cotacoes!S181</f>
        <v>-3.6452004860267257E-3</v>
      </c>
      <c r="T182" s="5">
        <f>(Cotacoes!T182-Cotacoes!T181)/Cotacoes!T181</f>
        <v>8.9190153407063856E-3</v>
      </c>
      <c r="U182" s="5">
        <f>(Cotacoes!U182-Cotacoes!U181)/Cotacoes!U181</f>
        <v>1.4826443397871994E-2</v>
      </c>
      <c r="V182" s="5">
        <f>(Cotacoes!V182-Cotacoes!V181)/Cotacoes!V181</f>
        <v>2.5714285714285787E-2</v>
      </c>
      <c r="W182" s="5"/>
    </row>
    <row r="183" spans="1:23" x14ac:dyDescent="0.2">
      <c r="A183" s="4">
        <v>44825</v>
      </c>
      <c r="B183" s="5">
        <f>(Cotacoes!B183-Cotacoes!B182)/Cotacoes!B182</f>
        <v>-4.2485395645253587E-4</v>
      </c>
      <c r="C183" s="5">
        <f>(Cotacoes!C183-Cotacoes!C182)/Cotacoes!C182</f>
        <v>-1.4288298064749487E-2</v>
      </c>
      <c r="D183" s="5">
        <f>(Cotacoes!D183-Cotacoes!D182)/Cotacoes!D182</f>
        <v>2.9342723004695255E-3</v>
      </c>
      <c r="E183" s="5">
        <f>(Cotacoes!E183-Cotacoes!E182)/Cotacoes!E182</f>
        <v>-1.0208816705336538E-2</v>
      </c>
      <c r="F183" s="5">
        <f>(Cotacoes!F183-Cotacoes!F182)/Cotacoes!F182</f>
        <v>-1.9890601690700721E-3</v>
      </c>
      <c r="G183" s="5">
        <f>(Cotacoes!G183-Cotacoes!G182)/Cotacoes!G182</f>
        <v>1.6909029421711434E-3</v>
      </c>
      <c r="H183" s="5">
        <f>(Cotacoes!H183-Cotacoes!H182)/Cotacoes!H182</f>
        <v>-6.8238213399503369E-3</v>
      </c>
      <c r="I183" s="5">
        <f>(Cotacoes!I183-Cotacoes!I182)/Cotacoes!I182</f>
        <v>6.2972292191435762E-3</v>
      </c>
      <c r="J183" s="5">
        <f>(Cotacoes!J183-Cotacoes!J182)/Cotacoes!J182</f>
        <v>-1.6496136980580479E-2</v>
      </c>
      <c r="K183" s="5">
        <f>(Cotacoes!K183-Cotacoes!K182)/Cotacoes!K182</f>
        <v>-6.1996280223185294E-3</v>
      </c>
      <c r="L183" s="5">
        <f>(Cotacoes!L183-Cotacoes!L182)/Cotacoes!L182</f>
        <v>-2.3144453312051009E-2</v>
      </c>
      <c r="M183" s="5">
        <f>(Cotacoes!M183-Cotacoes!M182)/Cotacoes!M182</f>
        <v>-1.348314606741571E-2</v>
      </c>
      <c r="N183" s="5">
        <f>(Cotacoes!N183-Cotacoes!N182)/Cotacoes!N182</f>
        <v>-4.6511627906977125E-3</v>
      </c>
      <c r="O183" s="5">
        <f>(Cotacoes!O183-Cotacoes!O182)/Cotacoes!O182</f>
        <v>-2.8675136116152418E-2</v>
      </c>
      <c r="P183" s="5">
        <f>(Cotacoes!P183-Cotacoes!P182)/Cotacoes!P182</f>
        <v>-2.2174535050071567E-2</v>
      </c>
      <c r="Q183" s="5">
        <f>(Cotacoes!Q183-Cotacoes!Q182)/Cotacoes!Q182</f>
        <v>-1.6029593094944478E-2</v>
      </c>
      <c r="R183" s="5">
        <f>(Cotacoes!R183-Cotacoes!R182)/Cotacoes!R182</f>
        <v>-5.1554506099960595E-2</v>
      </c>
      <c r="S183" s="5">
        <f>(Cotacoes!S183-Cotacoes!S182)/Cotacoes!S182</f>
        <v>4.8780487804877008E-3</v>
      </c>
      <c r="T183" s="5">
        <f>(Cotacoes!T183-Cotacoes!T182)/Cotacoes!T182</f>
        <v>7.0721357850070466E-3</v>
      </c>
      <c r="U183" s="5">
        <f>(Cotacoes!U183-Cotacoes!U182)/Cotacoes!U182</f>
        <v>-1.5297353042282582E-2</v>
      </c>
      <c r="V183" s="5">
        <f>(Cotacoes!V183-Cotacoes!V182)/Cotacoes!V182</f>
        <v>3.7140204271122698E-3</v>
      </c>
      <c r="W183" s="5"/>
    </row>
    <row r="184" spans="1:23" x14ac:dyDescent="0.2">
      <c r="A184" s="4">
        <v>44826</v>
      </c>
      <c r="B184" s="5">
        <f>(Cotacoes!B184-Cotacoes!B183)/Cotacoes!B183</f>
        <v>1.7745191796833509E-2</v>
      </c>
      <c r="C184" s="5">
        <f>(Cotacoes!C184-Cotacoes!C183)/Cotacoes!C183</f>
        <v>2.2935779816513763E-2</v>
      </c>
      <c r="D184" s="5">
        <f>(Cotacoes!D184-Cotacoes!D183)/Cotacoes!D183</f>
        <v>2.4575775307197293E-2</v>
      </c>
      <c r="E184" s="5">
        <f>(Cotacoes!E184-Cotacoes!E183)/Cotacoes!E183</f>
        <v>2.0159399906235505E-2</v>
      </c>
      <c r="F184" s="5">
        <f>(Cotacoes!F184-Cotacoes!F183)/Cotacoes!F183</f>
        <v>2.0428500249128057E-2</v>
      </c>
      <c r="G184" s="5">
        <f>(Cotacoes!G184-Cotacoes!G183)/Cotacoes!G183</f>
        <v>-5.4017555705604368E-3</v>
      </c>
      <c r="H184" s="5">
        <f>(Cotacoes!H184-Cotacoes!H183)/Cotacoes!H183</f>
        <v>1.8113678950655784E-2</v>
      </c>
      <c r="I184" s="5">
        <f>(Cotacoes!I184-Cotacoes!I183)/Cotacoes!I183</f>
        <v>4.0550688360450497E-2</v>
      </c>
      <c r="J184" s="5">
        <f>(Cotacoes!J184-Cotacoes!J183)/Cotacoes!J183</f>
        <v>9.1295116772823724E-3</v>
      </c>
      <c r="K184" s="5">
        <f>(Cotacoes!K184-Cotacoes!K183)/Cotacoes!K183</f>
        <v>2.3081721771677943E-2</v>
      </c>
      <c r="L184" s="5">
        <f>(Cotacoes!L184-Cotacoes!L183)/Cotacoes!L183</f>
        <v>8.9869281045751176E-3</v>
      </c>
      <c r="M184" s="5">
        <f>(Cotacoes!M184-Cotacoes!M183)/Cotacoes!M183</f>
        <v>8.3523158694001082E-3</v>
      </c>
      <c r="N184" s="5">
        <f>(Cotacoes!N184-Cotacoes!N183)/Cotacoes!N183</f>
        <v>2.1806853582554468E-2</v>
      </c>
      <c r="O184" s="5">
        <f>(Cotacoes!O184-Cotacoes!O183)/Cotacoes!O183</f>
        <v>2.2421524663676653E-3</v>
      </c>
      <c r="P184" s="5">
        <f>(Cotacoes!P184-Cotacoes!P183)/Cotacoes!P183</f>
        <v>0</v>
      </c>
      <c r="Q184" s="5">
        <f>(Cotacoes!Q184-Cotacoes!Q183)/Cotacoes!Q183</f>
        <v>1.9548872180451156E-2</v>
      </c>
      <c r="R184" s="5">
        <f>(Cotacoes!R184-Cotacoes!R183)/Cotacoes!R183</f>
        <v>-1.2448132780083459E-3</v>
      </c>
      <c r="S184" s="5">
        <f>(Cotacoes!S184-Cotacoes!S183)/Cotacoes!S183</f>
        <v>1.2540453074433749E-2</v>
      </c>
      <c r="T184" s="5">
        <f>(Cotacoes!T184-Cotacoes!T183)/Cotacoes!T183</f>
        <v>3.5814606741573017E-2</v>
      </c>
      <c r="U184" s="5">
        <f>(Cotacoes!U184-Cotacoes!U183)/Cotacoes!U183</f>
        <v>2.9673590504451088E-2</v>
      </c>
      <c r="V184" s="5">
        <f>(Cotacoes!V184-Cotacoes!V183)/Cotacoes!V183</f>
        <v>2.8368794326241186E-2</v>
      </c>
      <c r="W184" s="5"/>
    </row>
    <row r="185" spans="1:23" x14ac:dyDescent="0.2">
      <c r="A185" s="4">
        <v>44827</v>
      </c>
      <c r="B185" s="5">
        <f>(Cotacoes!B185-Cotacoes!B184)/Cotacoes!B184</f>
        <v>-3.0590937565253776E-2</v>
      </c>
      <c r="C185" s="5">
        <f>(Cotacoes!C185-Cotacoes!C184)/Cotacoes!C184</f>
        <v>-2.0807174887892316E-2</v>
      </c>
      <c r="D185" s="5">
        <f>(Cotacoes!D185-Cotacoes!D184)/Cotacoes!D184</f>
        <v>-6.2821245002855589E-2</v>
      </c>
      <c r="E185" s="5">
        <f>(Cotacoes!E185-Cotacoes!E184)/Cotacoes!E184</f>
        <v>-1.9761029411764854E-2</v>
      </c>
      <c r="F185" s="5">
        <f>(Cotacoes!F185-Cotacoes!F184)/Cotacoes!F184</f>
        <v>-7.0800781249999958E-2</v>
      </c>
      <c r="G185" s="5">
        <f>(Cotacoes!G185-Cotacoes!G184)/Cotacoes!G184</f>
        <v>-1.4256619144602909E-2</v>
      </c>
      <c r="H185" s="5">
        <f>(Cotacoes!H185-Cotacoes!H184)/Cotacoes!H184</f>
        <v>-1.2269938650306704E-2</v>
      </c>
      <c r="I185" s="5">
        <f>(Cotacoes!I185-Cotacoes!I184)/Cotacoes!I184</f>
        <v>-3.1272552321386228E-3</v>
      </c>
      <c r="J185" s="5">
        <f>(Cotacoes!J185-Cotacoes!J184)/Cotacoes!J184</f>
        <v>-2.3774458236903061E-2</v>
      </c>
      <c r="K185" s="5">
        <f>(Cotacoes!K185-Cotacoes!K184)/Cotacoes!K184</f>
        <v>-1.9512195121951237E-2</v>
      </c>
      <c r="L185" s="5">
        <f>(Cotacoes!L185-Cotacoes!L184)/Cotacoes!L184</f>
        <v>1.6194331983805323E-3</v>
      </c>
      <c r="M185" s="5">
        <f>(Cotacoes!M185-Cotacoes!M184)/Cotacoes!M184</f>
        <v>-1.9578313253012031E-2</v>
      </c>
      <c r="N185" s="5">
        <f>(Cotacoes!N185-Cotacoes!N184)/Cotacoes!N184</f>
        <v>-2.2865853658536505E-2</v>
      </c>
      <c r="O185" s="5">
        <f>(Cotacoes!O185-Cotacoes!O184)/Cotacoes!O184</f>
        <v>-2.0134228187919431E-2</v>
      </c>
      <c r="P185" s="5">
        <f>(Cotacoes!P185-Cotacoes!P184)/Cotacoes!P184</f>
        <v>-7.4615947329919496E-2</v>
      </c>
      <c r="Q185" s="5">
        <f>(Cotacoes!Q185-Cotacoes!Q184)/Cotacoes!Q184</f>
        <v>-3.687315634218289E-2</v>
      </c>
      <c r="R185" s="5">
        <f>(Cotacoes!R185-Cotacoes!R184)/Cotacoes!R184</f>
        <v>-1.7033651848774412E-2</v>
      </c>
      <c r="S185" s="5">
        <f>(Cotacoes!S185-Cotacoes!S184)/Cotacoes!S184</f>
        <v>7.7506991610067827E-2</v>
      </c>
      <c r="T185" s="5">
        <f>(Cotacoes!T185-Cotacoes!T184)/Cotacoes!T184</f>
        <v>-4.8474576271186433E-2</v>
      </c>
      <c r="U185" s="5">
        <f>(Cotacoes!U185-Cotacoes!U184)/Cotacoes!U184</f>
        <v>-7.6284115951856723E-3</v>
      </c>
      <c r="V185" s="5">
        <f>(Cotacoes!V185-Cotacoes!V184)/Cotacoes!V184</f>
        <v>-1.7091454272863574E-2</v>
      </c>
      <c r="W185" s="5"/>
    </row>
    <row r="186" spans="1:23" x14ac:dyDescent="0.2">
      <c r="A186" s="4">
        <v>44830</v>
      </c>
      <c r="B186" s="5">
        <f>(Cotacoes!B186-Cotacoes!B185)/Cotacoes!B185</f>
        <v>-1.3570274636510404E-2</v>
      </c>
      <c r="C186" s="5">
        <f>(Cotacoes!C186-Cotacoes!C185)/Cotacoes!C185</f>
        <v>-8.2432679978018467E-3</v>
      </c>
      <c r="D186" s="5">
        <f>(Cotacoes!D186-Cotacoes!D185)/Cotacoes!D185</f>
        <v>-1.584399756246201E-2</v>
      </c>
      <c r="E186" s="5">
        <f>(Cotacoes!E186-Cotacoes!E185)/Cotacoes!E185</f>
        <v>-1.828410689170169E-2</v>
      </c>
      <c r="F186" s="5">
        <f>(Cotacoes!F186-Cotacoes!F185)/Cotacoes!F185</f>
        <v>-7.8822911192854509E-3</v>
      </c>
      <c r="G186" s="5">
        <f>(Cotacoes!G186-Cotacoes!G185)/Cotacoes!G185</f>
        <v>-3.443526170798213E-4</v>
      </c>
      <c r="H186" s="5">
        <f>(Cotacoes!H186-Cotacoes!H185)/Cotacoes!H185</f>
        <v>-4.5962732919254776E-2</v>
      </c>
      <c r="I186" s="5">
        <f>(Cotacoes!I186-Cotacoes!I185)/Cotacoes!I185</f>
        <v>-3.0888030888030917E-2</v>
      </c>
      <c r="J186" s="5">
        <f>(Cotacoes!J186-Cotacoes!J185)/Cotacoes!J185</f>
        <v>-5.0431034482758541E-2</v>
      </c>
      <c r="K186" s="5">
        <f>(Cotacoes!K186-Cotacoes!K185)/Cotacoes!K185</f>
        <v>-1.5547263681591931E-2</v>
      </c>
      <c r="L186" s="5">
        <f>(Cotacoes!L186-Cotacoes!L185)/Cotacoes!L185</f>
        <v>-4.8504446240905393E-2</v>
      </c>
      <c r="M186" s="5">
        <f>(Cotacoes!M186-Cotacoes!M185)/Cotacoes!M185</f>
        <v>-6.1443932411674408E-3</v>
      </c>
      <c r="N186" s="5">
        <f>(Cotacoes!N186-Cotacoes!N185)/Cotacoes!N185</f>
        <v>-2.1840873634945485E-2</v>
      </c>
      <c r="O186" s="5">
        <f>(Cotacoes!O186-Cotacoes!O185)/Cotacoes!O185</f>
        <v>-2.0547945205479555E-2</v>
      </c>
      <c r="P186" s="5">
        <f>(Cotacoes!P186-Cotacoes!P185)/Cotacoes!P185</f>
        <v>-1.5019762845849762E-2</v>
      </c>
      <c r="Q186" s="5">
        <f>(Cotacoes!Q186-Cotacoes!Q185)/Cotacoes!Q185</f>
        <v>-2.0418580908626413E-3</v>
      </c>
      <c r="R186" s="5">
        <f>(Cotacoes!R186-Cotacoes!R185)/Cotacoes!R185</f>
        <v>-5.8748943364328003E-2</v>
      </c>
      <c r="S186" s="5">
        <f>(Cotacoes!S186-Cotacoes!S185)/Cotacoes!S185</f>
        <v>-9.6403411197626254E-3</v>
      </c>
      <c r="T186" s="5">
        <f>(Cotacoes!T186-Cotacoes!T185)/Cotacoes!T185</f>
        <v>-3.1706448165301056E-2</v>
      </c>
      <c r="U186" s="5">
        <f>(Cotacoes!U186-Cotacoes!U185)/Cotacoes!U185</f>
        <v>-4.116843184147586E-2</v>
      </c>
      <c r="V186" s="5">
        <f>(Cotacoes!V186-Cotacoes!V185)/Cotacoes!V185</f>
        <v>-5.2776082977425268E-2</v>
      </c>
      <c r="W186" s="5"/>
    </row>
    <row r="187" spans="1:23" x14ac:dyDescent="0.2">
      <c r="A187" s="4">
        <v>44831</v>
      </c>
      <c r="B187" s="5">
        <f>(Cotacoes!B187-Cotacoes!B186)/Cotacoes!B186</f>
        <v>-8.6253957855661773E-3</v>
      </c>
      <c r="C187" s="5">
        <f>(Cotacoes!C187-Cotacoes!C186)/Cotacoes!C186</f>
        <v>-4.4329516069449943E-3</v>
      </c>
      <c r="D187" s="5">
        <f>(Cotacoes!D187-Cotacoes!D186)/Cotacoes!D186</f>
        <v>7.4303405572756038E-3</v>
      </c>
      <c r="E187" s="5">
        <f>(Cotacoes!E187-Cotacoes!E186)/Cotacoes!E186</f>
        <v>-9.0735434574976733E-3</v>
      </c>
      <c r="F187" s="5">
        <f>(Cotacoes!F187-Cotacoes!F186)/Cotacoes!F186</f>
        <v>6.8855932203391191E-3</v>
      </c>
      <c r="G187" s="5">
        <f>(Cotacoes!G187-Cotacoes!G186)/Cotacoes!G186</f>
        <v>-1.5501205649328378E-2</v>
      </c>
      <c r="H187" s="5">
        <f>(Cotacoes!H187-Cotacoes!H186)/Cotacoes!H186</f>
        <v>-8.4635416666666019E-3</v>
      </c>
      <c r="I187" s="5">
        <f>(Cotacoes!I187-Cotacoes!I186)/Cotacoes!I186</f>
        <v>-2.8884462151394341E-2</v>
      </c>
      <c r="J187" s="5">
        <f>(Cotacoes!J187-Cotacoes!J186)/Cotacoes!J186</f>
        <v>-8.170676350431217E-3</v>
      </c>
      <c r="K187" s="5">
        <f>(Cotacoes!K187-Cotacoes!K186)/Cotacoes!K186</f>
        <v>-8.2122552116235484E-3</v>
      </c>
      <c r="L187" s="5">
        <f>(Cotacoes!L187-Cotacoes!L186)/Cotacoes!L186</f>
        <v>8.496176720475605E-4</v>
      </c>
      <c r="M187" s="5">
        <f>(Cotacoes!M187-Cotacoes!M186)/Cotacoes!M186</f>
        <v>1.0819165378670833E-2</v>
      </c>
      <c r="N187" s="5">
        <f>(Cotacoes!N187-Cotacoes!N186)/Cotacoes!N186</f>
        <v>-9.5693779904305609E-3</v>
      </c>
      <c r="O187" s="5">
        <f>(Cotacoes!O187-Cotacoes!O186)/Cotacoes!O186</f>
        <v>6.9930069930071205E-3</v>
      </c>
      <c r="P187" s="5">
        <f>(Cotacoes!P187-Cotacoes!P186)/Cotacoes!P186</f>
        <v>9.6308186195826016E-3</v>
      </c>
      <c r="Q187" s="5">
        <f>(Cotacoes!Q187-Cotacoes!Q186)/Cotacoes!Q186</f>
        <v>2.046035805626591E-2</v>
      </c>
      <c r="R187" s="5">
        <f>(Cotacoes!R187-Cotacoes!R186)/Cotacoes!R186</f>
        <v>2.2002694207454064E-2</v>
      </c>
      <c r="S187" s="5">
        <f>(Cotacoes!S187-Cotacoes!S186)/Cotacoes!S186</f>
        <v>-2.0965930363159951E-2</v>
      </c>
      <c r="T187" s="5">
        <f>(Cotacoes!T187-Cotacoes!T186)/Cotacoes!T186</f>
        <v>-1.4716703458424998E-3</v>
      </c>
      <c r="U187" s="5">
        <f>(Cotacoes!U187-Cotacoes!U186)/Cotacoes!U186</f>
        <v>-1.1936575806164291E-2</v>
      </c>
      <c r="V187" s="5">
        <f>(Cotacoes!V187-Cotacoes!V186)/Cotacoes!V186</f>
        <v>-4.3156199677938802E-2</v>
      </c>
      <c r="W187" s="5"/>
    </row>
    <row r="188" spans="1:23" x14ac:dyDescent="0.2">
      <c r="A188" s="4">
        <v>44832</v>
      </c>
      <c r="B188" s="5">
        <f>(Cotacoes!B188-Cotacoes!B187)/Cotacoes!B187</f>
        <v>-5.5066079295151057E-4</v>
      </c>
      <c r="C188" s="5">
        <f>(Cotacoes!C188-Cotacoes!C187)/Cotacoes!C187</f>
        <v>9.4619666048237107E-3</v>
      </c>
      <c r="D188" s="5">
        <f>(Cotacoes!D188-Cotacoes!D187)/Cotacoes!D187</f>
        <v>-1.3521819299323839E-2</v>
      </c>
      <c r="E188" s="5">
        <f>(Cotacoes!E188-Cotacoes!E187)/Cotacoes!E187</f>
        <v>-4.8192771084344882E-4</v>
      </c>
      <c r="F188" s="5">
        <f>(Cotacoes!F188-Cotacoes!F187)/Cotacoes!F187</f>
        <v>-6.8385060494477934E-3</v>
      </c>
      <c r="G188" s="5">
        <f>(Cotacoes!G188-Cotacoes!G187)/Cotacoes!G187</f>
        <v>9.0972708187544282E-3</v>
      </c>
      <c r="H188" s="5">
        <f>(Cotacoes!H188-Cotacoes!H187)/Cotacoes!H187</f>
        <v>6.5659881812211334E-4</v>
      </c>
      <c r="I188" s="5">
        <f>(Cotacoes!I188-Cotacoes!I187)/Cotacoes!I187</f>
        <v>-1.410256410256403E-2</v>
      </c>
      <c r="J188" s="5">
        <f>(Cotacoes!J188-Cotacoes!J187)/Cotacoes!J187</f>
        <v>5.4691075514874149E-2</v>
      </c>
      <c r="K188" s="5">
        <f>(Cotacoes!K188-Cotacoes!K187)/Cotacoes!K187</f>
        <v>6.3694267515933527E-4</v>
      </c>
      <c r="L188" s="5">
        <f>(Cotacoes!L188-Cotacoes!L187)/Cotacoes!L187</f>
        <v>7.6400679117147588E-3</v>
      </c>
      <c r="M188" s="5">
        <f>(Cotacoes!M188-Cotacoes!M187)/Cotacoes!M187</f>
        <v>1.8348623853211024E-2</v>
      </c>
      <c r="N188" s="5">
        <f>(Cotacoes!N188-Cotacoes!N187)/Cotacoes!N187</f>
        <v>3.2206119162641648E-3</v>
      </c>
      <c r="O188" s="5">
        <f>(Cotacoes!O188-Cotacoes!O187)/Cotacoes!O187</f>
        <v>-2.0833333333333436E-2</v>
      </c>
      <c r="P188" s="5">
        <f>(Cotacoes!P188-Cotacoes!P187)/Cotacoes!P187</f>
        <v>1.987281399046105E-2</v>
      </c>
      <c r="Q188" s="5">
        <f>(Cotacoes!Q188-Cotacoes!Q187)/Cotacoes!Q187</f>
        <v>4.0100250626567344E-3</v>
      </c>
      <c r="R188" s="5">
        <f>(Cotacoes!R188-Cotacoes!R187)/Cotacoes!R187</f>
        <v>1.6695957820738093E-2</v>
      </c>
      <c r="S188" s="5">
        <f>(Cotacoes!S188-Cotacoes!S187)/Cotacoes!S187</f>
        <v>-1.9120458891012299E-3</v>
      </c>
      <c r="T188" s="5">
        <f>(Cotacoes!T188-Cotacoes!T187)/Cotacoes!T187</f>
        <v>2.6897568165070024E-2</v>
      </c>
      <c r="U188" s="5">
        <f>(Cotacoes!U188-Cotacoes!U187)/Cotacoes!U187</f>
        <v>-1.009736747205197E-2</v>
      </c>
      <c r="V188" s="5">
        <f>(Cotacoes!V188-Cotacoes!V187)/Cotacoes!V187</f>
        <v>-1.3800067317401552E-2</v>
      </c>
      <c r="W188" s="5"/>
    </row>
    <row r="189" spans="1:23" x14ac:dyDescent="0.2">
      <c r="A189" s="4">
        <v>44833</v>
      </c>
      <c r="B189" s="5">
        <f>(Cotacoes!B189-Cotacoes!B188)/Cotacoes!B188</f>
        <v>-3.1955922865014464E-3</v>
      </c>
      <c r="C189" s="5">
        <f>(Cotacoes!C189-Cotacoes!C188)/Cotacoes!C188</f>
        <v>1.2865282117257911E-3</v>
      </c>
      <c r="D189" s="5">
        <f>(Cotacoes!D189-Cotacoes!D188)/Cotacoes!D188</f>
        <v>1.2461059190030886E-3</v>
      </c>
      <c r="E189" s="5">
        <f>(Cotacoes!E189-Cotacoes!E188)/Cotacoes!E188</f>
        <v>1.4946962391514093E-2</v>
      </c>
      <c r="F189" s="5">
        <f>(Cotacoes!F189-Cotacoes!F188)/Cotacoes!F188</f>
        <v>1.0593220338982825E-3</v>
      </c>
      <c r="G189" s="5">
        <f>(Cotacoes!G189-Cotacoes!G188)/Cotacoes!G188</f>
        <v>-6.2413314840499209E-3</v>
      </c>
      <c r="H189" s="5">
        <f>(Cotacoes!H189-Cotacoes!H188)/Cotacoes!H188</f>
        <v>-5.9055118110236124E-3</v>
      </c>
      <c r="I189" s="5">
        <f>(Cotacoes!I189-Cotacoes!I188)/Cotacoes!I188</f>
        <v>-3.9011703511054791E-3</v>
      </c>
      <c r="J189" s="5">
        <f>(Cotacoes!J189-Cotacoes!J188)/Cotacoes!J188</f>
        <v>6.7259709264481478E-3</v>
      </c>
      <c r="K189" s="5">
        <f>(Cotacoes!K189-Cotacoes!K188)/Cotacoes!K188</f>
        <v>7.6384468491406243E-3</v>
      </c>
      <c r="L189" s="5">
        <f>(Cotacoes!L189-Cotacoes!L188)/Cotacoes!L188</f>
        <v>-1.9376579612468296E-2</v>
      </c>
      <c r="M189" s="5">
        <f>(Cotacoes!M189-Cotacoes!M188)/Cotacoes!M188</f>
        <v>-7.5075075075074806E-3</v>
      </c>
      <c r="N189" s="5">
        <f>(Cotacoes!N189-Cotacoes!N188)/Cotacoes!N188</f>
        <v>1.2841091492776754E-2</v>
      </c>
      <c r="O189" s="5">
        <f>(Cotacoes!O189-Cotacoes!O188)/Cotacoes!O188</f>
        <v>-2.3640661938533775E-3</v>
      </c>
      <c r="P189" s="5">
        <f>(Cotacoes!P189-Cotacoes!P188)/Cotacoes!P188</f>
        <v>-6.9368667186282193E-2</v>
      </c>
      <c r="Q189" s="5">
        <f>(Cotacoes!Q189-Cotacoes!Q188)/Cotacoes!Q188</f>
        <v>-6.2406390414378428E-3</v>
      </c>
      <c r="R189" s="5">
        <f>(Cotacoes!R189-Cotacoes!R188)/Cotacoes!R188</f>
        <v>-1.7718236819360422E-2</v>
      </c>
      <c r="S189" s="5">
        <f>(Cotacoes!S189-Cotacoes!S188)/Cotacoes!S188</f>
        <v>-3.4482758620689598E-3</v>
      </c>
      <c r="T189" s="5">
        <f>(Cotacoes!T189-Cotacoes!T188)/Cotacoes!T188</f>
        <v>-2.4398995335486173E-2</v>
      </c>
      <c r="U189" s="5">
        <f>(Cotacoes!U189-Cotacoes!U188)/Cotacoes!U188</f>
        <v>-1.4207650273224065E-2</v>
      </c>
      <c r="V189" s="5">
        <f>(Cotacoes!V189-Cotacoes!V188)/Cotacoes!V188</f>
        <v>-3.0716723549488126E-2</v>
      </c>
      <c r="W189" s="5"/>
    </row>
    <row r="190" spans="1:23" x14ac:dyDescent="0.2">
      <c r="A190" s="4">
        <v>44834</v>
      </c>
      <c r="B190" s="5">
        <f>(Cotacoes!B190-Cotacoes!B189)/Cotacoes!B189</f>
        <v>2.022993588326346E-2</v>
      </c>
      <c r="C190" s="5">
        <f>(Cotacoes!C190-Cotacoes!C189)/Cotacoes!C189</f>
        <v>5.2863436123348068E-2</v>
      </c>
      <c r="D190" s="5">
        <f>(Cotacoes!D190-Cotacoes!D189)/Cotacoes!D189</f>
        <v>1.6801493466085848E-2</v>
      </c>
      <c r="E190" s="5">
        <f>(Cotacoes!E190-Cotacoes!E189)/Cotacoes!E189</f>
        <v>4.7505938242279272E-3</v>
      </c>
      <c r="F190" s="5">
        <f>(Cotacoes!F190-Cotacoes!F189)/Cotacoes!F189</f>
        <v>1.2169312169312193E-2</v>
      </c>
      <c r="G190" s="5">
        <f>(Cotacoes!G190-Cotacoes!G189)/Cotacoes!G189</f>
        <v>6.6643405443126316E-2</v>
      </c>
      <c r="H190" s="5">
        <f>(Cotacoes!H190-Cotacoes!H189)/Cotacoes!H189</f>
        <v>4.6204620462046387E-3</v>
      </c>
      <c r="I190" s="5">
        <f>(Cotacoes!I190-Cotacoes!I189)/Cotacoes!I189</f>
        <v>1.1749347258485714E-2</v>
      </c>
      <c r="J190" s="5">
        <f>(Cotacoes!J190-Cotacoes!J189)/Cotacoes!J189</f>
        <v>6.8965517241379379E-2</v>
      </c>
      <c r="K190" s="5">
        <f>(Cotacoes!K190-Cotacoes!K189)/Cotacoes!K189</f>
        <v>2.5268477574225613E-3</v>
      </c>
      <c r="L190" s="5">
        <f>(Cotacoes!L190-Cotacoes!L189)/Cotacoes!L189</f>
        <v>3.5223367697594515E-2</v>
      </c>
      <c r="M190" s="5">
        <f>(Cotacoes!M190-Cotacoes!M189)/Cotacoes!M189</f>
        <v>-3.7821482602118537E-3</v>
      </c>
      <c r="N190" s="5">
        <f>(Cotacoes!N190-Cotacoes!N189)/Cotacoes!N189</f>
        <v>1.2678288431061819E-2</v>
      </c>
      <c r="O190" s="5">
        <f>(Cotacoes!O190-Cotacoes!O189)/Cotacoes!O189</f>
        <v>-7.8988941548182971E-3</v>
      </c>
      <c r="P190" s="5">
        <f>(Cotacoes!P190-Cotacoes!P189)/Cotacoes!P189</f>
        <v>-2.5125628140703429E-2</v>
      </c>
      <c r="Q190" s="5">
        <f>(Cotacoes!Q190-Cotacoes!Q189)/Cotacoes!Q189</f>
        <v>2.9389600602863466E-2</v>
      </c>
      <c r="R190" s="5">
        <f>(Cotacoes!R190-Cotacoes!R189)/Cotacoes!R189</f>
        <v>1.7157941047074375E-2</v>
      </c>
      <c r="S190" s="5">
        <f>(Cotacoes!S190-Cotacoes!S189)/Cotacoes!S189</f>
        <v>3.421760861207216E-2</v>
      </c>
      <c r="T190" s="5">
        <f>(Cotacoes!T190-Cotacoes!T189)/Cotacoes!T189</f>
        <v>1.103346818683329E-2</v>
      </c>
      <c r="U190" s="5">
        <f>(Cotacoes!U190-Cotacoes!U189)/Cotacoes!U189</f>
        <v>2.7900960827790193E-2</v>
      </c>
      <c r="V190" s="5">
        <f>(Cotacoes!V190-Cotacoes!V189)/Cotacoes!V189</f>
        <v>-4.2253521126759666E-3</v>
      </c>
      <c r="W190" s="5"/>
    </row>
    <row r="191" spans="1:23" x14ac:dyDescent="0.2">
      <c r="A191" s="4">
        <v>44837</v>
      </c>
      <c r="B191" s="5">
        <f>(Cotacoes!B191-Cotacoes!B190)/Cotacoes!B190</f>
        <v>5.2660093184527024E-2</v>
      </c>
      <c r="C191" s="5">
        <f>(Cotacoes!C191-Cotacoes!C190)/Cotacoes!C190</f>
        <v>2.7196652719665312E-2</v>
      </c>
      <c r="D191" s="5">
        <f>(Cotacoes!D191-Cotacoes!D190)/Cotacoes!D190</f>
        <v>7.9559363525091839E-2</v>
      </c>
      <c r="E191" s="5">
        <f>(Cotacoes!E191-Cotacoes!E190)/Cotacoes!E190</f>
        <v>6.0520094562647814E-2</v>
      </c>
      <c r="F191" s="5">
        <f>(Cotacoes!F191-Cotacoes!F190)/Cotacoes!F190</f>
        <v>8.8865656037637186E-2</v>
      </c>
      <c r="G191" s="5">
        <f>(Cotacoes!G191-Cotacoes!G190)/Cotacoes!G190</f>
        <v>4.481517827935888E-2</v>
      </c>
      <c r="H191" s="5">
        <f>(Cotacoes!H191-Cotacoes!H190)/Cotacoes!H190</f>
        <v>7.6872536136662284E-2</v>
      </c>
      <c r="I191" s="5">
        <f>(Cotacoes!I191-Cotacoes!I190)/Cotacoes!I190</f>
        <v>6.6322580645161291E-2</v>
      </c>
      <c r="J191" s="5">
        <f>(Cotacoes!J191-Cotacoes!J190)/Cotacoes!J190</f>
        <v>0.16935483870967738</v>
      </c>
      <c r="K191" s="5">
        <f>(Cotacoes!K191-Cotacoes!K190)/Cotacoes!K190</f>
        <v>6.9313169502205396E-2</v>
      </c>
      <c r="L191" s="5">
        <f>(Cotacoes!L191-Cotacoes!L190)/Cotacoes!L190</f>
        <v>6.3900414937759303E-2</v>
      </c>
      <c r="M191" s="5">
        <f>(Cotacoes!M191-Cotacoes!M190)/Cotacoes!M190</f>
        <v>4.8595292331055473E-2</v>
      </c>
      <c r="N191" s="5">
        <f>(Cotacoes!N191-Cotacoes!N190)/Cotacoes!N190</f>
        <v>7.0422535211267637E-2</v>
      </c>
      <c r="O191" s="5">
        <f>(Cotacoes!O191-Cotacoes!O190)/Cotacoes!O190</f>
        <v>2.5477707006369449E-2</v>
      </c>
      <c r="P191" s="5">
        <f>(Cotacoes!P191-Cotacoes!P190)/Cotacoes!P190</f>
        <v>4.29553264604811E-2</v>
      </c>
      <c r="Q191" s="5">
        <f>(Cotacoes!Q191-Cotacoes!Q190)/Cotacoes!Q190</f>
        <v>2.0497803806735077E-2</v>
      </c>
      <c r="R191" s="5">
        <f>(Cotacoes!R191-Cotacoes!R190)/Cotacoes!R190</f>
        <v>6.2283737024221353E-2</v>
      </c>
      <c r="S191" s="5">
        <f>(Cotacoes!S191-Cotacoes!S190)/Cotacoes!S190</f>
        <v>6.3197026022304939E-2</v>
      </c>
      <c r="T191" s="5">
        <f>(Cotacoes!T191-Cotacoes!T190)/Cotacoes!T190</f>
        <v>5.0927610040014629E-2</v>
      </c>
      <c r="U191" s="5">
        <f>(Cotacoes!U191-Cotacoes!U190)/Cotacoes!U190</f>
        <v>5.7702678410929367E-2</v>
      </c>
      <c r="V191" s="5">
        <f>(Cotacoes!V191-Cotacoes!V190)/Cotacoes!V190</f>
        <v>5.3041018387553041E-2</v>
      </c>
      <c r="W191" s="5"/>
    </row>
    <row r="192" spans="1:23" x14ac:dyDescent="0.2">
      <c r="A192" s="4">
        <v>44838</v>
      </c>
      <c r="B192" s="5">
        <f>(Cotacoes!B192-Cotacoes!B191)/Cotacoes!B191</f>
        <v>3.602676273803338E-3</v>
      </c>
      <c r="C192" s="5">
        <f>(Cotacoes!C192-Cotacoes!C191)/Cotacoes!C191</f>
        <v>2.4100475220638181E-2</v>
      </c>
      <c r="D192" s="5">
        <f>(Cotacoes!D192-Cotacoes!D191)/Cotacoes!D191</f>
        <v>-2.4943310657596442E-2</v>
      </c>
      <c r="E192" s="5">
        <f>(Cotacoes!E192-Cotacoes!E191)/Cotacoes!E191</f>
        <v>1.7833259028087003E-3</v>
      </c>
      <c r="F192" s="5">
        <f>(Cotacoes!F192-Cotacoes!F191)/Cotacoes!F191</f>
        <v>-1.968314930388846E-2</v>
      </c>
      <c r="G192" s="5">
        <f>(Cotacoes!G192-Cotacoes!G191)/Cotacoes!G191</f>
        <v>-1.0331872260488473E-2</v>
      </c>
      <c r="H192" s="5">
        <f>(Cotacoes!H192-Cotacoes!H191)/Cotacoes!H191</f>
        <v>-5.3691275167785282E-2</v>
      </c>
      <c r="I192" s="5">
        <f>(Cotacoes!I192-Cotacoes!I191)/Cotacoes!I191</f>
        <v>-2.5411423039690153E-2</v>
      </c>
      <c r="J192" s="5">
        <f>(Cotacoes!J192-Cotacoes!J191)/Cotacoes!J191</f>
        <v>-1.7241379310345072E-3</v>
      </c>
      <c r="K192" s="5">
        <f>(Cotacoes!K192-Cotacoes!K191)/Cotacoes!K191</f>
        <v>-5.8927519151432003E-4</v>
      </c>
      <c r="L192" s="5">
        <f>(Cotacoes!L192-Cotacoes!L191)/Cotacoes!L191</f>
        <v>4.3681747269890832E-2</v>
      </c>
      <c r="M192" s="5">
        <f>(Cotacoes!M192-Cotacoes!M191)/Cotacoes!M191</f>
        <v>-3.6205648081101163E-3</v>
      </c>
      <c r="N192" s="5">
        <f>(Cotacoes!N192-Cotacoes!N191)/Cotacoes!N191</f>
        <v>-8.7719298245613458E-3</v>
      </c>
      <c r="O192" s="5">
        <f>(Cotacoes!O192-Cotacoes!O191)/Cotacoes!O191</f>
        <v>-2.096273291925476E-2</v>
      </c>
      <c r="P192" s="5">
        <f>(Cotacoes!P192-Cotacoes!P191)/Cotacoes!P191</f>
        <v>4.0362438220757843E-2</v>
      </c>
      <c r="Q192" s="5">
        <f>(Cotacoes!Q192-Cotacoes!Q191)/Cotacoes!Q191</f>
        <v>7.8909612625537619E-3</v>
      </c>
      <c r="R192" s="5">
        <f>(Cotacoes!R192-Cotacoes!R191)/Cotacoes!R191</f>
        <v>6.1074918566776113E-3</v>
      </c>
      <c r="S192" s="5">
        <f>(Cotacoes!S192-Cotacoes!S191)/Cotacoes!S191</f>
        <v>-1.0489510489510514E-2</v>
      </c>
      <c r="T192" s="5">
        <f>(Cotacoes!T192-Cotacoes!T191)/Cotacoes!T191</f>
        <v>4.8113534094842522E-2</v>
      </c>
      <c r="U192" s="5">
        <f>(Cotacoes!U192-Cotacoes!U191)/Cotacoes!U191</f>
        <v>1.61454792658055E-2</v>
      </c>
      <c r="V192" s="5">
        <f>(Cotacoes!V192-Cotacoes!V191)/Cotacoes!V191</f>
        <v>8.7306917394223641E-3</v>
      </c>
      <c r="W192" s="5"/>
    </row>
    <row r="193" spans="1:23" x14ac:dyDescent="0.2">
      <c r="A193" s="4">
        <v>44839</v>
      </c>
      <c r="B193" s="5">
        <f>(Cotacoes!B193-Cotacoes!B192)/Cotacoes!B192</f>
        <v>7.179487179487209E-3</v>
      </c>
      <c r="C193" s="5">
        <f>(Cotacoes!C193-Cotacoes!C192)/Cotacoes!C192</f>
        <v>1.5412661584355314E-2</v>
      </c>
      <c r="D193" s="5">
        <f>(Cotacoes!D193-Cotacoes!D192)/Cotacoes!D192</f>
        <v>3.720930232558143E-2</v>
      </c>
      <c r="E193" s="5">
        <f>(Cotacoes!E193-Cotacoes!E192)/Cotacoes!E192</f>
        <v>0</v>
      </c>
      <c r="F193" s="5">
        <f>(Cotacoes!F193-Cotacoes!F192)/Cotacoes!F192</f>
        <v>3.5259549461312378E-2</v>
      </c>
      <c r="G193" s="5">
        <f>(Cotacoes!G193-Cotacoes!G192)/Cotacoes!G192</f>
        <v>1.2970578930718244E-2</v>
      </c>
      <c r="H193" s="5">
        <f>(Cotacoes!H193-Cotacoes!H192)/Cotacoes!H192</f>
        <v>1.547388781431336E-2</v>
      </c>
      <c r="I193" s="5">
        <f>(Cotacoes!I193-Cotacoes!I192)/Cotacoes!I192</f>
        <v>-1.2912838341196997E-2</v>
      </c>
      <c r="J193" s="5">
        <f>(Cotacoes!J193-Cotacoes!J192)/Cotacoes!J192</f>
        <v>0</v>
      </c>
      <c r="K193" s="5">
        <f>(Cotacoes!K193-Cotacoes!K192)/Cotacoes!K192</f>
        <v>1.0613207547169793E-2</v>
      </c>
      <c r="L193" s="5">
        <f>(Cotacoes!L193-Cotacoes!L192)/Cotacoes!L192</f>
        <v>1.7189835575485698E-2</v>
      </c>
      <c r="M193" s="5">
        <f>(Cotacoes!M193-Cotacoes!M192)/Cotacoes!M192</f>
        <v>-7.2674418604650902E-3</v>
      </c>
      <c r="N193" s="5">
        <f>(Cotacoes!N193-Cotacoes!N192)/Cotacoes!N192</f>
        <v>2.9498525073745683E-3</v>
      </c>
      <c r="O193" s="5">
        <f>(Cotacoes!O193-Cotacoes!O192)/Cotacoes!O192</f>
        <v>-2.458366375892139E-2</v>
      </c>
      <c r="P193" s="5">
        <f>(Cotacoes!P193-Cotacoes!P192)/Cotacoes!P192</f>
        <v>-2.3752969121141041E-3</v>
      </c>
      <c r="Q193" s="5">
        <f>(Cotacoes!Q193-Cotacoes!Q192)/Cotacoes!Q192</f>
        <v>2.5622775800711706E-2</v>
      </c>
      <c r="R193" s="5">
        <f>(Cotacoes!R193-Cotacoes!R192)/Cotacoes!R192</f>
        <v>4.8563334682313816E-3</v>
      </c>
      <c r="S193" s="5">
        <f>(Cotacoes!S193-Cotacoes!S192)/Cotacoes!S192</f>
        <v>1.3427561837455795E-2</v>
      </c>
      <c r="T193" s="5">
        <f>(Cotacoes!T193-Cotacoes!T192)/Cotacoes!T192</f>
        <v>3.2034346103038271E-2</v>
      </c>
      <c r="U193" s="5">
        <f>(Cotacoes!U193-Cotacoes!U192)/Cotacoes!U192</f>
        <v>5.3520655628031492E-3</v>
      </c>
      <c r="V193" s="5">
        <f>(Cotacoes!V193-Cotacoes!V192)/Cotacoes!V192</f>
        <v>3.3288948069241488E-3</v>
      </c>
      <c r="W193" s="5"/>
    </row>
    <row r="194" spans="1:23" x14ac:dyDescent="0.2">
      <c r="A194" s="4">
        <v>44840</v>
      </c>
      <c r="B194" s="5">
        <f>(Cotacoes!B194-Cotacoes!B193)/Cotacoes!B193</f>
        <v>3.7678207739306551E-3</v>
      </c>
      <c r="C194" s="5">
        <f>(Cotacoes!C194-Cotacoes!C193)/Cotacoes!C193</f>
        <v>-1.8279745389260724E-2</v>
      </c>
      <c r="D194" s="5">
        <f>(Cotacoes!D194-Cotacoes!D193)/Cotacoes!D193</f>
        <v>3.419282511210759E-2</v>
      </c>
      <c r="E194" s="5">
        <f>(Cotacoes!E194-Cotacoes!E193)/Cotacoes!E193</f>
        <v>-1.8246550956831337E-2</v>
      </c>
      <c r="F194" s="5">
        <f>(Cotacoes!F194-Cotacoes!F193)/Cotacoes!F193</f>
        <v>2.9801324503311209E-2</v>
      </c>
      <c r="G194" s="5">
        <f>(Cotacoes!G194-Cotacoes!G193)/Cotacoes!G193</f>
        <v>1.8738288569642462E-3</v>
      </c>
      <c r="H194" s="5">
        <f>(Cotacoes!H194-Cotacoes!H193)/Cotacoes!H193</f>
        <v>1.841269841269836E-2</v>
      </c>
      <c r="I194" s="5">
        <f>(Cotacoes!I194-Cotacoes!I193)/Cotacoes!I193</f>
        <v>3.396226415094343E-2</v>
      </c>
      <c r="J194" s="5">
        <f>(Cotacoes!J194-Cotacoes!J193)/Cotacoes!J193</f>
        <v>-1.2089810017271083E-2</v>
      </c>
      <c r="K194" s="5">
        <f>(Cotacoes!K194-Cotacoes!K193)/Cotacoes!K193</f>
        <v>-2.0420070011668692E-2</v>
      </c>
      <c r="L194" s="5">
        <f>(Cotacoes!L194-Cotacoes!L193)/Cotacoes!L193</f>
        <v>6.6127847171197551E-3</v>
      </c>
      <c r="M194" s="5">
        <f>(Cotacoes!M194-Cotacoes!M193)/Cotacoes!M193</f>
        <v>-5.8565153733528604E-3</v>
      </c>
      <c r="N194" s="5">
        <f>(Cotacoes!N194-Cotacoes!N193)/Cotacoes!N193</f>
        <v>-5.8823529411764757E-3</v>
      </c>
      <c r="O194" s="5">
        <f>(Cotacoes!O194-Cotacoes!O193)/Cotacoes!O193</f>
        <v>6.0975609756096982E-3</v>
      </c>
      <c r="P194" s="5">
        <f>(Cotacoes!P194-Cotacoes!P193)/Cotacoes!P193</f>
        <v>1.984126984126984E-2</v>
      </c>
      <c r="Q194" s="5">
        <f>(Cotacoes!Q194-Cotacoes!Q193)/Cotacoes!Q193</f>
        <v>-3.9324543141335787E-3</v>
      </c>
      <c r="R194" s="5">
        <f>(Cotacoes!R194-Cotacoes!R193)/Cotacoes!R193</f>
        <v>1.4095851792186928E-2</v>
      </c>
      <c r="S194" s="5">
        <f>(Cotacoes!S194-Cotacoes!S193)/Cotacoes!S193</f>
        <v>-1.8131101813110166E-2</v>
      </c>
      <c r="T194" s="5">
        <f>(Cotacoes!T194-Cotacoes!T193)/Cotacoes!T193</f>
        <v>9.9199999999999584E-3</v>
      </c>
      <c r="U194" s="5">
        <f>(Cotacoes!U194-Cotacoes!U193)/Cotacoes!U193</f>
        <v>9.9817002162701958E-3</v>
      </c>
      <c r="V194" s="5">
        <f>(Cotacoes!V194-Cotacoes!V193)/Cotacoes!V193</f>
        <v>2.2229595222295891E-2</v>
      </c>
      <c r="W194" s="5"/>
    </row>
    <row r="195" spans="1:23" x14ac:dyDescent="0.2">
      <c r="A195" s="4">
        <v>44841</v>
      </c>
      <c r="B195" s="5">
        <f>(Cotacoes!B195-Cotacoes!B194)/Cotacoes!B194</f>
        <v>-9.7392715836460766E-3</v>
      </c>
      <c r="C195" s="5">
        <f>(Cotacoes!C195-Cotacoes!C194)/Cotacoes!C194</f>
        <v>-4.9875311720700148E-4</v>
      </c>
      <c r="D195" s="5">
        <f>(Cotacoes!D195-Cotacoes!D194)/Cotacoes!D194</f>
        <v>-5.4200542005409277E-4</v>
      </c>
      <c r="E195" s="5">
        <f>(Cotacoes!E195-Cotacoes!E194)/Cotacoes!E194</f>
        <v>2.2665457842248739E-3</v>
      </c>
      <c r="F195" s="5">
        <f>(Cotacoes!F195-Cotacoes!F194)/Cotacoes!F194</f>
        <v>-5.052824988516281E-3</v>
      </c>
      <c r="G195" s="5">
        <f>(Cotacoes!G195-Cotacoes!G194)/Cotacoes!G194</f>
        <v>-1.122194513715709E-2</v>
      </c>
      <c r="H195" s="5">
        <f>(Cotacoes!H195-Cotacoes!H194)/Cotacoes!H194</f>
        <v>1.8703241895262556E-3</v>
      </c>
      <c r="I195" s="5">
        <f>(Cotacoes!I195-Cotacoes!I194)/Cotacoes!I194</f>
        <v>-3.1630170316302325E-3</v>
      </c>
      <c r="J195" s="5">
        <f>(Cotacoes!J195-Cotacoes!J194)/Cotacoes!J194</f>
        <v>3.846153846153826E-3</v>
      </c>
      <c r="K195" s="5">
        <f>(Cotacoes!K195-Cotacoes!K194)/Cotacoes!K194</f>
        <v>-2.382370458606305E-2</v>
      </c>
      <c r="L195" s="5">
        <f>(Cotacoes!L195-Cotacoes!L194)/Cotacoes!L194</f>
        <v>-2.1897810218977636E-3</v>
      </c>
      <c r="M195" s="5">
        <f>(Cotacoes!M195-Cotacoes!M194)/Cotacoes!M194</f>
        <v>-3.8291605301914548E-2</v>
      </c>
      <c r="N195" s="5">
        <f>(Cotacoes!N195-Cotacoes!N194)/Cotacoes!N194</f>
        <v>-5.9171597633136145E-3</v>
      </c>
      <c r="O195" s="5">
        <f>(Cotacoes!O195-Cotacoes!O194)/Cotacoes!O194</f>
        <v>-1.0101010101010102E-2</v>
      </c>
      <c r="P195" s="5">
        <f>(Cotacoes!P195-Cotacoes!P194)/Cotacoes!P194</f>
        <v>-3.8910505836575876E-2</v>
      </c>
      <c r="Q195" s="5">
        <f>(Cotacoes!Q195-Cotacoes!Q194)/Cotacoes!Q194</f>
        <v>-7.8959591267998928E-3</v>
      </c>
      <c r="R195" s="5">
        <f>(Cotacoes!R195-Cotacoes!R194)/Cotacoes!R194</f>
        <v>-2.5416997617156496E-2</v>
      </c>
      <c r="S195" s="5">
        <f>(Cotacoes!S195-Cotacoes!S194)/Cotacoes!S194</f>
        <v>-5.6818181818181872E-3</v>
      </c>
      <c r="T195" s="5">
        <f>(Cotacoes!T195-Cotacoes!T194)/Cotacoes!T194</f>
        <v>1.2674271229404377E-2</v>
      </c>
      <c r="U195" s="5">
        <f>(Cotacoes!U195-Cotacoes!U194)/Cotacoes!U194</f>
        <v>-3.0308021742711307E-2</v>
      </c>
      <c r="V195" s="5">
        <f>(Cotacoes!V195-Cotacoes!V194)/Cotacoes!V194</f>
        <v>-3.7000973709834371E-2</v>
      </c>
      <c r="W195" s="5"/>
    </row>
    <row r="196" spans="1:23" x14ac:dyDescent="0.2">
      <c r="A196" s="4">
        <v>44844</v>
      </c>
      <c r="B196" s="5">
        <f>(Cotacoes!B196-Cotacoes!B195)/Cotacoes!B195</f>
        <v>-6.3518082163713198E-3</v>
      </c>
      <c r="C196" s="5">
        <f>(Cotacoes!C196-Cotacoes!C195)/Cotacoes!C195</f>
        <v>-2.0126413838988704E-2</v>
      </c>
      <c r="D196" s="5">
        <f>(Cotacoes!D196-Cotacoes!D195)/Cotacoes!D195</f>
        <v>-1.1388286334056445E-2</v>
      </c>
      <c r="E196" s="5">
        <f>(Cotacoes!E196-Cotacoes!E195)/Cotacoes!E195</f>
        <v>-1.0854816824966008E-2</v>
      </c>
      <c r="F196" s="5">
        <f>(Cotacoes!F196-Cotacoes!F195)/Cotacoes!F195</f>
        <v>-9.23361034164355E-3</v>
      </c>
      <c r="G196" s="5">
        <f>(Cotacoes!G196-Cotacoes!G195)/Cotacoes!G195</f>
        <v>2.7427490542244786E-2</v>
      </c>
      <c r="H196" s="5">
        <f>(Cotacoes!H196-Cotacoes!H195)/Cotacoes!H195</f>
        <v>-1.4312383322962067E-2</v>
      </c>
      <c r="I196" s="5">
        <f>(Cotacoes!I196-Cotacoes!I195)/Cotacoes!I195</f>
        <v>1.0739565535757816E-2</v>
      </c>
      <c r="J196" s="5">
        <f>(Cotacoes!J196-Cotacoes!J195)/Cotacoes!J195</f>
        <v>1.2365029606408931E-2</v>
      </c>
      <c r="K196" s="5">
        <f>(Cotacoes!K196-Cotacoes!K195)/Cotacoes!K195</f>
        <v>-1.525320317266626E-2</v>
      </c>
      <c r="L196" s="5">
        <f>(Cotacoes!L196-Cotacoes!L195)/Cotacoes!L195</f>
        <v>2.9261155815655396E-3</v>
      </c>
      <c r="M196" s="5">
        <f>(Cotacoes!M196-Cotacoes!M195)/Cotacoes!M195</f>
        <v>-1.3782542113323101E-2</v>
      </c>
      <c r="N196" s="5">
        <f>(Cotacoes!N196-Cotacoes!N195)/Cotacoes!N195</f>
        <v>-2.9761904761904127E-3</v>
      </c>
      <c r="O196" s="5">
        <f>(Cotacoes!O196-Cotacoes!O195)/Cotacoes!O195</f>
        <v>4.8163265306122437E-2</v>
      </c>
      <c r="P196" s="5">
        <f>(Cotacoes!P196-Cotacoes!P195)/Cotacoes!P195</f>
        <v>1.4574898785425078E-2</v>
      </c>
      <c r="Q196" s="5">
        <f>(Cotacoes!Q196-Cotacoes!Q195)/Cotacoes!Q195</f>
        <v>4.0262172284644168E-2</v>
      </c>
      <c r="R196" s="5">
        <f>(Cotacoes!R196-Cotacoes!R195)/Cotacoes!R195</f>
        <v>-4.0749796251017874E-3</v>
      </c>
      <c r="S196" s="5">
        <f>(Cotacoes!S196-Cotacoes!S195)/Cotacoes!S195</f>
        <v>1.2857142857142836E-2</v>
      </c>
      <c r="T196" s="5">
        <f>(Cotacoes!T196-Cotacoes!T195)/Cotacoes!T195</f>
        <v>-1.7209011264080122E-2</v>
      </c>
      <c r="U196" s="5">
        <f>(Cotacoes!U196-Cotacoes!U195)/Cotacoes!U195</f>
        <v>1.0701545778834764E-2</v>
      </c>
      <c r="V196" s="5">
        <f>(Cotacoes!V196-Cotacoes!V195)/Cotacoes!V195</f>
        <v>1.6852039096729745E-3</v>
      </c>
      <c r="W196" s="5"/>
    </row>
    <row r="197" spans="1:23" x14ac:dyDescent="0.2">
      <c r="A197" s="4">
        <v>44845</v>
      </c>
      <c r="B197" s="5">
        <f>(Cotacoes!B197-Cotacoes!B196)/Cotacoes!B196</f>
        <v>-5.0520672234250427E-3</v>
      </c>
      <c r="C197" s="5">
        <f>(Cotacoes!C197-Cotacoes!C196)/Cotacoes!C196</f>
        <v>-6.7900186725513255E-3</v>
      </c>
      <c r="D197" s="5">
        <f>(Cotacoes!D197-Cotacoes!D196)/Cotacoes!D196</f>
        <v>-7.6796489303346442E-3</v>
      </c>
      <c r="E197" s="5">
        <f>(Cotacoes!E197-Cotacoes!E196)/Cotacoes!E196</f>
        <v>-6.858710562414363E-3</v>
      </c>
      <c r="F197" s="5">
        <f>(Cotacoes!F197-Cotacoes!F196)/Cotacoes!F196</f>
        <v>-9.7856477166822393E-3</v>
      </c>
      <c r="G197" s="5">
        <f>(Cotacoes!G197-Cotacoes!G196)/Cotacoes!G196</f>
        <v>-1.0739490641301055E-2</v>
      </c>
      <c r="H197" s="5">
        <f>(Cotacoes!H197-Cotacoes!H196)/Cotacoes!H196</f>
        <v>-2.3989898989898926E-2</v>
      </c>
      <c r="I197" s="5">
        <f>(Cotacoes!I197-Cotacoes!I196)/Cotacoes!I196</f>
        <v>-7.9690895918859781E-3</v>
      </c>
      <c r="J197" s="5">
        <f>(Cotacoes!J197-Cotacoes!J196)/Cotacoes!J196</f>
        <v>-1.1869946671254168E-2</v>
      </c>
      <c r="K197" s="5">
        <f>(Cotacoes!K197-Cotacoes!K196)/Cotacoes!K196</f>
        <v>-2.4783147459726857E-3</v>
      </c>
      <c r="L197" s="5">
        <f>(Cotacoes!L197-Cotacoes!L196)/Cotacoes!L196</f>
        <v>-3.2822757111597448E-2</v>
      </c>
      <c r="M197" s="5">
        <f>(Cotacoes!M197-Cotacoes!M196)/Cotacoes!M196</f>
        <v>-1.397515527950322E-2</v>
      </c>
      <c r="N197" s="5">
        <f>(Cotacoes!N197-Cotacoes!N196)/Cotacoes!N196</f>
        <v>-1.1940298507462697E-2</v>
      </c>
      <c r="O197" s="5">
        <f>(Cotacoes!O197-Cotacoes!O196)/Cotacoes!O196</f>
        <v>-4.0887850467289745E-2</v>
      </c>
      <c r="P197" s="5">
        <f>(Cotacoes!P197-Cotacoes!P196)/Cotacoes!P196</f>
        <v>-2.8731045490821984E-2</v>
      </c>
      <c r="Q197" s="5">
        <f>(Cotacoes!Q197-Cotacoes!Q196)/Cotacoes!Q196</f>
        <v>-1.3051305130513013E-2</v>
      </c>
      <c r="R197" s="5">
        <f>(Cotacoes!R197-Cotacoes!R196)/Cotacoes!R196</f>
        <v>1.2274959083468733E-3</v>
      </c>
      <c r="S197" s="5">
        <f>(Cotacoes!S197-Cotacoes!S196)/Cotacoes!S196</f>
        <v>1.0225669957686853E-2</v>
      </c>
      <c r="T197" s="5">
        <f>(Cotacoes!T197-Cotacoes!T196)/Cotacoes!T196</f>
        <v>1.2734797835084097E-3</v>
      </c>
      <c r="U197" s="5">
        <f>(Cotacoes!U197-Cotacoes!U196)/Cotacoes!U196</f>
        <v>6.8907563025209515E-3</v>
      </c>
      <c r="V197" s="5">
        <f>(Cotacoes!V197-Cotacoes!V196)/Cotacoes!V196</f>
        <v>-3.7348586810228783E-2</v>
      </c>
      <c r="W197" s="5"/>
    </row>
    <row r="198" spans="1:23" x14ac:dyDescent="0.2">
      <c r="A198" s="4">
        <v>44847</v>
      </c>
      <c r="B198" s="5">
        <f>(Cotacoes!B198-Cotacoes!B197)/Cotacoes!B197</f>
        <v>-4.1450777202073127E-3</v>
      </c>
      <c r="C198" s="5">
        <f>(Cotacoes!C198-Cotacoes!C197)/Cotacoes!C197</f>
        <v>-1.7774739360793011E-2</v>
      </c>
      <c r="D198" s="5">
        <f>(Cotacoes!D198-Cotacoes!D197)/Cotacoes!D197</f>
        <v>2.8745163073521259E-2</v>
      </c>
      <c r="E198" s="5">
        <f>(Cotacoes!E198-Cotacoes!E197)/Cotacoes!E197</f>
        <v>-5.9852670349907463E-3</v>
      </c>
      <c r="F198" s="5">
        <f>(Cotacoes!F198-Cotacoes!F197)/Cotacoes!F197</f>
        <v>3.1529411764705965E-2</v>
      </c>
      <c r="G198" s="5">
        <f>(Cotacoes!G198-Cotacoes!G197)/Cotacoes!G197</f>
        <v>-1.2717121588089443E-2</v>
      </c>
      <c r="H198" s="5">
        <f>(Cotacoes!H198-Cotacoes!H197)/Cotacoes!H197</f>
        <v>6.4683053040103262E-3</v>
      </c>
      <c r="I198" s="5">
        <f>(Cotacoes!I198-Cotacoes!I197)/Cotacoes!I197</f>
        <v>-1.2171372930866602E-2</v>
      </c>
      <c r="J198" s="5">
        <f>(Cotacoes!J198-Cotacoes!J197)/Cotacoes!J197</f>
        <v>-2.1761838440111422E-2</v>
      </c>
      <c r="K198" s="5">
        <f>(Cotacoes!K198-Cotacoes!K197)/Cotacoes!K197</f>
        <v>-1.4285714285714421E-2</v>
      </c>
      <c r="L198" s="5">
        <f>(Cotacoes!L198-Cotacoes!L197)/Cotacoes!L197</f>
        <v>-3.1674208144796379E-2</v>
      </c>
      <c r="M198" s="5">
        <f>(Cotacoes!M198-Cotacoes!M197)/Cotacoes!M197</f>
        <v>1.5748031496064057E-3</v>
      </c>
      <c r="N198" s="5">
        <f>(Cotacoes!N198-Cotacoes!N197)/Cotacoes!N197</f>
        <v>-6.0422960725075581E-3</v>
      </c>
      <c r="O198" s="5">
        <f>(Cotacoes!O198-Cotacoes!O197)/Cotacoes!O197</f>
        <v>5.6841250507511402E-3</v>
      </c>
      <c r="P198" s="5">
        <f>(Cotacoes!P198-Cotacoes!P197)/Cotacoes!P197</f>
        <v>-4.8479868529170078E-2</v>
      </c>
      <c r="Q198" s="5">
        <f>(Cotacoes!Q198-Cotacoes!Q197)/Cotacoes!Q197</f>
        <v>3.4199726402188461E-3</v>
      </c>
      <c r="R198" s="5">
        <f>(Cotacoes!R198-Cotacoes!R197)/Cotacoes!R197</f>
        <v>5.7212913771965907E-3</v>
      </c>
      <c r="S198" s="5">
        <f>(Cotacoes!S198-Cotacoes!S197)/Cotacoes!S197</f>
        <v>-3.5951134380453671E-2</v>
      </c>
      <c r="T198" s="5">
        <f>(Cotacoes!T198-Cotacoes!T197)/Cotacoes!T197</f>
        <v>8.2670906200318466E-3</v>
      </c>
      <c r="U198" s="5">
        <f>(Cotacoes!U198-Cotacoes!U197)/Cotacoes!U197</f>
        <v>2.0030045067602163E-3</v>
      </c>
      <c r="V198" s="5">
        <f>(Cotacoes!V198-Cotacoes!V197)/Cotacoes!V197</f>
        <v>-5.9419783292554403E-3</v>
      </c>
      <c r="W198" s="5"/>
    </row>
    <row r="199" spans="1:23" x14ac:dyDescent="0.2">
      <c r="A199" s="4">
        <v>44848</v>
      </c>
      <c r="B199" s="5">
        <f>(Cotacoes!B199-Cotacoes!B198)/Cotacoes!B198</f>
        <v>-2.1748178980228818E-2</v>
      </c>
      <c r="C199" s="5">
        <f>(Cotacoes!C199-Cotacoes!C198)/Cotacoes!C198</f>
        <v>-3.2538715851748695E-2</v>
      </c>
      <c r="D199" s="5">
        <f>(Cotacoes!D199-Cotacoes!D198)/Cotacoes!D198</f>
        <v>-1.5583019881783941E-2</v>
      </c>
      <c r="E199" s="5">
        <f>(Cotacoes!E199-Cotacoes!E198)/Cotacoes!E198</f>
        <v>4.631773969431016E-4</v>
      </c>
      <c r="F199" s="5">
        <f>(Cotacoes!F199-Cotacoes!F198)/Cotacoes!F198</f>
        <v>-1.9616788321168029E-2</v>
      </c>
      <c r="G199" s="5">
        <f>(Cotacoes!G199-Cotacoes!G198)/Cotacoes!G198</f>
        <v>-1.8221803330191591E-2</v>
      </c>
      <c r="H199" s="5">
        <f>(Cotacoes!H199-Cotacoes!H198)/Cotacoes!H198</f>
        <v>-5.1413881748072028E-3</v>
      </c>
      <c r="I199" s="5">
        <f>(Cotacoes!I199-Cotacoes!I198)/Cotacoes!I198</f>
        <v>-2.4396254312469071E-2</v>
      </c>
      <c r="J199" s="5">
        <f>(Cotacoes!J199-Cotacoes!J198)/Cotacoes!J198</f>
        <v>-2.6517173874354778E-2</v>
      </c>
      <c r="K199" s="5">
        <f>(Cotacoes!K199-Cotacoes!K198)/Cotacoes!K198</f>
        <v>-6.301197227473198E-3</v>
      </c>
      <c r="L199" s="5">
        <f>(Cotacoes!L199-Cotacoes!L198)/Cotacoes!L198</f>
        <v>-7.7881619937693043E-4</v>
      </c>
      <c r="M199" s="5">
        <f>(Cotacoes!M199-Cotacoes!M198)/Cotacoes!M198</f>
        <v>-1.2578616352201269E-2</v>
      </c>
      <c r="N199" s="5">
        <f>(Cotacoes!N199-Cotacoes!N198)/Cotacoes!N198</f>
        <v>-4.5592705167173632E-3</v>
      </c>
      <c r="O199" s="5">
        <f>(Cotacoes!O199-Cotacoes!O198)/Cotacoes!O198</f>
        <v>-2.139685102947118E-2</v>
      </c>
      <c r="P199" s="5">
        <f>(Cotacoes!P199-Cotacoes!P198)/Cotacoes!P198</f>
        <v>-1.640759930915367E-2</v>
      </c>
      <c r="Q199" s="5">
        <f>(Cotacoes!Q199-Cotacoes!Q198)/Cotacoes!Q198</f>
        <v>0</v>
      </c>
      <c r="R199" s="5">
        <f>(Cotacoes!R199-Cotacoes!R198)/Cotacoes!R198</f>
        <v>-6.095083299471702E-3</v>
      </c>
      <c r="S199" s="5">
        <f>(Cotacoes!S199-Cotacoes!S198)/Cotacoes!S198</f>
        <v>-1.2309920347574216E-2</v>
      </c>
      <c r="T199" s="5">
        <f>(Cotacoes!T199-Cotacoes!T198)/Cotacoes!T198</f>
        <v>-2.2390413118889965E-2</v>
      </c>
      <c r="U199" s="5">
        <f>(Cotacoes!U199-Cotacoes!U198)/Cotacoes!U198</f>
        <v>-1.9990004997501296E-2</v>
      </c>
      <c r="V199" s="5">
        <f>(Cotacoes!V199-Cotacoes!V198)/Cotacoes!V198</f>
        <v>-3.9029535864979009E-2</v>
      </c>
      <c r="W199" s="5"/>
    </row>
    <row r="200" spans="1:23" x14ac:dyDescent="0.2">
      <c r="A200" s="4">
        <v>44851</v>
      </c>
      <c r="B200" s="5">
        <f>(Cotacoes!B200-Cotacoes!B199)/Cotacoes!B199</f>
        <v>1.7019466014253741E-2</v>
      </c>
      <c r="C200" s="5">
        <f>(Cotacoes!C200-Cotacoes!C199)/Cotacoes!C199</f>
        <v>1.2050359712230245E-2</v>
      </c>
      <c r="D200" s="5">
        <f>(Cotacoes!D200-Cotacoes!D199)/Cotacoes!D199</f>
        <v>-1.0917030567685357E-3</v>
      </c>
      <c r="E200" s="5">
        <f>(Cotacoes!E200-Cotacoes!E199)/Cotacoes!E199</f>
        <v>8.3333333333333193E-3</v>
      </c>
      <c r="F200" s="5">
        <f>(Cotacoes!F200-Cotacoes!F199)/Cotacoes!F199</f>
        <v>-6.5146579804558876E-3</v>
      </c>
      <c r="G200" s="5">
        <f>(Cotacoes!G200-Cotacoes!G199)/Cotacoes!G199</f>
        <v>2.2720000000000028E-2</v>
      </c>
      <c r="H200" s="5">
        <f>(Cotacoes!H200-Cotacoes!H199)/Cotacoes!H199</f>
        <v>8.397932816537404E-3</v>
      </c>
      <c r="I200" s="5">
        <f>(Cotacoes!I200-Cotacoes!I199)/Cotacoes!I199</f>
        <v>4.9002273301338661E-2</v>
      </c>
      <c r="J200" s="5">
        <f>(Cotacoes!J200-Cotacoes!J199)/Cotacoes!J199</f>
        <v>2.5959780621572111E-2</v>
      </c>
      <c r="K200" s="5">
        <f>(Cotacoes!K200-Cotacoes!K199)/Cotacoes!K199</f>
        <v>6.9752694990489039E-3</v>
      </c>
      <c r="L200" s="5">
        <f>(Cotacoes!L200-Cotacoes!L199)/Cotacoes!L199</f>
        <v>1.8706157443491831E-2</v>
      </c>
      <c r="M200" s="5">
        <f>(Cotacoes!M200-Cotacoes!M199)/Cotacoes!M199</f>
        <v>6.3694267515923622E-3</v>
      </c>
      <c r="N200" s="5">
        <f>(Cotacoes!N200-Cotacoes!N199)/Cotacoes!N199</f>
        <v>1.2213740458015279E-2</v>
      </c>
      <c r="O200" s="5">
        <f>(Cotacoes!O200-Cotacoes!O199)/Cotacoes!O199</f>
        <v>2.1039603960396107E-2</v>
      </c>
      <c r="P200" s="5">
        <f>(Cotacoes!P200-Cotacoes!P199)/Cotacoes!P199</f>
        <v>6.5847234416154518E-2</v>
      </c>
      <c r="Q200" s="5">
        <f>(Cotacoes!Q200-Cotacoes!Q199)/Cotacoes!Q199</f>
        <v>3.4310384003635654E-2</v>
      </c>
      <c r="R200" s="5">
        <f>(Cotacoes!R200-Cotacoes!R199)/Cotacoes!R199</f>
        <v>2.1668029435813474E-2</v>
      </c>
      <c r="S200" s="5">
        <f>(Cotacoes!S200-Cotacoes!S199)/Cotacoes!S199</f>
        <v>1.0630498533724308E-2</v>
      </c>
      <c r="T200" s="5">
        <f>(Cotacoes!T200-Cotacoes!T199)/Cotacoes!T199</f>
        <v>9.6774193548387327E-3</v>
      </c>
      <c r="U200" s="5">
        <f>(Cotacoes!U200-Cotacoes!U199)/Cotacoes!U199</f>
        <v>2.6347101818800005E-2</v>
      </c>
      <c r="V200" s="5">
        <f>(Cotacoes!V200-Cotacoes!V199)/Cotacoes!V199</f>
        <v>4.024881083059019E-3</v>
      </c>
      <c r="W200" s="5"/>
    </row>
    <row r="201" spans="1:23" x14ac:dyDescent="0.2">
      <c r="A201" s="4">
        <v>44852</v>
      </c>
      <c r="B201" s="5">
        <f>(Cotacoes!B201-Cotacoes!B200)/Cotacoes!B200</f>
        <v>9.3086497228323465E-3</v>
      </c>
      <c r="C201" s="5">
        <f>(Cotacoes!C201-Cotacoes!C200)/Cotacoes!C200</f>
        <v>1.8126888217522587E-2</v>
      </c>
      <c r="D201" s="5">
        <f>(Cotacoes!D201-Cotacoes!D200)/Cotacoes!D200</f>
        <v>2.4590163934426191E-2</v>
      </c>
      <c r="E201" s="5">
        <f>(Cotacoes!E201-Cotacoes!E200)/Cotacoes!E200</f>
        <v>2.4334251606978767E-2</v>
      </c>
      <c r="F201" s="5">
        <f>(Cotacoes!F201-Cotacoes!F200)/Cotacoes!F200</f>
        <v>2.2482435597189546E-2</v>
      </c>
      <c r="G201" s="5">
        <f>(Cotacoes!G201-Cotacoes!G200)/Cotacoes!G200</f>
        <v>2.8473091364205148E-2</v>
      </c>
      <c r="H201" s="5">
        <f>(Cotacoes!H201-Cotacoes!H200)/Cotacoes!H200</f>
        <v>5.124919923126206E-2</v>
      </c>
      <c r="I201" s="5">
        <f>(Cotacoes!I201-Cotacoes!I200)/Cotacoes!I200</f>
        <v>2.0948711774620692E-2</v>
      </c>
      <c r="J201" s="5">
        <f>(Cotacoes!J201-Cotacoes!J200)/Cotacoes!J200</f>
        <v>4.9893086243763566E-3</v>
      </c>
      <c r="K201" s="5">
        <f>(Cotacoes!K201-Cotacoes!K200)/Cotacoes!K200</f>
        <v>7.5566750629722425E-3</v>
      </c>
      <c r="L201" s="5">
        <f>(Cotacoes!L201-Cotacoes!L200)/Cotacoes!L200</f>
        <v>-1.0711553175210449E-2</v>
      </c>
      <c r="M201" s="5">
        <f>(Cotacoes!M201-Cotacoes!M200)/Cotacoes!M200</f>
        <v>-1.5822784810127649E-3</v>
      </c>
      <c r="N201" s="5">
        <f>(Cotacoes!N201-Cotacoes!N200)/Cotacoes!N200</f>
        <v>1.9607843137254888E-2</v>
      </c>
      <c r="O201" s="5">
        <f>(Cotacoes!O201-Cotacoes!O200)/Cotacoes!O200</f>
        <v>2.787878787878793E-2</v>
      </c>
      <c r="P201" s="5">
        <f>(Cotacoes!P201-Cotacoes!P200)/Cotacoes!P200</f>
        <v>3.1301482701812107E-2</v>
      </c>
      <c r="Q201" s="5">
        <f>(Cotacoes!Q201-Cotacoes!Q200)/Cotacoes!Q200</f>
        <v>4.6133567662564531E-3</v>
      </c>
      <c r="R201" s="5">
        <f>(Cotacoes!R201-Cotacoes!R200)/Cotacoes!R200</f>
        <v>1.8407362945178106E-2</v>
      </c>
      <c r="S201" s="5">
        <f>(Cotacoes!S201-Cotacoes!S200)/Cotacoes!S200</f>
        <v>1.6322089227421083E-2</v>
      </c>
      <c r="T201" s="5">
        <f>(Cotacoes!T201-Cotacoes!T200)/Cotacoes!T200</f>
        <v>2.8115015974440861E-2</v>
      </c>
      <c r="U201" s="5">
        <f>(Cotacoes!U201-Cotacoes!U200)/Cotacoes!U200</f>
        <v>1.9211659489897261E-2</v>
      </c>
      <c r="V201" s="5">
        <f>(Cotacoes!V201-Cotacoes!V200)/Cotacoes!V200</f>
        <v>2.1865889212827911E-2</v>
      </c>
      <c r="W201" s="5"/>
    </row>
    <row r="202" spans="1:23" x14ac:dyDescent="0.2">
      <c r="A202" s="4">
        <v>44853</v>
      </c>
      <c r="B202" s="5">
        <f>(Cotacoes!B202-Cotacoes!B201)/Cotacoes!B201</f>
        <v>1.1398963730569889E-2</v>
      </c>
      <c r="C202" s="5">
        <f>(Cotacoes!C202-Cotacoes!C201)/Cotacoes!C201</f>
        <v>-1.1694885669401321E-2</v>
      </c>
      <c r="D202" s="5">
        <f>(Cotacoes!D202-Cotacoes!D201)/Cotacoes!D201</f>
        <v>3.5733333333333422E-2</v>
      </c>
      <c r="E202" s="5">
        <f>(Cotacoes!E202-Cotacoes!E201)/Cotacoes!E201</f>
        <v>4.4822949350074246E-4</v>
      </c>
      <c r="F202" s="5">
        <f>(Cotacoes!F202-Cotacoes!F201)/Cotacoes!F201</f>
        <v>3.7104901511681276E-2</v>
      </c>
      <c r="G202" s="5">
        <f>(Cotacoes!G202-Cotacoes!G201)/Cotacoes!G201</f>
        <v>2.4338302403409005E-3</v>
      </c>
      <c r="H202" s="5">
        <f>(Cotacoes!H202-Cotacoes!H201)/Cotacoes!H201</f>
        <v>3.046922608165796E-3</v>
      </c>
      <c r="I202" s="5">
        <f>(Cotacoes!I202-Cotacoes!I201)/Cotacoes!I201</f>
        <v>7.311320754717035E-3</v>
      </c>
      <c r="J202" s="5">
        <f>(Cotacoes!J202-Cotacoes!J201)/Cotacoes!J201</f>
        <v>7.2695035460993568E-3</v>
      </c>
      <c r="K202" s="5">
        <f>(Cotacoes!K202-Cotacoes!K201)/Cotacoes!K201</f>
        <v>4.3750000000000178E-3</v>
      </c>
      <c r="L202" s="5">
        <f>(Cotacoes!L202-Cotacoes!L201)/Cotacoes!L201</f>
        <v>1.7788089713843807E-2</v>
      </c>
      <c r="M202" s="5">
        <f>(Cotacoes!M202-Cotacoes!M201)/Cotacoes!M201</f>
        <v>-7.9239302694134603E-4</v>
      </c>
      <c r="N202" s="5">
        <f>(Cotacoes!N202-Cotacoes!N201)/Cotacoes!N201</f>
        <v>8.8757396449704873E-3</v>
      </c>
      <c r="O202" s="5">
        <f>(Cotacoes!O202-Cotacoes!O201)/Cotacoes!O201</f>
        <v>9.4339622641508823E-3</v>
      </c>
      <c r="P202" s="5">
        <f>(Cotacoes!P202-Cotacoes!P201)/Cotacoes!P201</f>
        <v>-1.43769968051118E-2</v>
      </c>
      <c r="Q202" s="5">
        <f>(Cotacoes!Q202-Cotacoes!Q201)/Cotacoes!Q201</f>
        <v>-8.7469932210802234E-3</v>
      </c>
      <c r="R202" s="5">
        <f>(Cotacoes!R202-Cotacoes!R201)/Cotacoes!R201</f>
        <v>3.1434184675835698E-3</v>
      </c>
      <c r="S202" s="5">
        <f>(Cotacoes!S202-Cotacoes!S201)/Cotacoes!S201</f>
        <v>7.4946466809422147E-3</v>
      </c>
      <c r="T202" s="5">
        <f>(Cotacoes!T202-Cotacoes!T201)/Cotacoes!T201</f>
        <v>3.7290242386575599E-2</v>
      </c>
      <c r="U202" s="5">
        <f>(Cotacoes!U202-Cotacoes!U201)/Cotacoes!U201</f>
        <v>2.3724406889827767E-2</v>
      </c>
      <c r="V202" s="5">
        <f>(Cotacoes!V202-Cotacoes!V201)/Cotacoes!V201</f>
        <v>7.8459343794580038E-3</v>
      </c>
      <c r="W202" s="5"/>
    </row>
    <row r="203" spans="1:23" x14ac:dyDescent="0.2">
      <c r="A203" s="4">
        <v>44854</v>
      </c>
      <c r="B203" s="5">
        <f>(Cotacoes!B203-Cotacoes!B202)/Cotacoes!B202</f>
        <v>1.1270491803278777E-2</v>
      </c>
      <c r="C203" s="5">
        <f>(Cotacoes!C203-Cotacoes!C202)/Cotacoes!C202</f>
        <v>1.2716354645001872E-2</v>
      </c>
      <c r="D203" s="5">
        <f>(Cotacoes!D203-Cotacoes!D202)/Cotacoes!D202</f>
        <v>2.9351184346034846E-2</v>
      </c>
      <c r="E203" s="5">
        <f>(Cotacoes!E203-Cotacoes!E202)/Cotacoes!E202</f>
        <v>1.5232974910394258E-2</v>
      </c>
      <c r="F203" s="5">
        <f>(Cotacoes!F203-Cotacoes!F202)/Cotacoes!F202</f>
        <v>2.6943462897526475E-2</v>
      </c>
      <c r="G203" s="5">
        <f>(Cotacoes!G203-Cotacoes!G202)/Cotacoes!G202</f>
        <v>3.0349013657050107E-4</v>
      </c>
      <c r="H203" s="5">
        <f>(Cotacoes!H203-Cotacoes!H202)/Cotacoes!H202</f>
        <v>4.6780072904009692E-2</v>
      </c>
      <c r="I203" s="5">
        <f>(Cotacoes!I203-Cotacoes!I202)/Cotacoes!I202</f>
        <v>1.0067899789276509E-2</v>
      </c>
      <c r="J203" s="5">
        <f>(Cotacoes!J203-Cotacoes!J202)/Cotacoes!J202</f>
        <v>-2.9924309100510774E-3</v>
      </c>
      <c r="K203" s="5">
        <f>(Cotacoes!K203-Cotacoes!K202)/Cotacoes!K202</f>
        <v>1.1823273179838287E-2</v>
      </c>
      <c r="L203" s="5">
        <f>(Cotacoes!L203-Cotacoes!L202)/Cotacoes!L202</f>
        <v>-1.7477203647416447E-2</v>
      </c>
      <c r="M203" s="5">
        <f>(Cotacoes!M203-Cotacoes!M202)/Cotacoes!M202</f>
        <v>1.0309278350515526E-2</v>
      </c>
      <c r="N203" s="5">
        <f>(Cotacoes!N203-Cotacoes!N202)/Cotacoes!N202</f>
        <v>2.0527859237536607E-2</v>
      </c>
      <c r="O203" s="5">
        <f>(Cotacoes!O203-Cotacoes!O202)/Cotacoes!O202</f>
        <v>-7.7881619937694426E-3</v>
      </c>
      <c r="P203" s="5">
        <f>(Cotacoes!P203-Cotacoes!P202)/Cotacoes!P202</f>
        <v>0</v>
      </c>
      <c r="Q203" s="5">
        <f>(Cotacoes!Q203-Cotacoes!Q202)/Cotacoes!Q202</f>
        <v>7.7211559673505724E-3</v>
      </c>
      <c r="R203" s="5">
        <f>(Cotacoes!R203-Cotacoes!R202)/Cotacoes!R202</f>
        <v>6.2671367019193156E-3</v>
      </c>
      <c r="S203" s="5">
        <f>(Cotacoes!S203-Cotacoes!S202)/Cotacoes!S202</f>
        <v>0</v>
      </c>
      <c r="T203" s="5">
        <f>(Cotacoes!T203-Cotacoes!T202)/Cotacoes!T202</f>
        <v>-6.5907729179150972E-3</v>
      </c>
      <c r="U203" s="5">
        <f>(Cotacoes!U203-Cotacoes!U202)/Cotacoes!U202</f>
        <v>-2.4285714285714303E-2</v>
      </c>
      <c r="V203" s="5">
        <f>(Cotacoes!V203-Cotacoes!V202)/Cotacoes!V202</f>
        <v>-7.7848549186129651E-3</v>
      </c>
      <c r="W203" s="5"/>
    </row>
    <row r="204" spans="1:23" x14ac:dyDescent="0.2">
      <c r="A204" s="4">
        <v>44855</v>
      </c>
      <c r="B204" s="5">
        <f>(Cotacoes!B204-Cotacoes!B203)/Cotacoes!B203</f>
        <v>2.0162107396149896E-2</v>
      </c>
      <c r="C204" s="5">
        <f>(Cotacoes!C204-Cotacoes!C203)/Cotacoes!C203</f>
        <v>2.929891873038018E-2</v>
      </c>
      <c r="D204" s="5">
        <f>(Cotacoes!D204-Cotacoes!D203)/Cotacoes!D203</f>
        <v>3.4517258629314727E-2</v>
      </c>
      <c r="E204" s="5">
        <f>(Cotacoes!E204-Cotacoes!E203)/Cotacoes!E203</f>
        <v>3.3539276257722926E-2</v>
      </c>
      <c r="F204" s="5">
        <f>(Cotacoes!F204-Cotacoes!F203)/Cotacoes!F203</f>
        <v>3.3978494623655875E-2</v>
      </c>
      <c r="G204" s="5">
        <f>(Cotacoes!G204-Cotacoes!G203)/Cotacoes!G203</f>
        <v>1.5776699029126092E-2</v>
      </c>
      <c r="H204" s="5">
        <f>(Cotacoes!H204-Cotacoes!H203)/Cotacoes!H203</f>
        <v>2.4956471271038869E-2</v>
      </c>
      <c r="I204" s="5">
        <f>(Cotacoes!I204-Cotacoes!I203)/Cotacoes!I203</f>
        <v>2.3643949930458878E-2</v>
      </c>
      <c r="J204" s="5">
        <f>(Cotacoes!J204-Cotacoes!J203)/Cotacoes!J203</f>
        <v>3.7076271186440704E-2</v>
      </c>
      <c r="K204" s="5">
        <f>(Cotacoes!K204-Cotacoes!K203)/Cotacoes!K203</f>
        <v>2.0910209102091012E-2</v>
      </c>
      <c r="L204" s="5">
        <f>(Cotacoes!L204-Cotacoes!L203)/Cotacoes!L203</f>
        <v>4.4083526682134597E-2</v>
      </c>
      <c r="M204" s="5">
        <f>(Cotacoes!M204-Cotacoes!M203)/Cotacoes!M203</f>
        <v>1.8053375196232371E-2</v>
      </c>
      <c r="N204" s="5">
        <f>(Cotacoes!N204-Cotacoes!N203)/Cotacoes!N203</f>
        <v>2.5862068965517199E-2</v>
      </c>
      <c r="O204" s="5">
        <f>(Cotacoes!O204-Cotacoes!O203)/Cotacoes!O203</f>
        <v>1.0596546310832008E-2</v>
      </c>
      <c r="P204" s="5">
        <f>(Cotacoes!P204-Cotacoes!P203)/Cotacoes!P203</f>
        <v>1.458670988654779E-2</v>
      </c>
      <c r="Q204" s="5">
        <f>(Cotacoes!Q204-Cotacoes!Q203)/Cotacoes!Q203</f>
        <v>1.7513134851137981E-3</v>
      </c>
      <c r="R204" s="5">
        <f>(Cotacoes!R204-Cotacoes!R203)/Cotacoes!R203</f>
        <v>3.6979369404437495E-2</v>
      </c>
      <c r="S204" s="5">
        <f>(Cotacoes!S204-Cotacoes!S203)/Cotacoes!S203</f>
        <v>1.1689691817215667E-2</v>
      </c>
      <c r="T204" s="5">
        <f>(Cotacoes!T204-Cotacoes!T203)/Cotacoes!T203</f>
        <v>1.9300361881785303E-2</v>
      </c>
      <c r="U204" s="5">
        <f>(Cotacoes!U204-Cotacoes!U203)/Cotacoes!U203</f>
        <v>9.5981779729950121E-3</v>
      </c>
      <c r="V204" s="5">
        <f>(Cotacoes!V204-Cotacoes!V203)/Cotacoes!V203</f>
        <v>2.3181169757489378E-2</v>
      </c>
      <c r="W204" s="5"/>
    </row>
    <row r="205" spans="1:23" x14ac:dyDescent="0.2">
      <c r="A205" s="4">
        <v>44858</v>
      </c>
      <c r="B205" s="5">
        <f>(Cotacoes!B205-Cotacoes!B204)/Cotacoes!B204</f>
        <v>-3.2277286721620814E-2</v>
      </c>
      <c r="C205" s="5">
        <f>(Cotacoes!C205-Cotacoes!C204)/Cotacoes!C204</f>
        <v>-2.9650965774313792E-2</v>
      </c>
      <c r="D205" s="5">
        <f>(Cotacoes!D205-Cotacoes!D204)/Cotacoes!D204</f>
        <v>-9.187620889748542E-2</v>
      </c>
      <c r="E205" s="5">
        <f>(Cotacoes!E205-Cotacoes!E204)/Cotacoes!E204</f>
        <v>-4.5260461144321189E-2</v>
      </c>
      <c r="F205" s="5">
        <f>(Cotacoes!F205-Cotacoes!F204)/Cotacoes!F204</f>
        <v>-9.9001663893510783E-2</v>
      </c>
      <c r="G205" s="5">
        <f>(Cotacoes!G205-Cotacoes!G204)/Cotacoes!G204</f>
        <v>-8.0645161290321399E-3</v>
      </c>
      <c r="H205" s="5">
        <f>(Cotacoes!H205-Cotacoes!H204)/Cotacoes!H204</f>
        <v>-0.10022650056625139</v>
      </c>
      <c r="I205" s="5">
        <f>(Cotacoes!I205-Cotacoes!I204)/Cotacoes!I204</f>
        <v>-1.9701086956521684E-2</v>
      </c>
      <c r="J205" s="5">
        <f>(Cotacoes!J205-Cotacoes!J204)/Cotacoes!J204</f>
        <v>-4.7667688117126513E-3</v>
      </c>
      <c r="K205" s="5">
        <f>(Cotacoes!K205-Cotacoes!K204)/Cotacoes!K204</f>
        <v>-4.2771084337349448E-2</v>
      </c>
      <c r="L205" s="5">
        <f>(Cotacoes!L205-Cotacoes!L204)/Cotacoes!L204</f>
        <v>-3.9259259259259209E-2</v>
      </c>
      <c r="M205" s="5">
        <f>(Cotacoes!M205-Cotacoes!M204)/Cotacoes!M204</f>
        <v>-8.4811102544333997E-3</v>
      </c>
      <c r="N205" s="5">
        <f>(Cotacoes!N205-Cotacoes!N204)/Cotacoes!N204</f>
        <v>-3.781512605042011E-2</v>
      </c>
      <c r="O205" s="5">
        <f>(Cotacoes!O205-Cotacoes!O204)/Cotacoes!O204</f>
        <v>1.0097087378640837E-2</v>
      </c>
      <c r="P205" s="5">
        <f>(Cotacoes!P205-Cotacoes!P204)/Cotacoes!P204</f>
        <v>7.1884984025558998E-3</v>
      </c>
      <c r="Q205" s="5">
        <f>(Cotacoes!Q205-Cotacoes!Q204)/Cotacoes!Q204</f>
        <v>3.4965034965034995E-2</v>
      </c>
      <c r="R205" s="5">
        <f>(Cotacoes!R205-Cotacoes!R204)/Cotacoes!R204</f>
        <v>-2.0645645645645673E-2</v>
      </c>
      <c r="S205" s="5">
        <f>(Cotacoes!S205-Cotacoes!S204)/Cotacoes!S204</f>
        <v>-1.4355742296918774E-2</v>
      </c>
      <c r="T205" s="5">
        <f>(Cotacoes!T205-Cotacoes!T204)/Cotacoes!T204</f>
        <v>-1.0650887573964481E-2</v>
      </c>
      <c r="U205" s="5">
        <f>(Cotacoes!U205-Cotacoes!U204)/Cotacoes!U204</f>
        <v>-5.8008378988075966E-3</v>
      </c>
      <c r="V205" s="5">
        <f>(Cotacoes!V205-Cotacoes!V204)/Cotacoes!V204</f>
        <v>-2.4747298710352066E-2</v>
      </c>
      <c r="W205" s="5"/>
    </row>
    <row r="206" spans="1:23" x14ac:dyDescent="0.2">
      <c r="A206" s="4">
        <v>44859</v>
      </c>
      <c r="B206" s="5">
        <f>(Cotacoes!B206-Cotacoes!B205)/Cotacoes!B205</f>
        <v>1.8472906403941586E-3</v>
      </c>
      <c r="C206" s="5">
        <f>(Cotacoes!C206-Cotacoes!C205)/Cotacoes!C205</f>
        <v>0</v>
      </c>
      <c r="D206" s="5">
        <f>(Cotacoes!D206-Cotacoes!D205)/Cotacoes!D205</f>
        <v>-2.1299254526091698E-2</v>
      </c>
      <c r="E206" s="5">
        <f>(Cotacoes!E206-Cotacoes!E205)/Cotacoes!E205</f>
        <v>-8.4973166368514184E-3</v>
      </c>
      <c r="F206" s="5">
        <f>(Cotacoes!F206-Cotacoes!F205)/Cotacoes!F205</f>
        <v>-1.4773776546629746E-2</v>
      </c>
      <c r="G206" s="5">
        <f>(Cotacoes!G206-Cotacoes!G205)/Cotacoes!G205</f>
        <v>3.6133694670279267E-3</v>
      </c>
      <c r="H206" s="5">
        <f>(Cotacoes!H206-Cotacoes!H205)/Cotacoes!H205</f>
        <v>-1.6991818753933376E-2</v>
      </c>
      <c r="I206" s="5">
        <f>(Cotacoes!I206-Cotacoes!I205)/Cotacoes!I205</f>
        <v>-1.8711018711018764E-2</v>
      </c>
      <c r="J206" s="5">
        <f>(Cotacoes!J206-Cotacoes!J205)/Cotacoes!J205</f>
        <v>-9.0660280533698453E-3</v>
      </c>
      <c r="K206" s="5">
        <f>(Cotacoes!K206-Cotacoes!K205)/Cotacoes!K205</f>
        <v>-5.6639395846444212E-3</v>
      </c>
      <c r="L206" s="5">
        <f>(Cotacoes!L206-Cotacoes!L205)/Cotacoes!L205</f>
        <v>-1.3878180416345526E-2</v>
      </c>
      <c r="M206" s="5">
        <f>(Cotacoes!M206-Cotacoes!M205)/Cotacoes!M205</f>
        <v>-1.7884914463452462E-2</v>
      </c>
      <c r="N206" s="5">
        <f>(Cotacoes!N206-Cotacoes!N205)/Cotacoes!N205</f>
        <v>-5.8224163027656532E-3</v>
      </c>
      <c r="O206" s="5">
        <f>(Cotacoes!O206-Cotacoes!O205)/Cotacoes!O205</f>
        <v>-4.2291426374472503E-3</v>
      </c>
      <c r="P206" s="5">
        <f>(Cotacoes!P206-Cotacoes!P205)/Cotacoes!P205</f>
        <v>4.2030134813640062E-2</v>
      </c>
      <c r="Q206" s="5">
        <f>(Cotacoes!Q206-Cotacoes!Q205)/Cotacoes!Q205</f>
        <v>1.1824324324324372E-2</v>
      </c>
      <c r="R206" s="5">
        <f>(Cotacoes!R206-Cotacoes!R205)/Cotacoes!R205</f>
        <v>-1.494825603679573E-2</v>
      </c>
      <c r="S206" s="5">
        <f>(Cotacoes!S206-Cotacoes!S205)/Cotacoes!S205</f>
        <v>-4.6181172291296273E-3</v>
      </c>
      <c r="T206" s="5">
        <f>(Cotacoes!T206-Cotacoes!T205)/Cotacoes!T205</f>
        <v>8.9712918660288365E-3</v>
      </c>
      <c r="U206" s="5">
        <f>(Cotacoes!U206-Cotacoes!U205)/Cotacoes!U205</f>
        <v>-2.9011345218800749E-2</v>
      </c>
      <c r="V206" s="5">
        <f>(Cotacoes!V206-Cotacoes!V205)/Cotacoes!V205</f>
        <v>-1.0364546104360226E-2</v>
      </c>
      <c r="W206" s="5"/>
    </row>
    <row r="207" spans="1:23" x14ac:dyDescent="0.2">
      <c r="A207" s="4">
        <v>44860</v>
      </c>
      <c r="B207" s="5">
        <f>(Cotacoes!B207-Cotacoes!B206)/Cotacoes!B206</f>
        <v>-2.9194837123540342E-2</v>
      </c>
      <c r="C207" s="5">
        <f>(Cotacoes!C207-Cotacoes!C206)/Cotacoes!C206</f>
        <v>2.2175659158372552E-2</v>
      </c>
      <c r="D207" s="5">
        <f>(Cotacoes!D207-Cotacoes!D206)/Cotacoes!D206</f>
        <v>-2.4483133841131627E-2</v>
      </c>
      <c r="E207" s="5">
        <f>(Cotacoes!E207-Cotacoes!E206)/Cotacoes!E206</f>
        <v>-2.1199819576003715E-2</v>
      </c>
      <c r="F207" s="5">
        <f>(Cotacoes!F207-Cotacoes!F206)/Cotacoes!F206</f>
        <v>-1.8275538894095621E-2</v>
      </c>
      <c r="G207" s="5">
        <f>(Cotacoes!G207-Cotacoes!G206)/Cotacoes!G206</f>
        <v>8.3708370837083684E-2</v>
      </c>
      <c r="H207" s="5">
        <f>(Cotacoes!H207-Cotacoes!H206)/Cotacoes!H206</f>
        <v>-3.58514724711907E-2</v>
      </c>
      <c r="I207" s="5">
        <f>(Cotacoes!I207-Cotacoes!I206)/Cotacoes!I206</f>
        <v>-3.7429378531073365E-2</v>
      </c>
      <c r="J207" s="5">
        <f>(Cotacoes!J207-Cotacoes!J206)/Cotacoes!J206</f>
        <v>-1.8643190056965273E-2</v>
      </c>
      <c r="K207" s="5">
        <f>(Cotacoes!K207-Cotacoes!K206)/Cotacoes!K206</f>
        <v>-4.3670886075949447E-2</v>
      </c>
      <c r="L207" s="5">
        <f>(Cotacoes!L207-Cotacoes!L206)/Cotacoes!L206</f>
        <v>-4.8475371383893608E-2</v>
      </c>
      <c r="M207" s="5">
        <f>(Cotacoes!M207-Cotacoes!M206)/Cotacoes!M206</f>
        <v>1.2668250197941279E-2</v>
      </c>
      <c r="N207" s="5">
        <f>(Cotacoes!N207-Cotacoes!N206)/Cotacoes!N206</f>
        <v>-2.6354319180087807E-2</v>
      </c>
      <c r="O207" s="5">
        <f>(Cotacoes!O207-Cotacoes!O206)/Cotacoes!O206</f>
        <v>-4.2857142857142837E-2</v>
      </c>
      <c r="P207" s="5">
        <f>(Cotacoes!P207-Cotacoes!P206)/Cotacoes!P206</f>
        <v>-2.891933028919336E-2</v>
      </c>
      <c r="Q207" s="5">
        <f>(Cotacoes!Q207-Cotacoes!Q206)/Cotacoes!Q206</f>
        <v>1.4816360601001687E-2</v>
      </c>
      <c r="R207" s="5">
        <f>(Cotacoes!R207-Cotacoes!R206)/Cotacoes!R206</f>
        <v>-4.5525291828793703E-2</v>
      </c>
      <c r="S207" s="5">
        <f>(Cotacoes!S207-Cotacoes!S206)/Cotacoes!S206</f>
        <v>-2.0699500356887876E-2</v>
      </c>
      <c r="T207" s="5">
        <f>(Cotacoes!T207-Cotacoes!T206)/Cotacoes!T206</f>
        <v>-1.3633669235329011E-2</v>
      </c>
      <c r="U207" s="5">
        <f>(Cotacoes!U207-Cotacoes!U206)/Cotacoes!U206</f>
        <v>-3.6554832248372526E-2</v>
      </c>
      <c r="V207" s="5">
        <f>(Cotacoes!V207-Cotacoes!V206)/Cotacoes!V206</f>
        <v>-4.0086673889490894E-2</v>
      </c>
      <c r="W207" s="5"/>
    </row>
    <row r="208" spans="1:23" x14ac:dyDescent="0.2">
      <c r="A208" s="4">
        <v>44861</v>
      </c>
      <c r="B208" s="5">
        <f>(Cotacoes!B208-Cotacoes!B207)/Cotacoes!B207</f>
        <v>2.7962435369842838E-2</v>
      </c>
      <c r="C208" s="5">
        <f>(Cotacoes!C208-Cotacoes!C207)/Cotacoes!C207</f>
        <v>-3.5531260676460515E-2</v>
      </c>
      <c r="D208" s="5">
        <f>(Cotacoes!D208-Cotacoes!D207)/Cotacoes!D207</f>
        <v>7.808142777467963E-3</v>
      </c>
      <c r="E208" s="5">
        <f>(Cotacoes!E208-Cotacoes!E207)/Cotacoes!E207</f>
        <v>1.8433179723502401E-2</v>
      </c>
      <c r="F208" s="5">
        <f>(Cotacoes!F208-Cotacoes!F207)/Cotacoes!F207</f>
        <v>2.8639618138425909E-3</v>
      </c>
      <c r="G208" s="5">
        <f>(Cotacoes!G208-Cotacoes!G207)/Cotacoes!G207</f>
        <v>2.242524916943528E-2</v>
      </c>
      <c r="H208" s="5">
        <f>(Cotacoes!H208-Cotacoes!H207)/Cotacoes!H207</f>
        <v>1.2616201859229714E-2</v>
      </c>
      <c r="I208" s="5">
        <f>(Cotacoes!I208-Cotacoes!I207)/Cotacoes!I207</f>
        <v>4.9645390070922016E-2</v>
      </c>
      <c r="J208" s="5">
        <f>(Cotacoes!J208-Cotacoes!J207)/Cotacoes!J207</f>
        <v>2.2515391380826755E-2</v>
      </c>
      <c r="K208" s="5">
        <f>(Cotacoes!K208-Cotacoes!K207)/Cotacoes!K207</f>
        <v>1.8530774321641373E-2</v>
      </c>
      <c r="L208" s="5">
        <f>(Cotacoes!L208-Cotacoes!L207)/Cotacoes!L207</f>
        <v>5.3410024650780638E-2</v>
      </c>
      <c r="M208" s="5">
        <f>(Cotacoes!M208-Cotacoes!M207)/Cotacoes!M207</f>
        <v>3.0492572322126706E-2</v>
      </c>
      <c r="N208" s="5">
        <f>(Cotacoes!N208-Cotacoes!N207)/Cotacoes!N207</f>
        <v>2.5563909774436077E-2</v>
      </c>
      <c r="O208" s="5">
        <f>(Cotacoes!O208-Cotacoes!O207)/Cotacoes!O207</f>
        <v>5.6474384832594015E-3</v>
      </c>
      <c r="P208" s="5">
        <f>(Cotacoes!P208-Cotacoes!P207)/Cotacoes!P207</f>
        <v>1.0188087774294733E-2</v>
      </c>
      <c r="Q208" s="5">
        <f>(Cotacoes!Q208-Cotacoes!Q207)/Cotacoes!Q207</f>
        <v>5.9633970799917568E-3</v>
      </c>
      <c r="R208" s="5">
        <f>(Cotacoes!R208-Cotacoes!R207)/Cotacoes!R207</f>
        <v>3.6689767631471609E-2</v>
      </c>
      <c r="S208" s="5">
        <f>(Cotacoes!S208-Cotacoes!S207)/Cotacoes!S207</f>
        <v>4.0816326530612151E-2</v>
      </c>
      <c r="T208" s="5">
        <f>(Cotacoes!T208-Cotacoes!T207)/Cotacoes!T207</f>
        <v>8.4134615384615728E-3</v>
      </c>
      <c r="U208" s="5">
        <f>(Cotacoes!U208-Cotacoes!U207)/Cotacoes!U207</f>
        <v>4.9722799722799804E-2</v>
      </c>
      <c r="V208" s="5">
        <f>(Cotacoes!V208-Cotacoes!V207)/Cotacoes!V207</f>
        <v>4.4018058690744988E-2</v>
      </c>
      <c r="W208" s="5"/>
    </row>
    <row r="209" spans="1:23" x14ac:dyDescent="0.2">
      <c r="A209" s="4">
        <v>44862</v>
      </c>
      <c r="B209" s="5">
        <f>(Cotacoes!B209-Cotacoes!B208)/Cotacoes!B208</f>
        <v>-1.56025456785054E-2</v>
      </c>
      <c r="C209" s="5">
        <f>(Cotacoes!C209-Cotacoes!C208)/Cotacoes!C208</f>
        <v>-4.888416578108392E-2</v>
      </c>
      <c r="D209" s="5">
        <f>(Cotacoes!D209-Cotacoes!D208)/Cotacoes!D208</f>
        <v>-1.1621472053126776E-2</v>
      </c>
      <c r="E209" s="5">
        <f>(Cotacoes!E209-Cotacoes!E208)/Cotacoes!E208</f>
        <v>7.6923076923076086E-3</v>
      </c>
      <c r="F209" s="5">
        <f>(Cotacoes!F209-Cotacoes!F208)/Cotacoes!F208</f>
        <v>-1.4754878629224286E-2</v>
      </c>
      <c r="G209" s="5">
        <f>(Cotacoes!G209-Cotacoes!G208)/Cotacoes!G208</f>
        <v>-9.2066070945030134E-3</v>
      </c>
      <c r="H209" s="5">
        <f>(Cotacoes!H209-Cotacoes!H208)/Cotacoes!H208</f>
        <v>5.9016393442622855E-3</v>
      </c>
      <c r="I209" s="5">
        <f>(Cotacoes!I209-Cotacoes!I208)/Cotacoes!I208</f>
        <v>1.7474370922646785E-2</v>
      </c>
      <c r="J209" s="5">
        <f>(Cotacoes!J209-Cotacoes!J208)/Cotacoes!J208</f>
        <v>2.4255977980388723E-2</v>
      </c>
      <c r="K209" s="5">
        <f>(Cotacoes!K209-Cotacoes!K208)/Cotacoes!K208</f>
        <v>5.8479532163742591E-3</v>
      </c>
      <c r="L209" s="5">
        <f>(Cotacoes!L209-Cotacoes!L208)/Cotacoes!L208</f>
        <v>2.1840873634945347E-2</v>
      </c>
      <c r="M209" s="5">
        <f>(Cotacoes!M209-Cotacoes!M208)/Cotacoes!M208</f>
        <v>1.3657056145675243E-2</v>
      </c>
      <c r="N209" s="5">
        <f>(Cotacoes!N209-Cotacoes!N208)/Cotacoes!N208</f>
        <v>1.4662756598240157E-3</v>
      </c>
      <c r="O209" s="5">
        <f>(Cotacoes!O209-Cotacoes!O208)/Cotacoes!O208</f>
        <v>3.4496590453269131E-2</v>
      </c>
      <c r="P209" s="5">
        <f>(Cotacoes!P209-Cotacoes!P208)/Cotacoes!P208</f>
        <v>1.784328937160579E-2</v>
      </c>
      <c r="Q209" s="5">
        <f>(Cotacoes!Q209-Cotacoes!Q208)/Cotacoes!Q208</f>
        <v>3.7408013082583777E-2</v>
      </c>
      <c r="R209" s="5">
        <f>(Cotacoes!R209-Cotacoes!R208)/Cotacoes!R208</f>
        <v>4.7188360204483285E-3</v>
      </c>
      <c r="S209" s="5">
        <f>(Cotacoes!S209-Cotacoes!S208)/Cotacoes!S208</f>
        <v>7.0028011204480308E-4</v>
      </c>
      <c r="T209" s="5">
        <f>(Cotacoes!T209-Cotacoes!T208)/Cotacoes!T208</f>
        <v>1.2216924910607763E-2</v>
      </c>
      <c r="U209" s="5">
        <f>(Cotacoes!U209-Cotacoes!U208)/Cotacoes!U208</f>
        <v>7.0968806733784405E-3</v>
      </c>
      <c r="V209" s="5">
        <f>(Cotacoes!V209-Cotacoes!V208)/Cotacoes!V208</f>
        <v>4.2162162162162224E-2</v>
      </c>
      <c r="W209" s="5"/>
    </row>
    <row r="210" spans="1:23" x14ac:dyDescent="0.2">
      <c r="A210" s="4">
        <v>44865</v>
      </c>
      <c r="B210" s="5">
        <f>(Cotacoes!B210-Cotacoes!B209)/Cotacoes!B209</f>
        <v>7.0907194994785459E-3</v>
      </c>
      <c r="C210" s="5">
        <f>(Cotacoes!C210-Cotacoes!C209)/Cotacoes!C209</f>
        <v>-4.6554934823091242E-3</v>
      </c>
      <c r="D210" s="5">
        <f>(Cotacoes!D210-Cotacoes!D209)/Cotacoes!D209</f>
        <v>-8.5106382978723388E-2</v>
      </c>
      <c r="E210" s="5">
        <f>(Cotacoes!E210-Cotacoes!E209)/Cotacoes!E209</f>
        <v>2.9187247418051288E-2</v>
      </c>
      <c r="F210" s="5">
        <f>(Cotacoes!F210-Cotacoes!F209)/Cotacoes!F209</f>
        <v>-7.0531400966183613E-2</v>
      </c>
      <c r="G210" s="5">
        <f>(Cotacoes!G210-Cotacoes!G209)/Cotacoes!G209</f>
        <v>4.7007379065318357E-2</v>
      </c>
      <c r="H210" s="5">
        <f>(Cotacoes!H210-Cotacoes!H209)/Cotacoes!H209</f>
        <v>-4.6284224250325884E-2</v>
      </c>
      <c r="I210" s="5">
        <f>(Cotacoes!I210-Cotacoes!I209)/Cotacoes!I209</f>
        <v>2.8852759331348704E-2</v>
      </c>
      <c r="J210" s="5">
        <f>(Cotacoes!J210-Cotacoes!J209)/Cotacoes!J209</f>
        <v>9.4054417198522391E-3</v>
      </c>
      <c r="K210" s="5">
        <f>(Cotacoes!K210-Cotacoes!K209)/Cotacoes!K209</f>
        <v>2.713178294573643E-2</v>
      </c>
      <c r="L210" s="5">
        <f>(Cotacoes!L210-Cotacoes!L209)/Cotacoes!L209</f>
        <v>6.0305343511450456E-2</v>
      </c>
      <c r="M210" s="5">
        <f>(Cotacoes!M210-Cotacoes!M209)/Cotacoes!M209</f>
        <v>1.4221556886227641E-2</v>
      </c>
      <c r="N210" s="5">
        <f>(Cotacoes!N210-Cotacoes!N209)/Cotacoes!N209</f>
        <v>3.2210834553440669E-2</v>
      </c>
      <c r="O210" s="5">
        <f>(Cotacoes!O210-Cotacoes!O209)/Cotacoes!O209</f>
        <v>-3.2183016673129054E-2</v>
      </c>
      <c r="P210" s="5">
        <f>(Cotacoes!P210-Cotacoes!P209)/Cotacoes!P209</f>
        <v>4.7256097560975686E-2</v>
      </c>
      <c r="Q210" s="5">
        <f>(Cotacoes!Q210-Cotacoes!Q209)/Cotacoes!Q209</f>
        <v>-3.4679802955664987E-2</v>
      </c>
      <c r="R210" s="5">
        <f>(Cotacoes!R210-Cotacoes!R209)/Cotacoes!R209</f>
        <v>5.5577299412915775E-2</v>
      </c>
      <c r="S210" s="5">
        <f>(Cotacoes!S210-Cotacoes!S209)/Cotacoes!S209</f>
        <v>5.0734779566130261E-2</v>
      </c>
      <c r="T210" s="5">
        <f>(Cotacoes!T210-Cotacoes!T209)/Cotacoes!T209</f>
        <v>4.0035325287017941E-2</v>
      </c>
      <c r="U210" s="5">
        <f>(Cotacoes!U210-Cotacoes!U209)/Cotacoes!U209</f>
        <v>5.2769583743034934E-2</v>
      </c>
      <c r="V210" s="5">
        <f>(Cotacoes!V210-Cotacoes!V209)/Cotacoes!V209</f>
        <v>5.8437067773167276E-2</v>
      </c>
      <c r="W210" s="5"/>
    </row>
    <row r="211" spans="1:23" x14ac:dyDescent="0.2">
      <c r="A211" s="4">
        <v>44866</v>
      </c>
      <c r="B211" s="5">
        <f>(Cotacoes!B211-Cotacoes!B210)/Cotacoes!B210</f>
        <v>1.2632014909919227E-2</v>
      </c>
      <c r="C211" s="5">
        <f>(Cotacoes!C211-Cotacoes!C210)/Cotacoes!C210</f>
        <v>3.0308699719363841E-2</v>
      </c>
      <c r="D211" s="5">
        <f>(Cotacoes!D211-Cotacoes!D210)/Cotacoes!D210</f>
        <v>1.8359853121175727E-3</v>
      </c>
      <c r="E211" s="5">
        <f>(Cotacoes!E211-Cotacoes!E210)/Cotacoes!E210</f>
        <v>2.6178010471203631E-3</v>
      </c>
      <c r="F211" s="5">
        <f>(Cotacoes!F211-Cotacoes!F210)/Cotacoes!F210</f>
        <v>3.1185031185032371E-3</v>
      </c>
      <c r="G211" s="5">
        <f>(Cotacoes!G211-Cotacoes!G210)/Cotacoes!G210</f>
        <v>-2.1665361524406301E-2</v>
      </c>
      <c r="H211" s="5">
        <f>(Cotacoes!H211-Cotacoes!H210)/Cotacoes!H210</f>
        <v>2.3923444976076531E-2</v>
      </c>
      <c r="I211" s="5">
        <f>(Cotacoes!I211-Cotacoes!I210)/Cotacoes!I210</f>
        <v>-5.5642109948809259E-3</v>
      </c>
      <c r="J211" s="5">
        <f>(Cotacoes!J211-Cotacoes!J210)/Cotacoes!J210</f>
        <v>2.9950083194675492E-3</v>
      </c>
      <c r="K211" s="5">
        <f>(Cotacoes!K211-Cotacoes!K210)/Cotacoes!K210</f>
        <v>5.660377358490557E-3</v>
      </c>
      <c r="L211" s="5">
        <f>(Cotacoes!L211-Cotacoes!L210)/Cotacoes!L210</f>
        <v>5.7595392368610561E-3</v>
      </c>
      <c r="M211" s="5">
        <f>(Cotacoes!M211-Cotacoes!M210)/Cotacoes!M210</f>
        <v>-1.2546125461254607E-2</v>
      </c>
      <c r="N211" s="5">
        <f>(Cotacoes!N211-Cotacoes!N210)/Cotacoes!N210</f>
        <v>2.8368794326241792E-3</v>
      </c>
      <c r="O211" s="5">
        <f>(Cotacoes!O211-Cotacoes!O210)/Cotacoes!O210</f>
        <v>-2.4038461538462451E-3</v>
      </c>
      <c r="P211" s="5">
        <f>(Cotacoes!P211-Cotacoes!P210)/Cotacoes!P210</f>
        <v>-2.1834061135370714E-3</v>
      </c>
      <c r="Q211" s="5">
        <f>(Cotacoes!Q211-Cotacoes!Q210)/Cotacoes!Q210</f>
        <v>-6.1236987140233564E-3</v>
      </c>
      <c r="R211" s="5">
        <f>(Cotacoes!R211-Cotacoes!R210)/Cotacoes!R210</f>
        <v>2.5954764553207375E-3</v>
      </c>
      <c r="S211" s="5">
        <f>(Cotacoes!S211-Cotacoes!S210)/Cotacoes!S210</f>
        <v>-9.9900099900103673E-4</v>
      </c>
      <c r="T211" s="5">
        <f>(Cotacoes!T211-Cotacoes!T210)/Cotacoes!T210</f>
        <v>4.9249929238607472E-2</v>
      </c>
      <c r="U211" s="5">
        <f>(Cotacoes!U211-Cotacoes!U210)/Cotacoes!U210</f>
        <v>4.669987546700053E-4</v>
      </c>
      <c r="V211" s="5">
        <f>(Cotacoes!V211-Cotacoes!V210)/Cotacoes!V210</f>
        <v>3.4302515517804666E-2</v>
      </c>
      <c r="W211" s="5"/>
    </row>
    <row r="212" spans="1:23" x14ac:dyDescent="0.2">
      <c r="A212" s="4">
        <v>44868</v>
      </c>
      <c r="B212" s="5">
        <f>(Cotacoes!B212-Cotacoes!B211)/Cotacoes!B211</f>
        <v>1.0224948875256496E-3</v>
      </c>
      <c r="C212" s="5">
        <f>(Cotacoes!C212-Cotacoes!C211)/Cotacoes!C211</f>
        <v>-2.9235518431087695E-2</v>
      </c>
      <c r="D212" s="5">
        <f>(Cotacoes!D212-Cotacoes!D211)/Cotacoes!D211</f>
        <v>3.0543677458766466E-3</v>
      </c>
      <c r="E212" s="5">
        <f>(Cotacoes!E212-Cotacoes!E211)/Cotacoes!E211</f>
        <v>-7.3977371627502913E-3</v>
      </c>
      <c r="F212" s="5">
        <f>(Cotacoes!F212-Cotacoes!F211)/Cotacoes!F211</f>
        <v>2.5906735751295702E-3</v>
      </c>
      <c r="G212" s="5">
        <f>(Cotacoes!G212-Cotacoes!G211)/Cotacoes!G211</f>
        <v>2.0010672358591251E-2</v>
      </c>
      <c r="H212" s="5">
        <f>(Cotacoes!H212-Cotacoes!H211)/Cotacoes!H211</f>
        <v>2.0694259012015936E-2</v>
      </c>
      <c r="I212" s="5">
        <f>(Cotacoes!I212-Cotacoes!I211)/Cotacoes!I211</f>
        <v>2.2605192479856717E-2</v>
      </c>
      <c r="J212" s="5">
        <f>(Cotacoes!J212-Cotacoes!J211)/Cotacoes!J211</f>
        <v>-4.6449900464499193E-3</v>
      </c>
      <c r="K212" s="5">
        <f>(Cotacoes!K212-Cotacoes!K211)/Cotacoes!K211</f>
        <v>-1.6885553470919298E-2</v>
      </c>
      <c r="L212" s="5">
        <f>(Cotacoes!L212-Cotacoes!L211)/Cotacoes!L211</f>
        <v>1.7179670722977824E-2</v>
      </c>
      <c r="M212" s="5">
        <f>(Cotacoes!M212-Cotacoes!M211)/Cotacoes!M211</f>
        <v>1.4200298953662144E-2</v>
      </c>
      <c r="N212" s="5">
        <f>(Cotacoes!N212-Cotacoes!N211)/Cotacoes!N211</f>
        <v>-2.828854314002894E-3</v>
      </c>
      <c r="O212" s="5">
        <f>(Cotacoes!O212-Cotacoes!O211)/Cotacoes!O211</f>
        <v>1.2048192771084794E-3</v>
      </c>
      <c r="P212" s="5">
        <f>(Cotacoes!P212-Cotacoes!P211)/Cotacoes!P211</f>
        <v>-9.4821298322392972E-3</v>
      </c>
      <c r="Q212" s="5">
        <f>(Cotacoes!Q212-Cotacoes!Q211)/Cotacoes!Q211</f>
        <v>1.9921955226945964E-2</v>
      </c>
      <c r="R212" s="5">
        <f>(Cotacoes!R212-Cotacoes!R211)/Cotacoes!R211</f>
        <v>-4.4378698224851127E-3</v>
      </c>
      <c r="S212" s="5">
        <f>(Cotacoes!S212-Cotacoes!S211)/Cotacoes!S211</f>
        <v>-8.9999999999999854E-3</v>
      </c>
      <c r="T212" s="5">
        <f>(Cotacoes!T212-Cotacoes!T211)/Cotacoes!T211</f>
        <v>-1.0520636633396292E-2</v>
      </c>
      <c r="U212" s="5">
        <f>(Cotacoes!U212-Cotacoes!U211)/Cotacoes!U211</f>
        <v>2.5517348685234177E-2</v>
      </c>
      <c r="V212" s="5">
        <f>(Cotacoes!V212-Cotacoes!V211)/Cotacoes!V211</f>
        <v>2.2109917877447972E-3</v>
      </c>
      <c r="W212" s="5"/>
    </row>
    <row r="213" spans="1:23" x14ac:dyDescent="0.2">
      <c r="A213" s="4">
        <v>44869</v>
      </c>
      <c r="B213" s="5">
        <f>(Cotacoes!B213-Cotacoes!B212)/Cotacoes!B212</f>
        <v>1.2665985699693513E-2</v>
      </c>
      <c r="C213" s="5">
        <f>(Cotacoes!C213-Cotacoes!C212)/Cotacoes!C212</f>
        <v>7.5944631500187099E-2</v>
      </c>
      <c r="D213" s="5">
        <f>(Cotacoes!D213-Cotacoes!D212)/Cotacoes!D212</f>
        <v>-5.5420219244823495E-2</v>
      </c>
      <c r="E213" s="5">
        <f>(Cotacoes!E213-Cotacoes!E212)/Cotacoes!E212</f>
        <v>3.5072336694433079E-3</v>
      </c>
      <c r="F213" s="5">
        <f>(Cotacoes!F213-Cotacoes!F212)/Cotacoes!F212</f>
        <v>-5.2196382428940646E-2</v>
      </c>
      <c r="G213" s="5">
        <f>(Cotacoes!G213-Cotacoes!G212)/Cotacoes!G212</f>
        <v>1.4909756735548008E-2</v>
      </c>
      <c r="H213" s="5">
        <f>(Cotacoes!H213-Cotacoes!H212)/Cotacoes!H212</f>
        <v>1.5042511445389171E-2</v>
      </c>
      <c r="I213" s="5">
        <f>(Cotacoes!I213-Cotacoes!I212)/Cotacoes!I212</f>
        <v>1.7947034362004823E-2</v>
      </c>
      <c r="J213" s="5">
        <f>(Cotacoes!J213-Cotacoes!J212)/Cotacoes!J212</f>
        <v>-5.833333333333357E-3</v>
      </c>
      <c r="K213" s="5">
        <f>(Cotacoes!K213-Cotacoes!K212)/Cotacoes!K212</f>
        <v>-1.0814249363867679E-2</v>
      </c>
      <c r="L213" s="5">
        <f>(Cotacoes!L213-Cotacoes!L212)/Cotacoes!L212</f>
        <v>1.4074595355383482E-2</v>
      </c>
      <c r="M213" s="5">
        <f>(Cotacoes!M213-Cotacoes!M212)/Cotacoes!M212</f>
        <v>2.7266028002947619E-2</v>
      </c>
      <c r="N213" s="5">
        <f>(Cotacoes!N213-Cotacoes!N212)/Cotacoes!N212</f>
        <v>2.8368794326241792E-3</v>
      </c>
      <c r="O213" s="5">
        <f>(Cotacoes!O213-Cotacoes!O212)/Cotacoes!O212</f>
        <v>2.5270758122743642E-2</v>
      </c>
      <c r="P213" s="5">
        <f>(Cotacoes!P213-Cotacoes!P212)/Cotacoes!P212</f>
        <v>-3.6818851251841467E-3</v>
      </c>
      <c r="Q213" s="5">
        <f>(Cotacoes!Q213-Cotacoes!Q212)/Cotacoes!Q212</f>
        <v>1.0269834877164824E-2</v>
      </c>
      <c r="R213" s="5">
        <f>(Cotacoes!R213-Cotacoes!R212)/Cotacoes!R212</f>
        <v>1.8202080237741398E-2</v>
      </c>
      <c r="S213" s="5">
        <f>(Cotacoes!S213-Cotacoes!S212)/Cotacoes!S212</f>
        <v>1.109989909182638E-2</v>
      </c>
      <c r="T213" s="5">
        <f>(Cotacoes!T213-Cotacoes!T212)/Cotacoes!T212</f>
        <v>2.4809160305343612E-2</v>
      </c>
      <c r="U213" s="5">
        <f>(Cotacoes!U213-Cotacoes!U212)/Cotacoes!U212</f>
        <v>1.6385980883022278E-2</v>
      </c>
      <c r="V213" s="5">
        <f>(Cotacoes!V213-Cotacoes!V212)/Cotacoes!V212</f>
        <v>-1.5757957768673403E-3</v>
      </c>
      <c r="W213" s="5"/>
    </row>
    <row r="214" spans="1:23" x14ac:dyDescent="0.2">
      <c r="A214" s="4">
        <v>44872</v>
      </c>
      <c r="B214" s="5">
        <f>(Cotacoes!B214-Cotacoes!B213)/Cotacoes!B213</f>
        <v>-2.8142021383901615E-2</v>
      </c>
      <c r="C214" s="5">
        <f>(Cotacoes!C214-Cotacoes!C213)/Cotacoes!C213</f>
        <v>-5.215577190542494E-3</v>
      </c>
      <c r="D214" s="5">
        <f>(Cotacoes!D214-Cotacoes!D213)/Cotacoes!D213</f>
        <v>-4.0618955512572469E-2</v>
      </c>
      <c r="E214" s="5">
        <f>(Cotacoes!E214-Cotacoes!E213)/Cotacoes!E213</f>
        <v>-2.2717343818261231E-2</v>
      </c>
      <c r="F214" s="5">
        <f>(Cotacoes!F214-Cotacoes!F213)/Cotacoes!F213</f>
        <v>-3.3805888767720886E-2</v>
      </c>
      <c r="G214" s="5">
        <f>(Cotacoes!G214-Cotacoes!G213)/Cotacoes!G213</f>
        <v>2.5773195876289028E-3</v>
      </c>
      <c r="H214" s="5">
        <f>(Cotacoes!H214-Cotacoes!H213)/Cotacoes!H213</f>
        <v>-3.4793814432989636E-2</v>
      </c>
      <c r="I214" s="5">
        <f>(Cotacoes!I214-Cotacoes!I213)/Cotacoes!I213</f>
        <v>-5.3751881315846059E-2</v>
      </c>
      <c r="J214" s="5">
        <f>(Cotacoes!J214-Cotacoes!J213)/Cotacoes!J213</f>
        <v>-2.5649622799664731E-2</v>
      </c>
      <c r="K214" s="5">
        <f>(Cotacoes!K214-Cotacoes!K213)/Cotacoes!K213</f>
        <v>-3.344051446945346E-2</v>
      </c>
      <c r="L214" s="5">
        <f>(Cotacoes!L214-Cotacoes!L213)/Cotacoes!L213</f>
        <v>-1.9430950728660606E-2</v>
      </c>
      <c r="M214" s="5">
        <f>(Cotacoes!M214-Cotacoes!M213)/Cotacoes!M213</f>
        <v>-5.7388809182209524E-3</v>
      </c>
      <c r="N214" s="5">
        <f>(Cotacoes!N214-Cotacoes!N213)/Cotacoes!N213</f>
        <v>-1.6973125884016987E-2</v>
      </c>
      <c r="O214" s="5">
        <f>(Cotacoes!O214-Cotacoes!O213)/Cotacoes!O213</f>
        <v>-6.2597809076682378E-3</v>
      </c>
      <c r="P214" s="5">
        <f>(Cotacoes!P214-Cotacoes!P213)/Cotacoes!P213</f>
        <v>-1.552106430155204E-2</v>
      </c>
      <c r="Q214" s="5">
        <f>(Cotacoes!Q214-Cotacoes!Q213)/Cotacoes!Q213</f>
        <v>9.1688259916284792E-3</v>
      </c>
      <c r="R214" s="5">
        <f>(Cotacoes!R214-Cotacoes!R213)/Cotacoes!R213</f>
        <v>-1.9700839109813906E-2</v>
      </c>
      <c r="S214" s="5">
        <f>(Cotacoes!S214-Cotacoes!S213)/Cotacoes!S213</f>
        <v>-3.725881570192939E-2</v>
      </c>
      <c r="T214" s="5">
        <f>(Cotacoes!T214-Cotacoes!T213)/Cotacoes!T213</f>
        <v>-3.2721468475658523E-2</v>
      </c>
      <c r="U214" s="5">
        <f>(Cotacoes!U214-Cotacoes!U213)/Cotacoes!U213</f>
        <v>-3.1049410359755163E-2</v>
      </c>
      <c r="V214" s="5">
        <f>(Cotacoes!V214-Cotacoes!V213)/Cotacoes!V213</f>
        <v>-1.7992424242424251E-2</v>
      </c>
      <c r="W214" s="5"/>
    </row>
    <row r="215" spans="1:23" x14ac:dyDescent="0.2">
      <c r="A215" s="4">
        <v>44873</v>
      </c>
      <c r="B215" s="5">
        <f>(Cotacoes!B215-Cotacoes!B214)/Cotacoes!B214</f>
        <v>7.2651790347691009E-3</v>
      </c>
      <c r="C215" s="5">
        <f>(Cotacoes!C215-Cotacoes!C214)/Cotacoes!C214</f>
        <v>3.040894792030762E-2</v>
      </c>
      <c r="D215" s="5">
        <f>(Cotacoes!D215-Cotacoes!D214)/Cotacoes!D214</f>
        <v>7.3924731182795312E-3</v>
      </c>
      <c r="E215" s="5">
        <f>(Cotacoes!E215-Cotacoes!E214)/Cotacoes!E214</f>
        <v>-2.6821636119804325E-3</v>
      </c>
      <c r="F215" s="5">
        <f>(Cotacoes!F215-Cotacoes!F214)/Cotacoes!F214</f>
        <v>0</v>
      </c>
      <c r="G215" s="5">
        <f>(Cotacoes!G215-Cotacoes!G214)/Cotacoes!G214</f>
        <v>-2.5706940874036356E-3</v>
      </c>
      <c r="H215" s="5">
        <f>(Cotacoes!H215-Cotacoes!H214)/Cotacoes!H214</f>
        <v>4.672897196261701E-3</v>
      </c>
      <c r="I215" s="5">
        <f>(Cotacoes!I215-Cotacoes!I214)/Cotacoes!I214</f>
        <v>3.6355373778687505E-3</v>
      </c>
      <c r="J215" s="5">
        <f>(Cotacoes!J215-Cotacoes!J214)/Cotacoes!J214</f>
        <v>4.817618719889903E-3</v>
      </c>
      <c r="K215" s="5">
        <f>(Cotacoes!K215-Cotacoes!K214)/Cotacoes!K214</f>
        <v>-9.3147039254822886E-3</v>
      </c>
      <c r="L215" s="5">
        <f>(Cotacoes!L215-Cotacoes!L214)/Cotacoes!L214</f>
        <v>2.12314225053074E-3</v>
      </c>
      <c r="M215" s="5">
        <f>(Cotacoes!M215-Cotacoes!M214)/Cotacoes!M214</f>
        <v>2.3088023088023109E-2</v>
      </c>
      <c r="N215" s="5">
        <f>(Cotacoes!N215-Cotacoes!N214)/Cotacoes!N214</f>
        <v>2.8776978417265572E-3</v>
      </c>
      <c r="O215" s="5">
        <f>(Cotacoes!O215-Cotacoes!O214)/Cotacoes!O214</f>
        <v>2.7559055118110349E-3</v>
      </c>
      <c r="P215" s="5">
        <f>(Cotacoes!P215-Cotacoes!P214)/Cotacoes!P214</f>
        <v>1.5015015015014694E-3</v>
      </c>
      <c r="Q215" s="5">
        <f>(Cotacoes!Q215-Cotacoes!Q214)/Cotacoes!Q214</f>
        <v>8.69049970373292E-3</v>
      </c>
      <c r="R215" s="5">
        <f>(Cotacoes!R215-Cotacoes!R214)/Cotacoes!R214</f>
        <v>-4.0937848902121111E-3</v>
      </c>
      <c r="S215" s="5">
        <f>(Cotacoes!S215-Cotacoes!S214)/Cotacoes!S214</f>
        <v>1.4512785072563861E-2</v>
      </c>
      <c r="T215" s="5">
        <f>(Cotacoes!T215-Cotacoes!T214)/Cotacoes!T214</f>
        <v>2.7777777777777724E-2</v>
      </c>
      <c r="U215" s="5">
        <f>(Cotacoes!U215-Cotacoes!U214)/Cotacoes!U214</f>
        <v>7.7029733477117798E-4</v>
      </c>
      <c r="V215" s="5">
        <f>(Cotacoes!V215-Cotacoes!V214)/Cotacoes!V214</f>
        <v>-2.8929604628736695E-3</v>
      </c>
      <c r="W215" s="5"/>
    </row>
    <row r="216" spans="1:23" x14ac:dyDescent="0.2">
      <c r="A216" s="4">
        <v>44874</v>
      </c>
      <c r="B216" s="5">
        <f>(Cotacoes!B216-Cotacoes!B215)/Cotacoes!B215</f>
        <v>-1.9371458011334317E-2</v>
      </c>
      <c r="C216" s="5">
        <f>(Cotacoes!C216-Cotacoes!C215)/Cotacoes!C215</f>
        <v>-1.2211668928086819E-2</v>
      </c>
      <c r="D216" s="5">
        <f>(Cotacoes!D216-Cotacoes!D215)/Cotacoes!D215</f>
        <v>-1.6010673782521696E-2</v>
      </c>
      <c r="E216" s="5">
        <f>(Cotacoes!E216-Cotacoes!E215)/Cotacoes!E215</f>
        <v>-4.796055580457196E-2</v>
      </c>
      <c r="F216" s="5">
        <f>(Cotacoes!F216-Cotacoes!F215)/Cotacoes!F215</f>
        <v>-1.8623024830699678E-2</v>
      </c>
      <c r="G216" s="5">
        <f>(Cotacoes!G216-Cotacoes!G215)/Cotacoes!G215</f>
        <v>-4.8969072164947872E-3</v>
      </c>
      <c r="H216" s="5">
        <f>(Cotacoes!H216-Cotacoes!H215)/Cotacoes!H215</f>
        <v>-2.6578073089701018E-2</v>
      </c>
      <c r="I216" s="5">
        <f>(Cotacoes!I216-Cotacoes!I215)/Cotacoes!I215</f>
        <v>-1.1772696400271747E-2</v>
      </c>
      <c r="J216" s="5">
        <f>(Cotacoes!J216-Cotacoes!J215)/Cotacoes!J215</f>
        <v>-1.2328767123287652E-2</v>
      </c>
      <c r="K216" s="5">
        <f>(Cotacoes!K216-Cotacoes!K215)/Cotacoes!K215</f>
        <v>-0.17394224311618534</v>
      </c>
      <c r="L216" s="5">
        <f>(Cotacoes!L216-Cotacoes!L215)/Cotacoes!L215</f>
        <v>-5.649717514124299E-3</v>
      </c>
      <c r="M216" s="5">
        <f>(Cotacoes!M216-Cotacoes!M215)/Cotacoes!M215</f>
        <v>-1.5514809590973122E-2</v>
      </c>
      <c r="N216" s="5">
        <f>(Cotacoes!N216-Cotacoes!N215)/Cotacoes!N215</f>
        <v>-4.1606886657101869E-2</v>
      </c>
      <c r="O216" s="5">
        <f>(Cotacoes!O216-Cotacoes!O215)/Cotacoes!O215</f>
        <v>-5.4966627404790178E-3</v>
      </c>
      <c r="P216" s="5">
        <f>(Cotacoes!P216-Cotacoes!P215)/Cotacoes!P215</f>
        <v>0</v>
      </c>
      <c r="Q216" s="5">
        <f>(Cotacoes!Q216-Cotacoes!Q215)/Cotacoes!Q215</f>
        <v>-6.0700998629332733E-3</v>
      </c>
      <c r="R216" s="5">
        <f>(Cotacoes!R216-Cotacoes!R215)/Cotacoes!R215</f>
        <v>-1.8310911808669731E-2</v>
      </c>
      <c r="S216" s="5">
        <f>(Cotacoes!S216-Cotacoes!S215)/Cotacoes!S215</f>
        <v>-3.4059945504080416E-4</v>
      </c>
      <c r="T216" s="5">
        <f>(Cotacoes!T216-Cotacoes!T215)/Cotacoes!T215</f>
        <v>-5.6194808670056431E-3</v>
      </c>
      <c r="U216" s="5">
        <f>(Cotacoes!U216-Cotacoes!U215)/Cotacoes!U215</f>
        <v>-1.5394088669950632E-2</v>
      </c>
      <c r="V216" s="5">
        <f>(Cotacoes!V216-Cotacoes!V215)/Cotacoes!V215</f>
        <v>-9.34880722114762E-3</v>
      </c>
      <c r="W216" s="5"/>
    </row>
    <row r="217" spans="1:23" x14ac:dyDescent="0.2">
      <c r="A217" s="4">
        <v>44875</v>
      </c>
      <c r="B217" s="5">
        <f>(Cotacoes!B217-Cotacoes!B216)/Cotacoes!B216</f>
        <v>-3.6461069664810324E-2</v>
      </c>
      <c r="C217" s="5">
        <f>(Cotacoes!C217-Cotacoes!C216)/Cotacoes!C216</f>
        <v>1.9059065934065925E-2</v>
      </c>
      <c r="D217" s="5">
        <f>(Cotacoes!D217-Cotacoes!D216)/Cotacoes!D216</f>
        <v>-2.9152542372881337E-2</v>
      </c>
      <c r="E217" s="5">
        <f>(Cotacoes!E217-Cotacoes!E216)/Cotacoes!E216</f>
        <v>-1.8832391713747579E-2</v>
      </c>
      <c r="F217" s="5">
        <f>(Cotacoes!F217-Cotacoes!F216)/Cotacoes!F216</f>
        <v>-1.2650948821161521E-2</v>
      </c>
      <c r="G217" s="5">
        <f>(Cotacoes!G217-Cotacoes!G216)/Cotacoes!G216</f>
        <v>-3.36700336700336E-2</v>
      </c>
      <c r="H217" s="5">
        <f>(Cotacoes!H217-Cotacoes!H216)/Cotacoes!H216</f>
        <v>-1.9795221843003474E-2</v>
      </c>
      <c r="I217" s="5">
        <f>(Cotacoes!I217-Cotacoes!I216)/Cotacoes!I216</f>
        <v>-7.0332187857961068E-2</v>
      </c>
      <c r="J217" s="5">
        <f>(Cotacoes!J217-Cotacoes!J216)/Cotacoes!J216</f>
        <v>-3.9181692094313422E-2</v>
      </c>
      <c r="K217" s="5">
        <f>(Cotacoes!K217-Cotacoes!K216)/Cotacoes!K216</f>
        <v>-2.9268292682926925E-2</v>
      </c>
      <c r="L217" s="5">
        <f>(Cotacoes!L217-Cotacoes!L216)/Cotacoes!L216</f>
        <v>-0.12713068181818188</v>
      </c>
      <c r="M217" s="5">
        <f>(Cotacoes!M217-Cotacoes!M216)/Cotacoes!M216</f>
        <v>-2.9369627507163331E-2</v>
      </c>
      <c r="N217" s="5">
        <f>(Cotacoes!N217-Cotacoes!N216)/Cotacoes!N216</f>
        <v>-2.5449101796407175E-2</v>
      </c>
      <c r="O217" s="5">
        <f>(Cotacoes!O217-Cotacoes!O216)/Cotacoes!O216</f>
        <v>-1.9344650611922563E-2</v>
      </c>
      <c r="P217" s="5">
        <f>(Cotacoes!P217-Cotacoes!P216)/Cotacoes!P216</f>
        <v>7.4962518740629416E-3</v>
      </c>
      <c r="Q217" s="5">
        <f>(Cotacoes!Q217-Cotacoes!Q216)/Cotacoes!Q216</f>
        <v>2.2852639873916544E-2</v>
      </c>
      <c r="R217" s="5">
        <f>(Cotacoes!R217-Cotacoes!R216)/Cotacoes!R216</f>
        <v>-6.6615911686334225E-2</v>
      </c>
      <c r="S217" s="5">
        <f>(Cotacoes!S217-Cotacoes!S216)/Cotacoes!S216</f>
        <v>-2.8279386712095463E-2</v>
      </c>
      <c r="T217" s="5">
        <f>(Cotacoes!T217-Cotacoes!T216)/Cotacoes!T216</f>
        <v>-1.7222820236813603E-2</v>
      </c>
      <c r="U217" s="5">
        <f>(Cotacoes!U217-Cotacoes!U216)/Cotacoes!U216</f>
        <v>-7.5359599749843659E-2</v>
      </c>
      <c r="V217" s="5">
        <f>(Cotacoes!V217-Cotacoes!V216)/Cotacoes!V216</f>
        <v>-2.9287341360234253E-3</v>
      </c>
      <c r="W217" s="5"/>
    </row>
    <row r="218" spans="1:23" x14ac:dyDescent="0.2">
      <c r="A218" s="4">
        <v>44876</v>
      </c>
      <c r="B218" s="5">
        <f>(Cotacoes!B218-Cotacoes!B217)/Cotacoes!B217</f>
        <v>2.1483097055616126E-2</v>
      </c>
      <c r="C218" s="5">
        <f>(Cotacoes!C218-Cotacoes!C217)/Cotacoes!C217</f>
        <v>0.10412805391743891</v>
      </c>
      <c r="D218" s="5">
        <f>(Cotacoes!D218-Cotacoes!D217)/Cotacoes!D217</f>
        <v>3.3519553072625725E-2</v>
      </c>
      <c r="E218" s="5">
        <f>(Cotacoes!E218-Cotacoes!E217)/Cotacoes!E217</f>
        <v>-3.2629558541266784E-2</v>
      </c>
      <c r="F218" s="5">
        <f>(Cotacoes!F218-Cotacoes!F217)/Cotacoes!F217</f>
        <v>3.4362259755387294E-2</v>
      </c>
      <c r="G218" s="5">
        <f>(Cotacoes!G218-Cotacoes!G217)/Cotacoes!G217</f>
        <v>1.929777539533634E-2</v>
      </c>
      <c r="H218" s="5">
        <f>(Cotacoes!H218-Cotacoes!H217)/Cotacoes!H217</f>
        <v>-2.2284122562674116E-2</v>
      </c>
      <c r="I218" s="5">
        <f>(Cotacoes!I218-Cotacoes!I217)/Cotacoes!I217</f>
        <v>1.4785608674224317E-3</v>
      </c>
      <c r="J218" s="5">
        <f>(Cotacoes!J218-Cotacoes!J217)/Cotacoes!J217</f>
        <v>2.1291952363767588E-2</v>
      </c>
      <c r="K218" s="5">
        <f>(Cotacoes!K218-Cotacoes!K217)/Cotacoes!K217</f>
        <v>1.67504187604691E-2</v>
      </c>
      <c r="L218" s="5">
        <f>(Cotacoes!L218-Cotacoes!L217)/Cotacoes!L217</f>
        <v>-5.4515866558177375E-2</v>
      </c>
      <c r="M218" s="5">
        <f>(Cotacoes!M218-Cotacoes!M217)/Cotacoes!M217</f>
        <v>5.9040590405904109E-3</v>
      </c>
      <c r="N218" s="5">
        <f>(Cotacoes!N218-Cotacoes!N217)/Cotacoes!N217</f>
        <v>-1.9969278033794148E-2</v>
      </c>
      <c r="O218" s="5">
        <f>(Cotacoes!O218-Cotacoes!O217)/Cotacoes!O217</f>
        <v>0.11916264090177137</v>
      </c>
      <c r="P218" s="5">
        <f>(Cotacoes!P218-Cotacoes!P217)/Cotacoes!P217</f>
        <v>3.5714285714285747E-2</v>
      </c>
      <c r="Q218" s="5">
        <f>(Cotacoes!Q218-Cotacoes!Q217)/Cotacoes!Q217</f>
        <v>3.3320493066255716E-2</v>
      </c>
      <c r="R218" s="5">
        <f>(Cotacoes!R218-Cotacoes!R217)/Cotacoes!R217</f>
        <v>-2.3246329526916815E-2</v>
      </c>
      <c r="S218" s="5">
        <f>(Cotacoes!S218-Cotacoes!S217)/Cotacoes!S217</f>
        <v>1.0518934081346822E-3</v>
      </c>
      <c r="T218" s="5">
        <f>(Cotacoes!T218-Cotacoes!T217)/Cotacoes!T217</f>
        <v>3.0668127053669149E-2</v>
      </c>
      <c r="U218" s="5">
        <f>(Cotacoes!U218-Cotacoes!U217)/Cotacoes!U217</f>
        <v>-9.6381467703753852E-3</v>
      </c>
      <c r="V218" s="5">
        <f>(Cotacoes!V218-Cotacoes!V217)/Cotacoes!V217</f>
        <v>-3.0026109660574469E-2</v>
      </c>
      <c r="W218" s="5"/>
    </row>
    <row r="219" spans="1:23" x14ac:dyDescent="0.2">
      <c r="A219" s="4">
        <v>44879</v>
      </c>
      <c r="B219" s="5">
        <f>(Cotacoes!B219-Cotacoes!B218)/Cotacoes!B218</f>
        <v>1.7935304793423642E-2</v>
      </c>
      <c r="C219" s="5">
        <f>(Cotacoes!C219-Cotacoes!C218)/Cotacoes!C218</f>
        <v>1.2208148939417017E-2</v>
      </c>
      <c r="D219" s="5">
        <f>(Cotacoes!D219-Cotacoes!D218)/Cotacoes!D218</f>
        <v>2.635135135135127E-2</v>
      </c>
      <c r="E219" s="5">
        <f>(Cotacoes!E219-Cotacoes!E218)/Cotacoes!E218</f>
        <v>-2.9761904761904127E-3</v>
      </c>
      <c r="F219" s="5">
        <f>(Cotacoes!F219-Cotacoes!F218)/Cotacoes!F218</f>
        <v>2.7590090090089999E-2</v>
      </c>
      <c r="G219" s="5">
        <f>(Cotacoes!G219-Cotacoes!G218)/Cotacoes!G218</f>
        <v>1.6828819353142271E-2</v>
      </c>
      <c r="H219" s="5">
        <f>(Cotacoes!H219-Cotacoes!H218)/Cotacoes!H218</f>
        <v>2.492877492877503E-2</v>
      </c>
      <c r="I219" s="5">
        <f>(Cotacoes!I219-Cotacoes!I218)/Cotacoes!I218</f>
        <v>9.1043307086613543E-3</v>
      </c>
      <c r="J219" s="5">
        <f>(Cotacoes!J219-Cotacoes!J218)/Cotacoes!J218</f>
        <v>2.155477031802118E-2</v>
      </c>
      <c r="K219" s="5">
        <f>(Cotacoes!K219-Cotacoes!K218)/Cotacoes!K218</f>
        <v>8.2372322899504011E-4</v>
      </c>
      <c r="L219" s="5">
        <f>(Cotacoes!L219-Cotacoes!L218)/Cotacoes!L218</f>
        <v>-8.605851979345925E-3</v>
      </c>
      <c r="M219" s="5">
        <f>(Cotacoes!M219-Cotacoes!M218)/Cotacoes!M218</f>
        <v>-8.8041085840059423E-3</v>
      </c>
      <c r="N219" s="5">
        <f>(Cotacoes!N219-Cotacoes!N218)/Cotacoes!N218</f>
        <v>1.2539184952978068E-2</v>
      </c>
      <c r="O219" s="5">
        <f>(Cotacoes!O219-Cotacoes!O218)/Cotacoes!O218</f>
        <v>-3.0935251798561131E-2</v>
      </c>
      <c r="P219" s="5">
        <f>(Cotacoes!P219-Cotacoes!P218)/Cotacoes!P218</f>
        <v>-6.1063218390804572E-2</v>
      </c>
      <c r="Q219" s="5">
        <f>(Cotacoes!Q219-Cotacoes!Q218)/Cotacoes!Q218</f>
        <v>-8.7604846225535667E-3</v>
      </c>
      <c r="R219" s="5">
        <f>(Cotacoes!R219-Cotacoes!R218)/Cotacoes!R218</f>
        <v>7.9331941544885706E-3</v>
      </c>
      <c r="S219" s="5">
        <f>(Cotacoes!S219-Cotacoes!S218)/Cotacoes!S218</f>
        <v>2.4518388791593794E-3</v>
      </c>
      <c r="T219" s="5">
        <f>(Cotacoes!T219-Cotacoes!T218)/Cotacoes!T218</f>
        <v>2.1253985122210339E-2</v>
      </c>
      <c r="U219" s="5">
        <f>(Cotacoes!U219-Cotacoes!U218)/Cotacoes!U218</f>
        <v>1.6732115417449154E-2</v>
      </c>
      <c r="V219" s="5">
        <f>(Cotacoes!V219-Cotacoes!V218)/Cotacoes!V218</f>
        <v>8.4118438761776586E-3</v>
      </c>
      <c r="W219" s="5"/>
    </row>
    <row r="220" spans="1:23" x14ac:dyDescent="0.2">
      <c r="A220" s="4">
        <v>44881</v>
      </c>
      <c r="B220" s="5">
        <f>(Cotacoes!B220-Cotacoes!B219)/Cotacoes!B219</f>
        <v>-3.59727320398531E-2</v>
      </c>
      <c r="C220" s="5">
        <f>(Cotacoes!C220-Cotacoes!C219)/Cotacoes!C219</f>
        <v>-1.0402532790592459E-2</v>
      </c>
      <c r="D220" s="5">
        <f>(Cotacoes!D220-Cotacoes!D219)/Cotacoes!D219</f>
        <v>-2.0408163265306038E-2</v>
      </c>
      <c r="E220" s="5">
        <f>(Cotacoes!E220-Cotacoes!E219)/Cotacoes!E219</f>
        <v>-1.3930348258706524E-2</v>
      </c>
      <c r="F220" s="5">
        <f>(Cotacoes!F220-Cotacoes!F219)/Cotacoes!F219</f>
        <v>-1.0958904109589003E-2</v>
      </c>
      <c r="G220" s="5">
        <f>(Cotacoes!G220-Cotacoes!G219)/Cotacoes!G219</f>
        <v>-4.8099301784328918E-2</v>
      </c>
      <c r="H220" s="5">
        <f>(Cotacoes!H220-Cotacoes!H219)/Cotacoes!H219</f>
        <v>-3.19666435024323E-2</v>
      </c>
      <c r="I220" s="5">
        <f>(Cotacoes!I220-Cotacoes!I219)/Cotacoes!I219</f>
        <v>-3.6820287734698809E-2</v>
      </c>
      <c r="J220" s="5">
        <f>(Cotacoes!J220-Cotacoes!J219)/Cotacoes!J219</f>
        <v>-1.4181943964026293E-2</v>
      </c>
      <c r="K220" s="5">
        <f>(Cotacoes!K220-Cotacoes!K219)/Cotacoes!K219</f>
        <v>3.2921810699587774E-3</v>
      </c>
      <c r="L220" s="5">
        <f>(Cotacoes!L220-Cotacoes!L219)/Cotacoes!L219</f>
        <v>-6.0763888888889141E-3</v>
      </c>
      <c r="M220" s="5">
        <f>(Cotacoes!M220-Cotacoes!M219)/Cotacoes!M219</f>
        <v>-3.1828275351591391E-2</v>
      </c>
      <c r="N220" s="5">
        <f>(Cotacoes!N220-Cotacoes!N219)/Cotacoes!N219</f>
        <v>-1.7027863777089834E-2</v>
      </c>
      <c r="O220" s="5">
        <f>(Cotacoes!O220-Cotacoes!O219)/Cotacoes!O219</f>
        <v>-4.565701559020046E-2</v>
      </c>
      <c r="P220" s="5">
        <f>(Cotacoes!P220-Cotacoes!P219)/Cotacoes!P219</f>
        <v>9.9464422341239395E-2</v>
      </c>
      <c r="Q220" s="5">
        <f>(Cotacoes!Q220-Cotacoes!Q219)/Cotacoes!Q219</f>
        <v>1.4855208725084602E-2</v>
      </c>
      <c r="R220" s="5">
        <f>(Cotacoes!R220-Cotacoes!R219)/Cotacoes!R219</f>
        <v>-5.2609776304888133E-2</v>
      </c>
      <c r="S220" s="5">
        <f>(Cotacoes!S220-Cotacoes!S219)/Cotacoes!S219</f>
        <v>-4.4025157232704455E-2</v>
      </c>
      <c r="T220" s="5">
        <f>(Cotacoes!T220-Cotacoes!T219)/Cotacoes!T219</f>
        <v>-5.8012486992715842E-2</v>
      </c>
      <c r="U220" s="5">
        <f>(Cotacoes!U220-Cotacoes!U219)/Cotacoes!U219</f>
        <v>-7.3383711167086446E-2</v>
      </c>
      <c r="V220" s="5">
        <f>(Cotacoes!V220-Cotacoes!V219)/Cotacoes!V219</f>
        <v>-5.2719386052719329E-2</v>
      </c>
      <c r="W220" s="5"/>
    </row>
    <row r="221" spans="1:23" x14ac:dyDescent="0.2">
      <c r="A221" s="4">
        <v>44882</v>
      </c>
      <c r="B221" s="5">
        <f>(Cotacoes!B221-Cotacoes!B220)/Cotacoes!B220</f>
        <v>-1.2293298520452517E-2</v>
      </c>
      <c r="C221" s="5">
        <f>(Cotacoes!C221-Cotacoes!C220)/Cotacoes!C220</f>
        <v>7.9219987812308955E-3</v>
      </c>
      <c r="D221" s="5">
        <f>(Cotacoes!D221-Cotacoes!D220)/Cotacoes!D220</f>
        <v>6.7204301075267381E-4</v>
      </c>
      <c r="E221" s="5">
        <f>(Cotacoes!E221-Cotacoes!E220)/Cotacoes!E220</f>
        <v>6.0544904137235615E-3</v>
      </c>
      <c r="F221" s="5">
        <f>(Cotacoes!F221-Cotacoes!F220)/Cotacoes!F220</f>
        <v>-7.7562326869806408E-3</v>
      </c>
      <c r="G221" s="5">
        <f>(Cotacoes!G221-Cotacoes!G220)/Cotacoes!G220</f>
        <v>2.1733224667209918E-2</v>
      </c>
      <c r="H221" s="5">
        <f>(Cotacoes!H221-Cotacoes!H220)/Cotacoes!H220</f>
        <v>-2.0818377602297138E-2</v>
      </c>
      <c r="I221" s="5">
        <f>(Cotacoes!I221-Cotacoes!I220)/Cotacoes!I220</f>
        <v>5.0632911392412981E-4</v>
      </c>
      <c r="J221" s="5">
        <f>(Cotacoes!J221-Cotacoes!J220)/Cotacoes!J220</f>
        <v>-3.3157894736842115E-2</v>
      </c>
      <c r="K221" s="5">
        <f>(Cotacoes!K221-Cotacoes!K220)/Cotacoes!K220</f>
        <v>2.1328958162428205E-2</v>
      </c>
      <c r="L221" s="5">
        <f>(Cotacoes!L221-Cotacoes!L220)/Cotacoes!L220</f>
        <v>-6.0262008733624417E-2</v>
      </c>
      <c r="M221" s="5">
        <f>(Cotacoes!M221-Cotacoes!M220)/Cotacoes!M220</f>
        <v>-2.2935779816513273E-3</v>
      </c>
      <c r="N221" s="5">
        <f>(Cotacoes!N221-Cotacoes!N220)/Cotacoes!N220</f>
        <v>4.7244094488189375E-3</v>
      </c>
      <c r="O221" s="5">
        <f>(Cotacoes!O221-Cotacoes!O220)/Cotacoes!O220</f>
        <v>-6.8844807467911301E-2</v>
      </c>
      <c r="P221" s="5">
        <f>(Cotacoes!P221-Cotacoes!P220)/Cotacoes!P220</f>
        <v>-3.4098816979818959E-2</v>
      </c>
      <c r="Q221" s="5">
        <f>(Cotacoes!Q221-Cotacoes!Q220)/Cotacoes!Q220</f>
        <v>-1.1302575504910125E-2</v>
      </c>
      <c r="R221" s="5">
        <f>(Cotacoes!R221-Cotacoes!R220)/Cotacoes!R220</f>
        <v>-4.3725404459998087E-4</v>
      </c>
      <c r="S221" s="5">
        <f>(Cotacoes!S221-Cotacoes!S220)/Cotacoes!S220</f>
        <v>2.558479532163753E-3</v>
      </c>
      <c r="T221" s="5">
        <f>(Cotacoes!T221-Cotacoes!T220)/Cotacoes!T220</f>
        <v>-1.2979839823253214E-2</v>
      </c>
      <c r="U221" s="5">
        <f>(Cotacoes!U221-Cotacoes!U220)/Cotacoes!U220</f>
        <v>-3.443276549474406E-3</v>
      </c>
      <c r="V221" s="5">
        <f>(Cotacoes!V221-Cotacoes!V220)/Cotacoes!V220</f>
        <v>-1.1623811201127222E-2</v>
      </c>
      <c r="W221" s="5"/>
    </row>
    <row r="222" spans="1:23" x14ac:dyDescent="0.2">
      <c r="A222" s="4">
        <v>44883</v>
      </c>
      <c r="B222" s="5">
        <f>(Cotacoes!B222-Cotacoes!B221)/Cotacoes!B221</f>
        <v>4.5159158497631519E-3</v>
      </c>
      <c r="C222" s="5">
        <f>(Cotacoes!C222-Cotacoes!C221)/Cotacoes!C221</f>
        <v>-2.7357920193470411E-2</v>
      </c>
      <c r="D222" s="5">
        <f>(Cotacoes!D222-Cotacoes!D221)/Cotacoes!D221</f>
        <v>-1.6789791806581598E-2</v>
      </c>
      <c r="E222" s="5">
        <f>(Cotacoes!E222-Cotacoes!E221)/Cotacoes!E221</f>
        <v>8.0240722166499568E-3</v>
      </c>
      <c r="F222" s="5">
        <f>(Cotacoes!F222-Cotacoes!F221)/Cotacoes!F221</f>
        <v>-1.8425460636516015E-2</v>
      </c>
      <c r="G222" s="5">
        <f>(Cotacoes!G222-Cotacoes!G221)/Cotacoes!G221</f>
        <v>-6.6471683063015156E-3</v>
      </c>
      <c r="H222" s="5">
        <f>(Cotacoes!H222-Cotacoes!H221)/Cotacoes!H221</f>
        <v>-3.6656891495601691E-3</v>
      </c>
      <c r="I222" s="5">
        <f>(Cotacoes!I222-Cotacoes!I221)/Cotacoes!I221</f>
        <v>4.8076923076922498E-3</v>
      </c>
      <c r="J222" s="5">
        <f>(Cotacoes!J222-Cotacoes!J221)/Cotacoes!J221</f>
        <v>1.8145527127563315E-3</v>
      </c>
      <c r="K222" s="5">
        <f>(Cotacoes!K222-Cotacoes!K221)/Cotacoes!K221</f>
        <v>4.8192771084337753E-3</v>
      </c>
      <c r="L222" s="5">
        <f>(Cotacoes!L222-Cotacoes!L221)/Cotacoes!L221</f>
        <v>1.8587360594795637E-2</v>
      </c>
      <c r="M222" s="5">
        <f>(Cotacoes!M222-Cotacoes!M221)/Cotacoes!M221</f>
        <v>1.3793103448275839E-2</v>
      </c>
      <c r="N222" s="5">
        <f>(Cotacoes!N222-Cotacoes!N221)/Cotacoes!N221</f>
        <v>9.4043887147336209E-3</v>
      </c>
      <c r="O222" s="5">
        <f>(Cotacoes!O222-Cotacoes!O221)/Cotacoes!O221</f>
        <v>-3.675856307435265E-2</v>
      </c>
      <c r="P222" s="5">
        <f>(Cotacoes!P222-Cotacoes!P221)/Cotacoes!P221</f>
        <v>2.2334293948126707E-2</v>
      </c>
      <c r="Q222" s="5">
        <f>(Cotacoes!Q222-Cotacoes!Q221)/Cotacoes!Q221</f>
        <v>-6.3718140929534539E-3</v>
      </c>
      <c r="R222" s="5">
        <f>(Cotacoes!R222-Cotacoes!R221)/Cotacoes!R221</f>
        <v>1.4435695538057824E-2</v>
      </c>
      <c r="S222" s="5">
        <f>(Cotacoes!S222-Cotacoes!S221)/Cotacoes!S221</f>
        <v>2.9165147648560646E-3</v>
      </c>
      <c r="T222" s="5">
        <f>(Cotacoes!T222-Cotacoes!T221)/Cotacoes!T221</f>
        <v>-3.6373810856183665E-2</v>
      </c>
      <c r="U222" s="5">
        <f>(Cotacoes!U222-Cotacoes!U221)/Cotacoes!U221</f>
        <v>-2.7277686852154679E-3</v>
      </c>
      <c r="V222" s="5">
        <f>(Cotacoes!V222-Cotacoes!V221)/Cotacoes!V221</f>
        <v>-3.2074126870990684E-2</v>
      </c>
      <c r="W222" s="5"/>
    </row>
    <row r="223" spans="1:23" x14ac:dyDescent="0.2">
      <c r="A223" s="4">
        <v>44886</v>
      </c>
      <c r="B223" s="5">
        <f>(Cotacoes!B223-Cotacoes!B222)/Cotacoes!B222</f>
        <v>2.4122807017543735E-3</v>
      </c>
      <c r="C223" s="5">
        <f>(Cotacoes!C223-Cotacoes!C222)/Cotacoes!C222</f>
        <v>-1.1188811188811062E-2</v>
      </c>
      <c r="D223" s="5">
        <f>(Cotacoes!D223-Cotacoes!D222)/Cotacoes!D222</f>
        <v>2.7322404371584114E-3</v>
      </c>
      <c r="E223" s="5">
        <f>(Cotacoes!E223-Cotacoes!E222)/Cotacoes!E222</f>
        <v>2.9850746268656079E-3</v>
      </c>
      <c r="F223" s="5">
        <f>(Cotacoes!F223-Cotacoes!F222)/Cotacoes!F222</f>
        <v>-3.981797497155673E-3</v>
      </c>
      <c r="G223" s="5">
        <f>(Cotacoes!G223-Cotacoes!G222)/Cotacoes!G222</f>
        <v>5.3533190578159218E-3</v>
      </c>
      <c r="H223" s="5">
        <f>(Cotacoes!H223-Cotacoes!H222)/Cotacoes!H222</f>
        <v>2.3546725533480521E-2</v>
      </c>
      <c r="I223" s="5">
        <f>(Cotacoes!I223-Cotacoes!I222)/Cotacoes!I222</f>
        <v>3.6011080332409962E-2</v>
      </c>
      <c r="J223" s="5">
        <f>(Cotacoes!J223-Cotacoes!J222)/Cotacoes!J222</f>
        <v>7.3175149429451164E-2</v>
      </c>
      <c r="K223" s="5">
        <f>(Cotacoes!K223-Cotacoes!K222)/Cotacoes!K222</f>
        <v>-7.1942446043165359E-3</v>
      </c>
      <c r="L223" s="5">
        <f>(Cotacoes!L223-Cotacoes!L222)/Cotacoes!L222</f>
        <v>1.3686131386861183E-2</v>
      </c>
      <c r="M223" s="5">
        <f>(Cotacoes!M223-Cotacoes!M222)/Cotacoes!M222</f>
        <v>3.7792894935751273E-3</v>
      </c>
      <c r="N223" s="5">
        <f>(Cotacoes!N223-Cotacoes!N222)/Cotacoes!N222</f>
        <v>0</v>
      </c>
      <c r="O223" s="5">
        <f>(Cotacoes!O223-Cotacoes!O222)/Cotacoes!O222</f>
        <v>1.8213356461405105E-2</v>
      </c>
      <c r="P223" s="5">
        <f>(Cotacoes!P223-Cotacoes!P222)/Cotacoes!P222</f>
        <v>1.12755461592671E-2</v>
      </c>
      <c r="Q223" s="5">
        <f>(Cotacoes!Q223-Cotacoes!Q222)/Cotacoes!Q222</f>
        <v>-2.8668427008676028E-2</v>
      </c>
      <c r="R223" s="5">
        <f>(Cotacoes!R223-Cotacoes!R222)/Cotacoes!R222</f>
        <v>1.7680034497628293E-2</v>
      </c>
      <c r="S223" s="5">
        <f>(Cotacoes!S223-Cotacoes!S222)/Cotacoes!S222</f>
        <v>7.9970919665575731E-3</v>
      </c>
      <c r="T223" s="5">
        <f>(Cotacoes!T223-Cotacoes!T222)/Cotacoes!T222</f>
        <v>-2.903600464575497E-4</v>
      </c>
      <c r="U223" s="5">
        <f>(Cotacoes!U223-Cotacoes!U222)/Cotacoes!U222</f>
        <v>2.3340627279358022E-2</v>
      </c>
      <c r="V223" s="5">
        <f>(Cotacoes!V223-Cotacoes!V222)/Cotacoes!V222</f>
        <v>9.572901325478703E-3</v>
      </c>
      <c r="W223" s="5"/>
    </row>
    <row r="224" spans="1:23" x14ac:dyDescent="0.2">
      <c r="A224" s="4">
        <v>44887</v>
      </c>
      <c r="B224" s="5">
        <f>(Cotacoes!B224-Cotacoes!B223)/Cotacoes!B223</f>
        <v>-4.2660249398381164E-3</v>
      </c>
      <c r="C224" s="5">
        <f>(Cotacoes!C224-Cotacoes!C223)/Cotacoes!C223</f>
        <v>2.8288543140028242E-3</v>
      </c>
      <c r="D224" s="5">
        <f>(Cotacoes!D224-Cotacoes!D223)/Cotacoes!D223</f>
        <v>-8.1743869209808737E-3</v>
      </c>
      <c r="E224" s="5">
        <f>(Cotacoes!E224-Cotacoes!E223)/Cotacoes!E223</f>
        <v>-1.6865079365079357E-2</v>
      </c>
      <c r="F224" s="5">
        <f>(Cotacoes!F224-Cotacoes!F223)/Cotacoes!F223</f>
        <v>1.7133066818959212E-3</v>
      </c>
      <c r="G224" s="5">
        <f>(Cotacoes!G224-Cotacoes!G223)/Cotacoes!G223</f>
        <v>-1.490947816826417E-2</v>
      </c>
      <c r="H224" s="5">
        <f>(Cotacoes!H224-Cotacoes!H223)/Cotacoes!H223</f>
        <v>-1.2940330697340022E-2</v>
      </c>
      <c r="I224" s="5">
        <f>(Cotacoes!I224-Cotacoes!I223)/Cotacoes!I223</f>
        <v>-1.4584346135148828E-3</v>
      </c>
      <c r="J224" s="5">
        <f>(Cotacoes!J224-Cotacoes!J223)/Cotacoes!J223</f>
        <v>-6.5822784810126676E-3</v>
      </c>
      <c r="K224" s="5">
        <f>(Cotacoes!K224-Cotacoes!K223)/Cotacoes!K223</f>
        <v>-4.0257648953301696E-3</v>
      </c>
      <c r="L224" s="5">
        <f>(Cotacoes!L224-Cotacoes!L223)/Cotacoes!L223</f>
        <v>-2.700270027002643E-3</v>
      </c>
      <c r="M224" s="5">
        <f>(Cotacoes!M224-Cotacoes!M223)/Cotacoes!M223</f>
        <v>-7.5301204819275508E-4</v>
      </c>
      <c r="N224" s="5">
        <f>(Cotacoes!N224-Cotacoes!N223)/Cotacoes!N223</f>
        <v>-7.7639751552796132E-3</v>
      </c>
      <c r="O224" s="5">
        <f>(Cotacoes!O224-Cotacoes!O223)/Cotacoes!O223</f>
        <v>-8.5178875638841269E-3</v>
      </c>
      <c r="P224" s="5">
        <f>(Cotacoes!P224-Cotacoes!P223)/Cotacoes!P223</f>
        <v>-4.8780487804878248E-3</v>
      </c>
      <c r="Q224" s="5">
        <f>(Cotacoes!Q224-Cotacoes!Q223)/Cotacoes!Q223</f>
        <v>2.9126213592232733E-3</v>
      </c>
      <c r="R224" s="5">
        <f>(Cotacoes!R224-Cotacoes!R223)/Cotacoes!R223</f>
        <v>-3.4745762711864414E-2</v>
      </c>
      <c r="S224" s="5">
        <f>(Cotacoes!S224-Cotacoes!S223)/Cotacoes!S223</f>
        <v>-2.1637216011539387E-3</v>
      </c>
      <c r="T224" s="5">
        <f>(Cotacoes!T224-Cotacoes!T223)/Cotacoes!T223</f>
        <v>2.8463549230322304E-2</v>
      </c>
      <c r="U224" s="5">
        <f>(Cotacoes!U224-Cotacoes!U223)/Cotacoes!U223</f>
        <v>-1.6393442622950723E-2</v>
      </c>
      <c r="V224" s="5">
        <f>(Cotacoes!V224-Cotacoes!V223)/Cotacoes!V223</f>
        <v>-1.7505470459518613E-2</v>
      </c>
      <c r="W224" s="5"/>
    </row>
    <row r="225" spans="1:23" x14ac:dyDescent="0.2">
      <c r="A225" s="4">
        <v>44888</v>
      </c>
      <c r="B225" s="5">
        <f>(Cotacoes!B225-Cotacoes!B224)/Cotacoes!B224</f>
        <v>7.6897726024380069E-4</v>
      </c>
      <c r="C225" s="5">
        <f>(Cotacoes!C225-Cotacoes!C224)/Cotacoes!C224</f>
        <v>9.7163454004075313E-3</v>
      </c>
      <c r="D225" s="5">
        <f>(Cotacoes!D225-Cotacoes!D224)/Cotacoes!D224</f>
        <v>4.807692307692327E-3</v>
      </c>
      <c r="E225" s="5">
        <f>(Cotacoes!E225-Cotacoes!E224)/Cotacoes!E224</f>
        <v>-1.0090817356205817E-2</v>
      </c>
      <c r="F225" s="5">
        <f>(Cotacoes!F225-Cotacoes!F224)/Cotacoes!F224</f>
        <v>5.7012542759415983E-4</v>
      </c>
      <c r="G225" s="5">
        <f>(Cotacoes!G225-Cotacoes!G224)/Cotacoes!G224</f>
        <v>8.1081081081084156E-4</v>
      </c>
      <c r="H225" s="5">
        <f>(Cotacoes!H225-Cotacoes!H224)/Cotacoes!H224</f>
        <v>1.2381646030589943E-2</v>
      </c>
      <c r="I225" s="5">
        <f>(Cotacoes!I225-Cotacoes!I224)/Cotacoes!I224</f>
        <v>-7.3028237585198918E-3</v>
      </c>
      <c r="J225" s="5">
        <f>(Cotacoes!J225-Cotacoes!J224)/Cotacoes!J224</f>
        <v>2.3785253143051403E-3</v>
      </c>
      <c r="K225" s="5">
        <f>(Cotacoes!K225-Cotacoes!K224)/Cotacoes!K224</f>
        <v>-6.4672594987873946E-3</v>
      </c>
      <c r="L225" s="5">
        <f>(Cotacoes!L225-Cotacoes!L224)/Cotacoes!L224</f>
        <v>0</v>
      </c>
      <c r="M225" s="5">
        <f>(Cotacoes!M225-Cotacoes!M224)/Cotacoes!M224</f>
        <v>3.7678975131876951E-3</v>
      </c>
      <c r="N225" s="5">
        <f>(Cotacoes!N225-Cotacoes!N224)/Cotacoes!N224</f>
        <v>-7.8247261345852619E-3</v>
      </c>
      <c r="O225" s="5">
        <f>(Cotacoes!O225-Cotacoes!O224)/Cotacoes!O224</f>
        <v>-1.71821305841936E-3</v>
      </c>
      <c r="P225" s="5">
        <f>(Cotacoes!P225-Cotacoes!P224)/Cotacoes!P224</f>
        <v>-7.7030812324929577E-3</v>
      </c>
      <c r="Q225" s="5">
        <f>(Cotacoes!Q225-Cotacoes!Q224)/Cotacoes!Q224</f>
        <v>-6.582768635043491E-3</v>
      </c>
      <c r="R225" s="5">
        <f>(Cotacoes!R225-Cotacoes!R224)/Cotacoes!R224</f>
        <v>1.0974539069359086E-2</v>
      </c>
      <c r="S225" s="5">
        <f>(Cotacoes!S225-Cotacoes!S224)/Cotacoes!S224</f>
        <v>9.0350560173473073E-3</v>
      </c>
      <c r="T225" s="5">
        <f>(Cotacoes!T225-Cotacoes!T224)/Cotacoes!T224</f>
        <v>-5.6481219994350676E-3</v>
      </c>
      <c r="U225" s="5">
        <f>(Cotacoes!U225-Cotacoes!U224)/Cotacoes!U224</f>
        <v>-2.028985507246385E-2</v>
      </c>
      <c r="V225" s="5">
        <f>(Cotacoes!V225-Cotacoes!V224)/Cotacoes!V224</f>
        <v>3.6005939123979168E-2</v>
      </c>
      <c r="W225" s="5"/>
    </row>
    <row r="226" spans="1:23" x14ac:dyDescent="0.2">
      <c r="A226" s="4">
        <v>44889</v>
      </c>
      <c r="B226" s="5">
        <f>(Cotacoes!B226-Cotacoes!B225)/Cotacoes!B225</f>
        <v>2.9857299670691537E-2</v>
      </c>
      <c r="C226" s="5">
        <f>(Cotacoes!C226-Cotacoes!C225)/Cotacoes!C225</f>
        <v>6.5187024677943106E-3</v>
      </c>
      <c r="D226" s="5">
        <f>(Cotacoes!D226-Cotacoes!D225)/Cotacoes!D225</f>
        <v>3.4859876965140105E-2</v>
      </c>
      <c r="E226" s="5">
        <f>(Cotacoes!E226-Cotacoes!E225)/Cotacoes!E225</f>
        <v>3.5677879714576921E-2</v>
      </c>
      <c r="F226" s="5">
        <f>(Cotacoes!F226-Cotacoes!F225)/Cotacoes!F225</f>
        <v>3.8746438746438731E-2</v>
      </c>
      <c r="G226" s="5">
        <f>(Cotacoes!G226-Cotacoes!G225)/Cotacoes!G225</f>
        <v>2.106400216041051E-2</v>
      </c>
      <c r="H226" s="5">
        <f>(Cotacoes!H226-Cotacoes!H225)/Cotacoes!H225</f>
        <v>1.6546762589928089E-2</v>
      </c>
      <c r="I226" s="5">
        <f>(Cotacoes!I226-Cotacoes!I225)/Cotacoes!I225</f>
        <v>3.4820990681706757E-2</v>
      </c>
      <c r="J226" s="5">
        <f>(Cotacoes!J226-Cotacoes!J225)/Cotacoes!J225</f>
        <v>2.5084745762711812E-2</v>
      </c>
      <c r="K226" s="5">
        <f>(Cotacoes!K226-Cotacoes!K225)/Cotacoes!K225</f>
        <v>1.9528071602929228E-2</v>
      </c>
      <c r="L226" s="5">
        <f>(Cotacoes!L226-Cotacoes!L225)/Cotacoes!L225</f>
        <v>5.5054151624548686E-2</v>
      </c>
      <c r="M226" s="5">
        <f>(Cotacoes!M226-Cotacoes!M225)/Cotacoes!M225</f>
        <v>2.0270270270270237E-2</v>
      </c>
      <c r="N226" s="5">
        <f>(Cotacoes!N226-Cotacoes!N225)/Cotacoes!N225</f>
        <v>3.3123028391167188E-2</v>
      </c>
      <c r="O226" s="5">
        <f>(Cotacoes!O226-Cotacoes!O225)/Cotacoes!O225</f>
        <v>1.6781411359724639E-2</v>
      </c>
      <c r="P226" s="5">
        <f>(Cotacoes!P226-Cotacoes!P225)/Cotacoes!P225</f>
        <v>2.2582921665490491E-2</v>
      </c>
      <c r="Q226" s="5">
        <f>(Cotacoes!Q226-Cotacoes!Q225)/Cotacoes!Q225</f>
        <v>4.2876632235431464E-3</v>
      </c>
      <c r="R226" s="5">
        <f>(Cotacoes!R226-Cotacoes!R225)/Cotacoes!R225</f>
        <v>4.2553191489361722E-2</v>
      </c>
      <c r="S226" s="5">
        <f>(Cotacoes!S226-Cotacoes!S225)/Cotacoes!S225</f>
        <v>2.5787965616045804E-2</v>
      </c>
      <c r="T226" s="5">
        <f>(Cotacoes!T226-Cotacoes!T225)/Cotacoes!T225</f>
        <v>3.5217267821641633E-2</v>
      </c>
      <c r="U226" s="5">
        <f>(Cotacoes!U226-Cotacoes!U225)/Cotacoes!U225</f>
        <v>3.3838757396449676E-2</v>
      </c>
      <c r="V226" s="5">
        <f>(Cotacoes!V226-Cotacoes!V225)/Cotacoes!V225</f>
        <v>6.9150841992117504E-2</v>
      </c>
      <c r="W226" s="5"/>
    </row>
    <row r="227" spans="1:23" x14ac:dyDescent="0.2">
      <c r="A227" s="4">
        <v>44890</v>
      </c>
      <c r="B227" s="5">
        <f>(Cotacoes!B227-Cotacoes!B226)/Cotacoes!B226</f>
        <v>-2.5047964186740507E-2</v>
      </c>
      <c r="C227" s="5">
        <f>(Cotacoes!C227-Cotacoes!C226)/Cotacoes!C226</f>
        <v>-6.7848882035466121E-3</v>
      </c>
      <c r="D227" s="5">
        <f>(Cotacoes!D227-Cotacoes!D226)/Cotacoes!D226</f>
        <v>-1.6512549537648611E-2</v>
      </c>
      <c r="E227" s="5">
        <f>(Cotacoes!E227-Cotacoes!E226)/Cotacoes!E226</f>
        <v>-3.4940944881889806E-2</v>
      </c>
      <c r="F227" s="5">
        <f>(Cotacoes!F227-Cotacoes!F226)/Cotacoes!F226</f>
        <v>-2.2490400438837089E-2</v>
      </c>
      <c r="G227" s="5">
        <f>(Cotacoes!G227-Cotacoes!G226)/Cotacoes!G226</f>
        <v>-1.639777836551189E-2</v>
      </c>
      <c r="H227" s="5">
        <f>(Cotacoes!H227-Cotacoes!H226)/Cotacoes!H226</f>
        <v>-2.3354564755838646E-2</v>
      </c>
      <c r="I227" s="5">
        <f>(Cotacoes!I227-Cotacoes!I226)/Cotacoes!I226</f>
        <v>-3.1279620853080572E-2</v>
      </c>
      <c r="J227" s="5">
        <f>(Cotacoes!J227-Cotacoes!J226)/Cotacoes!J226</f>
        <v>-6.4484126984125905E-3</v>
      </c>
      <c r="K227" s="5">
        <f>(Cotacoes!K227-Cotacoes!K226)/Cotacoes!K226</f>
        <v>-1.8355945730247299E-2</v>
      </c>
      <c r="L227" s="5">
        <f>(Cotacoes!L227-Cotacoes!L226)/Cotacoes!L226</f>
        <v>-4.7904191616766359E-2</v>
      </c>
      <c r="M227" s="5">
        <f>(Cotacoes!M227-Cotacoes!M226)/Cotacoes!M226</f>
        <v>-1.6924208977189142E-2</v>
      </c>
      <c r="N227" s="5">
        <f>(Cotacoes!N227-Cotacoes!N226)/Cotacoes!N226</f>
        <v>-2.1374045801526669E-2</v>
      </c>
      <c r="O227" s="5">
        <f>(Cotacoes!O227-Cotacoes!O226)/Cotacoes!O226</f>
        <v>-1.3118916631400707E-2</v>
      </c>
      <c r="P227" s="5">
        <f>(Cotacoes!P227-Cotacoes!P226)/Cotacoes!P226</f>
        <v>-1.3112491373360903E-2</v>
      </c>
      <c r="Q227" s="5">
        <f>(Cotacoes!Q227-Cotacoes!Q226)/Cotacoes!Q226</f>
        <v>-1.804773918105957E-2</v>
      </c>
      <c r="R227" s="5">
        <f>(Cotacoes!R227-Cotacoes!R226)/Cotacoes!R226</f>
        <v>-4.3315285297792695E-2</v>
      </c>
      <c r="S227" s="5">
        <f>(Cotacoes!S227-Cotacoes!S226)/Cotacoes!S226</f>
        <v>-3.9804469273743037E-2</v>
      </c>
      <c r="T227" s="5">
        <f>(Cotacoes!T227-Cotacoes!T226)/Cotacoes!T226</f>
        <v>-5.1028806584362117E-2</v>
      </c>
      <c r="U227" s="5">
        <f>(Cotacoes!U227-Cotacoes!U226)/Cotacoes!U226</f>
        <v>-4.7755321051690121E-2</v>
      </c>
      <c r="V227" s="5">
        <f>(Cotacoes!V227-Cotacoes!V226)/Cotacoes!V226</f>
        <v>-5.4959785522788226E-2</v>
      </c>
      <c r="W227" s="5"/>
    </row>
    <row r="228" spans="1:23" x14ac:dyDescent="0.2">
      <c r="A228" s="4">
        <v>44893</v>
      </c>
      <c r="B228" s="5">
        <f>(Cotacoes!B228-Cotacoes!B227)/Cotacoes!B227</f>
        <v>-8.7460369520059355E-4</v>
      </c>
      <c r="C228" s="5">
        <f>(Cotacoes!C228-Cotacoes!C227)/Cotacoes!C227</f>
        <v>4.9681726439994942E-3</v>
      </c>
      <c r="D228" s="5">
        <f>(Cotacoes!D228-Cotacoes!D227)/Cotacoes!D227</f>
        <v>2.1490933512424464E-2</v>
      </c>
      <c r="E228" s="5">
        <f>(Cotacoes!E228-Cotacoes!E227)/Cotacoes!E227</f>
        <v>-1.8357980622131537E-2</v>
      </c>
      <c r="F228" s="5">
        <f>(Cotacoes!F228-Cotacoes!F227)/Cotacoes!F227</f>
        <v>2.469135802469143E-2</v>
      </c>
      <c r="G228" s="5">
        <f>(Cotacoes!G228-Cotacoes!G227)/Cotacoes!G227</f>
        <v>-4.1140091422425418E-2</v>
      </c>
      <c r="H228" s="5">
        <f>(Cotacoes!H228-Cotacoes!H227)/Cotacoes!H227</f>
        <v>1.8115942028985508E-2</v>
      </c>
      <c r="I228" s="5">
        <f>(Cotacoes!I228-Cotacoes!I227)/Cotacoes!I227</f>
        <v>8.5616438356162991E-3</v>
      </c>
      <c r="J228" s="5">
        <f>(Cotacoes!J228-Cotacoes!J227)/Cotacoes!J227</f>
        <v>1.3313363288400448E-3</v>
      </c>
      <c r="K228" s="5">
        <f>(Cotacoes!K228-Cotacoes!K227)/Cotacoes!K227</f>
        <v>-8.1300813008142788E-4</v>
      </c>
      <c r="L228" s="5">
        <f>(Cotacoes!L228-Cotacoes!L227)/Cotacoes!L227</f>
        <v>2.6954177897573549E-3</v>
      </c>
      <c r="M228" s="5">
        <f>(Cotacoes!M228-Cotacoes!M227)/Cotacoes!M227</f>
        <v>8.9820359281437868E-3</v>
      </c>
      <c r="N228" s="5">
        <f>(Cotacoes!N228-Cotacoes!N227)/Cotacoes!N227</f>
        <v>-7.8003120124804717E-3</v>
      </c>
      <c r="O228" s="5">
        <f>(Cotacoes!O228-Cotacoes!O227)/Cotacoes!O227</f>
        <v>-2.4442538593482003E-2</v>
      </c>
      <c r="P228" s="5">
        <f>(Cotacoes!P228-Cotacoes!P227)/Cotacoes!P227</f>
        <v>-2.0279720279720342E-2</v>
      </c>
      <c r="Q228" s="5">
        <f>(Cotacoes!Q228-Cotacoes!Q227)/Cotacoes!Q227</f>
        <v>0</v>
      </c>
      <c r="R228" s="5">
        <f>(Cotacoes!R228-Cotacoes!R227)/Cotacoes!R227</f>
        <v>-6.0949063996517446E-3</v>
      </c>
      <c r="S228" s="5">
        <f>(Cotacoes!S228-Cotacoes!S227)/Cotacoes!S227</f>
        <v>-1.0909090909090934E-2</v>
      </c>
      <c r="T228" s="5">
        <f>(Cotacoes!T228-Cotacoes!T227)/Cotacoes!T227</f>
        <v>7.2275224053194561E-3</v>
      </c>
      <c r="U228" s="5">
        <f>(Cotacoes!U228-Cotacoes!U227)/Cotacoes!U227</f>
        <v>1.5026296018031235E-3</v>
      </c>
      <c r="V228" s="5">
        <f>(Cotacoes!V228-Cotacoes!V227)/Cotacoes!V227</f>
        <v>-1.3120567375886561E-2</v>
      </c>
      <c r="W228" s="5"/>
    </row>
    <row r="229" spans="1:23" x14ac:dyDescent="0.2">
      <c r="A229" s="4">
        <v>44894</v>
      </c>
      <c r="B229" s="5">
        <f>(Cotacoes!B229-Cotacoes!B228)/Cotacoes!B228</f>
        <v>1.7397964766385856E-2</v>
      </c>
      <c r="C229" s="5">
        <f>(Cotacoes!C229-Cotacoes!C228)/Cotacoes!C228</f>
        <v>3.862196817549822E-2</v>
      </c>
      <c r="D229" s="5">
        <f>(Cotacoes!D229-Cotacoes!D228)/Cotacoes!D228</f>
        <v>4.14201183431952E-2</v>
      </c>
      <c r="E229" s="5">
        <f>(Cotacoes!E229-Cotacoes!E228)/Cotacoes!E228</f>
        <v>8.8311688311689205E-3</v>
      </c>
      <c r="F229" s="5">
        <f>(Cotacoes!F229-Cotacoes!F228)/Cotacoes!F228</f>
        <v>4.2716319824753421E-2</v>
      </c>
      <c r="G229" s="5">
        <f>(Cotacoes!G229-Cotacoes!G228)/Cotacoes!G228</f>
        <v>5.6085249579361429E-3</v>
      </c>
      <c r="H229" s="5">
        <f>(Cotacoes!H229-Cotacoes!H228)/Cotacoes!H228</f>
        <v>1.2099644128113873E-2</v>
      </c>
      <c r="I229" s="5">
        <f>(Cotacoes!I229-Cotacoes!I228)/Cotacoes!I228</f>
        <v>1.7463012369633907E-2</v>
      </c>
      <c r="J229" s="5">
        <f>(Cotacoes!J229-Cotacoes!J228)/Cotacoes!J228</f>
        <v>-5.4844606946983258E-3</v>
      </c>
      <c r="K229" s="5">
        <f>(Cotacoes!K229-Cotacoes!K228)/Cotacoes!K228</f>
        <v>1.1391375101708753E-2</v>
      </c>
      <c r="L229" s="5">
        <f>(Cotacoes!L229-Cotacoes!L228)/Cotacoes!L228</f>
        <v>3.8530465949820764E-2</v>
      </c>
      <c r="M229" s="5">
        <f>(Cotacoes!M229-Cotacoes!M228)/Cotacoes!M228</f>
        <v>-9.6439169139466447E-3</v>
      </c>
      <c r="N229" s="5">
        <f>(Cotacoes!N229-Cotacoes!N228)/Cotacoes!N228</f>
        <v>3.1446540880502474E-3</v>
      </c>
      <c r="O229" s="5">
        <f>(Cotacoes!O229-Cotacoes!O228)/Cotacoes!O228</f>
        <v>-1.274725274725271E-2</v>
      </c>
      <c r="P229" s="5">
        <f>(Cotacoes!P229-Cotacoes!P228)/Cotacoes!P228</f>
        <v>-3.6402569593147735E-2</v>
      </c>
      <c r="Q229" s="5">
        <f>(Cotacoes!Q229-Cotacoes!Q228)/Cotacoes!Q228</f>
        <v>-2.9644268774703556E-2</v>
      </c>
      <c r="R229" s="5">
        <f>(Cotacoes!R229-Cotacoes!R228)/Cotacoes!R228</f>
        <v>2.2777047744196373E-2</v>
      </c>
      <c r="S229" s="5">
        <f>(Cotacoes!S229-Cotacoes!S228)/Cotacoes!S228</f>
        <v>8.4558823529411915E-3</v>
      </c>
      <c r="T229" s="5">
        <f>(Cotacoes!T229-Cotacoes!T228)/Cotacoes!T228</f>
        <v>1.0907003444316745E-2</v>
      </c>
      <c r="U229" s="5">
        <f>(Cotacoes!U229-Cotacoes!U228)/Cotacoes!U228</f>
        <v>3.1882970742685722E-2</v>
      </c>
      <c r="V229" s="5">
        <f>(Cotacoes!V229-Cotacoes!V228)/Cotacoes!V228</f>
        <v>3.3417175709665944E-2</v>
      </c>
      <c r="W229" s="5"/>
    </row>
    <row r="230" spans="1:23" x14ac:dyDescent="0.2">
      <c r="A230" s="4">
        <v>44895</v>
      </c>
      <c r="B230" s="5">
        <f>(Cotacoes!B230-Cotacoes!B229)/Cotacoes!B229</f>
        <v>1.1830501183050056E-2</v>
      </c>
      <c r="C230" s="5">
        <f>(Cotacoes!C230-Cotacoes!C229)/Cotacoes!C229</f>
        <v>1.5023055183697618E-2</v>
      </c>
      <c r="D230" s="5">
        <f>(Cotacoes!D230-Cotacoes!D229)/Cotacoes!D229</f>
        <v>5.0505050505050553E-2</v>
      </c>
      <c r="E230" s="5">
        <f>(Cotacoes!E230-Cotacoes!E229)/Cotacoes!E229</f>
        <v>9.7837281153448866E-3</v>
      </c>
      <c r="F230" s="5">
        <f>(Cotacoes!F230-Cotacoes!F229)/Cotacoes!F229</f>
        <v>3.4663865546218496E-2</v>
      </c>
      <c r="G230" s="5">
        <f>(Cotacoes!G230-Cotacoes!G229)/Cotacoes!G229</f>
        <v>3.4300055772448525E-2</v>
      </c>
      <c r="H230" s="5">
        <f>(Cotacoes!H230-Cotacoes!H229)/Cotacoes!H229</f>
        <v>7.0323488045005527E-4</v>
      </c>
      <c r="I230" s="5">
        <f>(Cotacoes!I230-Cotacoes!I229)/Cotacoes!I229</f>
        <v>2.1215733015494648E-2</v>
      </c>
      <c r="J230" s="5">
        <f>(Cotacoes!J230-Cotacoes!J229)/Cotacoes!J229</f>
        <v>7.5200534759357575E-3</v>
      </c>
      <c r="K230" s="5">
        <f>(Cotacoes!K230-Cotacoes!K229)/Cotacoes!K229</f>
        <v>4.8270313757039825E-3</v>
      </c>
      <c r="L230" s="5">
        <f>(Cotacoes!L230-Cotacoes!L229)/Cotacoes!L229</f>
        <v>1.4667817083692832E-2</v>
      </c>
      <c r="M230" s="5">
        <f>(Cotacoes!M230-Cotacoes!M229)/Cotacoes!M229</f>
        <v>1.0486891385767833E-2</v>
      </c>
      <c r="N230" s="5">
        <f>(Cotacoes!N230-Cotacoes!N229)/Cotacoes!N229</f>
        <v>1.0971786833855844E-2</v>
      </c>
      <c r="O230" s="5">
        <f>(Cotacoes!O230-Cotacoes!O229)/Cotacoes!O229</f>
        <v>-1.8254674977738208E-2</v>
      </c>
      <c r="P230" s="5">
        <f>(Cotacoes!P230-Cotacoes!P229)/Cotacoes!P229</f>
        <v>2.9629629629628999E-3</v>
      </c>
      <c r="Q230" s="5">
        <f>(Cotacoes!Q230-Cotacoes!Q229)/Cotacoes!Q229</f>
        <v>-3.0549898167005819E-3</v>
      </c>
      <c r="R230" s="5">
        <f>(Cotacoes!R230-Cotacoes!R229)/Cotacoes!R229</f>
        <v>4.71092077087792E-3</v>
      </c>
      <c r="S230" s="5">
        <f>(Cotacoes!S230-Cotacoes!S229)/Cotacoes!S229</f>
        <v>4.3747721472840321E-3</v>
      </c>
      <c r="T230" s="5">
        <f>(Cotacoes!T230-Cotacoes!T229)/Cotacoes!T229</f>
        <v>2.1862578080636092E-2</v>
      </c>
      <c r="U230" s="5">
        <f>(Cotacoes!U230-Cotacoes!U229)/Cotacoes!U229</f>
        <v>-5.2708106143221781E-3</v>
      </c>
      <c r="V230" s="5">
        <f>(Cotacoes!V230-Cotacoes!V229)/Cotacoes!V229</f>
        <v>2.7468706536856714E-2</v>
      </c>
      <c r="W230" s="5"/>
    </row>
    <row r="231" spans="1:23" x14ac:dyDescent="0.2">
      <c r="A231" s="4">
        <v>44896</v>
      </c>
      <c r="B231" s="5">
        <f>(Cotacoes!B231-Cotacoes!B230)/Cotacoes!B230</f>
        <v>-1.0416666666666709E-2</v>
      </c>
      <c r="C231" s="5">
        <f>(Cotacoes!C231-Cotacoes!C230)/Cotacoes!C230</f>
        <v>5.4220398593201142E-3</v>
      </c>
      <c r="D231" s="5">
        <f>(Cotacoes!D231-Cotacoes!D230)/Cotacoes!D230</f>
        <v>-4.0264423076923073E-2</v>
      </c>
      <c r="E231" s="5">
        <f>(Cotacoes!E231-Cotacoes!E230)/Cotacoes!E230</f>
        <v>0</v>
      </c>
      <c r="F231" s="5">
        <f>(Cotacoes!F231-Cotacoes!F230)/Cotacoes!F230</f>
        <v>-3.7563451776649666E-2</v>
      </c>
      <c r="G231" s="5">
        <f>(Cotacoes!G231-Cotacoes!G230)/Cotacoes!G230</f>
        <v>-1.7794553788083138E-2</v>
      </c>
      <c r="H231" s="5">
        <f>(Cotacoes!H231-Cotacoes!H230)/Cotacoes!H230</f>
        <v>-7.0274068868585995E-4</v>
      </c>
      <c r="I231" s="5">
        <f>(Cotacoes!I231-Cotacoes!I230)/Cotacoes!I230</f>
        <v>-2.9645191409897364E-2</v>
      </c>
      <c r="J231" s="5">
        <f>(Cotacoes!J231-Cotacoes!J230)/Cotacoes!J230</f>
        <v>-9.9518991540889501E-4</v>
      </c>
      <c r="K231" s="5">
        <f>(Cotacoes!K231-Cotacoes!K230)/Cotacoes!K230</f>
        <v>-1.2009607686148947E-2</v>
      </c>
      <c r="L231" s="5">
        <f>(Cotacoes!L231-Cotacoes!L230)/Cotacoes!L230</f>
        <v>-2.5510204081632563E-2</v>
      </c>
      <c r="M231" s="5">
        <f>(Cotacoes!M231-Cotacoes!M230)/Cotacoes!M230</f>
        <v>9.6367679762786509E-3</v>
      </c>
      <c r="N231" s="5">
        <f>(Cotacoes!N231-Cotacoes!N230)/Cotacoes!N230</f>
        <v>-1.5503875968992331E-2</v>
      </c>
      <c r="O231" s="5">
        <f>(Cotacoes!O231-Cotacoes!O230)/Cotacoes!O230</f>
        <v>-2.1768707482993217E-2</v>
      </c>
      <c r="P231" s="5">
        <f>(Cotacoes!P231-Cotacoes!P230)/Cotacoes!P230</f>
        <v>2.2895125553914365E-2</v>
      </c>
      <c r="Q231" s="5">
        <f>(Cotacoes!Q231-Cotacoes!Q230)/Cotacoes!Q230</f>
        <v>4.0858018386100142E-4</v>
      </c>
      <c r="R231" s="5">
        <f>(Cotacoes!R231-Cotacoes!R230)/Cotacoes!R230</f>
        <v>-7.246376811594275E-3</v>
      </c>
      <c r="S231" s="5">
        <f>(Cotacoes!S231-Cotacoes!S230)/Cotacoes!S230</f>
        <v>-6.5335753176043454E-3</v>
      </c>
      <c r="T231" s="5">
        <f>(Cotacoes!T231-Cotacoes!T230)/Cotacoes!T230</f>
        <v>1.8060572381216965E-2</v>
      </c>
      <c r="U231" s="5">
        <f>(Cotacoes!U231-Cotacoes!U230)/Cotacoes!U230</f>
        <v>-3.4350447652110282E-2</v>
      </c>
      <c r="V231" s="5">
        <f>(Cotacoes!V231-Cotacoes!V230)/Cotacoes!V230</f>
        <v>-2.4365482233502621E-2</v>
      </c>
      <c r="W231" s="5"/>
    </row>
    <row r="232" spans="1:23" x14ac:dyDescent="0.2">
      <c r="A232" s="4">
        <v>44897</v>
      </c>
      <c r="B232" s="5">
        <f>(Cotacoes!B232-Cotacoes!B231)/Cotacoes!B231</f>
        <v>7.5187969924812338E-3</v>
      </c>
      <c r="C232" s="5">
        <f>(Cotacoes!C232-Cotacoes!C231)/Cotacoes!C231</f>
        <v>7.2875674099985429E-3</v>
      </c>
      <c r="D232" s="5">
        <f>(Cotacoes!D232-Cotacoes!D231)/Cotacoes!D231</f>
        <v>1.2523481527864812E-2</v>
      </c>
      <c r="E232" s="5">
        <f>(Cotacoes!E232-Cotacoes!E231)/Cotacoes!E231</f>
        <v>1.3258541560428433E-2</v>
      </c>
      <c r="F232" s="5">
        <f>(Cotacoes!F232-Cotacoes!F231)/Cotacoes!F231</f>
        <v>1.3185654008438817E-2</v>
      </c>
      <c r="G232" s="5">
        <f>(Cotacoes!G232-Cotacoes!G231)/Cotacoes!G231</f>
        <v>9.3329673346144223E-3</v>
      </c>
      <c r="H232" s="5">
        <f>(Cotacoes!H232-Cotacoes!H231)/Cotacoes!H231</f>
        <v>2.180028129395209E-2</v>
      </c>
      <c r="I232" s="5">
        <f>(Cotacoes!I232-Cotacoes!I231)/Cotacoes!I231</f>
        <v>-4.5706038008178941E-2</v>
      </c>
      <c r="J232" s="5">
        <f>(Cotacoes!J232-Cotacoes!J231)/Cotacoes!J231</f>
        <v>8.9656317449776906E-3</v>
      </c>
      <c r="K232" s="5">
        <f>(Cotacoes!K232-Cotacoes!K231)/Cotacoes!K231</f>
        <v>-8.1037277147486117E-4</v>
      </c>
      <c r="L232" s="5">
        <f>(Cotacoes!L232-Cotacoes!L231)/Cotacoes!L231</f>
        <v>2.3560209424083732E-2</v>
      </c>
      <c r="M232" s="5">
        <f>(Cotacoes!M232-Cotacoes!M231)/Cotacoes!M231</f>
        <v>1.5418502202643236E-2</v>
      </c>
      <c r="N232" s="5">
        <f>(Cotacoes!N232-Cotacoes!N231)/Cotacoes!N231</f>
        <v>4.7244094488189375E-3</v>
      </c>
      <c r="O232" s="5">
        <f>(Cotacoes!O232-Cotacoes!O231)/Cotacoes!O231</f>
        <v>3.0134445989800581E-2</v>
      </c>
      <c r="P232" s="5">
        <f>(Cotacoes!P232-Cotacoes!P231)/Cotacoes!P231</f>
        <v>8.6642599277979068E-3</v>
      </c>
      <c r="Q232" s="5">
        <f>(Cotacoes!Q232-Cotacoes!Q231)/Cotacoes!Q231</f>
        <v>-3.3694098427608711E-2</v>
      </c>
      <c r="R232" s="5">
        <f>(Cotacoes!R232-Cotacoes!R231)/Cotacoes!R231</f>
        <v>2.4903392013739884E-2</v>
      </c>
      <c r="S232" s="5">
        <f>(Cotacoes!S232-Cotacoes!S231)/Cotacoes!S231</f>
        <v>-5.8458165875045721E-3</v>
      </c>
      <c r="T232" s="5">
        <f>(Cotacoes!T232-Cotacoes!T231)/Cotacoes!T231</f>
        <v>-2.7292576419208546E-4</v>
      </c>
      <c r="U232" s="5">
        <f>(Cotacoes!U232-Cotacoes!U231)/Cotacoes!U231</f>
        <v>1.4380321665089839E-2</v>
      </c>
      <c r="V232" s="5">
        <f>(Cotacoes!V232-Cotacoes!V231)/Cotacoes!V231</f>
        <v>1.3527575442247679E-2</v>
      </c>
      <c r="W232" s="5"/>
    </row>
    <row r="233" spans="1:23" x14ac:dyDescent="0.2">
      <c r="A233" s="4">
        <v>44900</v>
      </c>
      <c r="B233" s="5">
        <f>(Cotacoes!B233-Cotacoes!B232)/Cotacoes!B232</f>
        <v>-2.4520255863539415E-2</v>
      </c>
      <c r="C233" s="5">
        <f>(Cotacoes!C233-Cotacoes!C232)/Cotacoes!C232</f>
        <v>-1.0128780205468555E-3</v>
      </c>
      <c r="D233" s="5">
        <f>(Cotacoes!D233-Cotacoes!D232)/Cotacoes!D232</f>
        <v>-1.1131725417439795E-2</v>
      </c>
      <c r="E233" s="5">
        <f>(Cotacoes!E233-Cotacoes!E232)/Cotacoes!E232</f>
        <v>-2.9189733266230589E-2</v>
      </c>
      <c r="F233" s="5">
        <f>(Cotacoes!F233-Cotacoes!F232)/Cotacoes!F232</f>
        <v>-1.3534617386777801E-2</v>
      </c>
      <c r="G233" s="5">
        <f>(Cotacoes!G233-Cotacoes!G232)/Cotacoes!G232</f>
        <v>-2.7468044601577511E-2</v>
      </c>
      <c r="H233" s="5">
        <f>(Cotacoes!H233-Cotacoes!H232)/Cotacoes!H232</f>
        <v>-2.2711631108052313E-2</v>
      </c>
      <c r="I233" s="5">
        <f>(Cotacoes!I233-Cotacoes!I232)/Cotacoes!I232</f>
        <v>-2.2435089488278308E-2</v>
      </c>
      <c r="J233" s="5">
        <f>(Cotacoes!J233-Cotacoes!J232)/Cotacoes!J232</f>
        <v>-2.534145137403334E-2</v>
      </c>
      <c r="K233" s="5">
        <f>(Cotacoes!K233-Cotacoes!K232)/Cotacoes!K232</f>
        <v>-3.7307380373073872E-2</v>
      </c>
      <c r="L233" s="5">
        <f>(Cotacoes!L233-Cotacoes!L232)/Cotacoes!L232</f>
        <v>-4.3478260869565195E-2</v>
      </c>
      <c r="M233" s="5">
        <f>(Cotacoes!M233-Cotacoes!M232)/Cotacoes!M232</f>
        <v>-1.8799710773680388E-2</v>
      </c>
      <c r="N233" s="5">
        <f>(Cotacoes!N233-Cotacoes!N232)/Cotacoes!N232</f>
        <v>-2.194357366771155E-2</v>
      </c>
      <c r="O233" s="5">
        <f>(Cotacoes!O233-Cotacoes!O232)/Cotacoes!O232</f>
        <v>-3.9153915391539042E-2</v>
      </c>
      <c r="P233" s="5">
        <f>(Cotacoes!P233-Cotacoes!P232)/Cotacoes!P232</f>
        <v>-3.1496062992126074E-2</v>
      </c>
      <c r="Q233" s="5">
        <f>(Cotacoes!Q233-Cotacoes!Q232)/Cotacoes!Q232</f>
        <v>2.1978021978021959E-2</v>
      </c>
      <c r="R233" s="5">
        <f>(Cotacoes!R233-Cotacoes!R232)/Cotacoes!R232</f>
        <v>-4.6082949308755818E-2</v>
      </c>
      <c r="S233" s="5">
        <f>(Cotacoes!S233-Cotacoes!S232)/Cotacoes!S232</f>
        <v>-2.7195883866225724E-2</v>
      </c>
      <c r="T233" s="5">
        <f>(Cotacoes!T233-Cotacoes!T232)/Cotacoes!T232</f>
        <v>-1.8291018291018337E-2</v>
      </c>
      <c r="U233" s="5">
        <f>(Cotacoes!U233-Cotacoes!U232)/Cotacoes!U232</f>
        <v>-4.308897593732517E-2</v>
      </c>
      <c r="V233" s="5">
        <f>(Cotacoes!V233-Cotacoes!V232)/Cotacoes!V232</f>
        <v>-5.0308008213552323E-2</v>
      </c>
      <c r="W233" s="5"/>
    </row>
    <row r="234" spans="1:23" x14ac:dyDescent="0.2">
      <c r="A234" s="4">
        <v>44901</v>
      </c>
      <c r="B234" s="5">
        <f>(Cotacoes!B234-Cotacoes!B233)/Cotacoes!B233</f>
        <v>3.6065573770491617E-3</v>
      </c>
      <c r="C234" s="5">
        <f>(Cotacoes!C234-Cotacoes!C233)/Cotacoes!C233</f>
        <v>1.4484356894553881E-2</v>
      </c>
      <c r="D234" s="5">
        <f>(Cotacoes!D234-Cotacoes!D233)/Cotacoes!D233</f>
        <v>6.2539086929329498E-4</v>
      </c>
      <c r="E234" s="5">
        <f>(Cotacoes!E234-Cotacoes!E233)/Cotacoes!E233</f>
        <v>2.3328149300155487E-2</v>
      </c>
      <c r="F234" s="5">
        <f>(Cotacoes!F234-Cotacoes!F233)/Cotacoes!F233</f>
        <v>-1.5831134564642526E-3</v>
      </c>
      <c r="G234" s="5">
        <f>(Cotacoes!G234-Cotacoes!G233)/Cotacoes!G233</f>
        <v>2.796420581655521E-3</v>
      </c>
      <c r="H234" s="5">
        <f>(Cotacoes!H234-Cotacoes!H233)/Cotacoes!H233</f>
        <v>9.8591549295775054E-3</v>
      </c>
      <c r="I234" s="5">
        <f>(Cotacoes!I234-Cotacoes!I233)/Cotacoes!I233</f>
        <v>5.6730273336771239E-3</v>
      </c>
      <c r="J234" s="5">
        <f>(Cotacoes!J234-Cotacoes!J233)/Cotacoes!J233</f>
        <v>-4.4909674151612303E-2</v>
      </c>
      <c r="K234" s="5">
        <f>(Cotacoes!K234-Cotacoes!K233)/Cotacoes!K233</f>
        <v>2.3588879528222507E-2</v>
      </c>
      <c r="L234" s="5">
        <f>(Cotacoes!L234-Cotacoes!L233)/Cotacoes!L233</f>
        <v>2.6737967914437933E-3</v>
      </c>
      <c r="M234" s="5">
        <f>(Cotacoes!M234-Cotacoes!M233)/Cotacoes!M233</f>
        <v>2.2107590272659808E-3</v>
      </c>
      <c r="N234" s="5">
        <f>(Cotacoes!N234-Cotacoes!N233)/Cotacoes!N233</f>
        <v>8.0128205128204844E-3</v>
      </c>
      <c r="O234" s="5">
        <f>(Cotacoes!O234-Cotacoes!O233)/Cotacoes!O233</f>
        <v>-2.6697892271662776E-2</v>
      </c>
      <c r="P234" s="5">
        <f>(Cotacoes!P234-Cotacoes!P233)/Cotacoes!P233</f>
        <v>6.6518847006651781E-3</v>
      </c>
      <c r="Q234" s="5">
        <f>(Cotacoes!Q234-Cotacoes!Q233)/Cotacoes!Q233</f>
        <v>1.5095119933829693E-2</v>
      </c>
      <c r="R234" s="5">
        <f>(Cotacoes!R234-Cotacoes!R233)/Cotacoes!R233</f>
        <v>-4.3917435221774311E-4</v>
      </c>
      <c r="S234" s="5">
        <f>(Cotacoes!S234-Cotacoes!S233)/Cotacoes!S233</f>
        <v>7.5557234605211842E-4</v>
      </c>
      <c r="T234" s="5">
        <f>(Cotacoes!T234-Cotacoes!T233)/Cotacoes!T233</f>
        <v>-3.8375973303670818E-2</v>
      </c>
      <c r="U234" s="5">
        <f>(Cotacoes!U234-Cotacoes!U233)/Cotacoes!U233</f>
        <v>-4.2884990253411089E-3</v>
      </c>
      <c r="V234" s="5">
        <f>(Cotacoes!V234-Cotacoes!V233)/Cotacoes!V233</f>
        <v>-8.2882882882883042E-3</v>
      </c>
      <c r="W234" s="5"/>
    </row>
    <row r="235" spans="1:23" x14ac:dyDescent="0.2">
      <c r="A235" s="4">
        <v>44902</v>
      </c>
      <c r="B235" s="5">
        <f>(Cotacoes!B235-Cotacoes!B234)/Cotacoes!B234</f>
        <v>-3.1580093651311343E-3</v>
      </c>
      <c r="C235" s="5">
        <f>(Cotacoes!C235-Cotacoes!C234)/Cotacoes!C234</f>
        <v>-3.5551113649343359E-2</v>
      </c>
      <c r="D235" s="5">
        <f>(Cotacoes!D235-Cotacoes!D234)/Cotacoes!D234</f>
        <v>-1.1249999999999982E-2</v>
      </c>
      <c r="E235" s="5">
        <f>(Cotacoes!E235-Cotacoes!E234)/Cotacoes!E234</f>
        <v>-7.5987841945288036E-3</v>
      </c>
      <c r="F235" s="5">
        <f>(Cotacoes!F235-Cotacoes!F234)/Cotacoes!F234</f>
        <v>-1.532769556025384E-2</v>
      </c>
      <c r="G235" s="5">
        <f>(Cotacoes!G235-Cotacoes!G234)/Cotacoes!G234</f>
        <v>-1.1712214166201943E-2</v>
      </c>
      <c r="H235" s="5">
        <f>(Cotacoes!H235-Cotacoes!H234)/Cotacoes!H234</f>
        <v>-2.0920502092049765E-3</v>
      </c>
      <c r="I235" s="5">
        <f>(Cotacoes!I235-Cotacoes!I234)/Cotacoes!I234</f>
        <v>1.5641025641025628E-2</v>
      </c>
      <c r="J235" s="5">
        <f>(Cotacoes!J235-Cotacoes!J234)/Cotacoes!J234</f>
        <v>1.5732720523245546E-2</v>
      </c>
      <c r="K235" s="5">
        <f>(Cotacoes!K235-Cotacoes!K234)/Cotacoes!K234</f>
        <v>-1.069958847736632E-2</v>
      </c>
      <c r="L235" s="5">
        <f>(Cotacoes!L235-Cotacoes!L234)/Cotacoes!L234</f>
        <v>6.2222222222222479E-3</v>
      </c>
      <c r="M235" s="5">
        <f>(Cotacoes!M235-Cotacoes!M234)/Cotacoes!M234</f>
        <v>-3.676470588235216E-3</v>
      </c>
      <c r="N235" s="5">
        <f>(Cotacoes!N235-Cotacoes!N234)/Cotacoes!N234</f>
        <v>-4.7694753577106914E-3</v>
      </c>
      <c r="O235" s="5">
        <f>(Cotacoes!O235-Cotacoes!O234)/Cotacoes!O234</f>
        <v>3.272377285851779E-2</v>
      </c>
      <c r="P235" s="5">
        <f>(Cotacoes!P235-Cotacoes!P234)/Cotacoes!P234</f>
        <v>-6.607929515418492E-3</v>
      </c>
      <c r="Q235" s="5">
        <f>(Cotacoes!Q235-Cotacoes!Q234)/Cotacoes!Q234</f>
        <v>-4.6852719494806265E-3</v>
      </c>
      <c r="R235" s="5">
        <f>(Cotacoes!R235-Cotacoes!R234)/Cotacoes!R234</f>
        <v>-2.0210896309314622E-2</v>
      </c>
      <c r="S235" s="5">
        <f>(Cotacoes!S235-Cotacoes!S234)/Cotacoes!S234</f>
        <v>4.5300113250283502E-3</v>
      </c>
      <c r="T235" s="5">
        <f>(Cotacoes!T235-Cotacoes!T234)/Cotacoes!T234</f>
        <v>-5.6680161943319866E-2</v>
      </c>
      <c r="U235" s="5">
        <f>(Cotacoes!U235-Cotacoes!U234)/Cotacoes!U234</f>
        <v>-5.0900548159749023E-3</v>
      </c>
      <c r="V235" s="5">
        <f>(Cotacoes!V235-Cotacoes!V234)/Cotacoes!V234</f>
        <v>-1.0901162790697701E-2</v>
      </c>
      <c r="W235" s="5"/>
    </row>
    <row r="236" spans="1:23" x14ac:dyDescent="0.2">
      <c r="A236" s="4">
        <v>44903</v>
      </c>
      <c r="B236" s="5">
        <f>(Cotacoes!B236-Cotacoes!B235)/Cotacoes!B235</f>
        <v>-1.8571116451824368E-2</v>
      </c>
      <c r="C236" s="5">
        <f>(Cotacoes!C236-Cotacoes!C235)/Cotacoes!C235</f>
        <v>1.2287194670614334E-2</v>
      </c>
      <c r="D236" s="5">
        <f>(Cotacoes!D236-Cotacoes!D235)/Cotacoes!D235</f>
        <v>-2.2123893805309713E-2</v>
      </c>
      <c r="E236" s="5">
        <f>(Cotacoes!E236-Cotacoes!E235)/Cotacoes!E235</f>
        <v>-3.4711587544665634E-2</v>
      </c>
      <c r="F236" s="5">
        <f>(Cotacoes!F236-Cotacoes!F235)/Cotacoes!F235</f>
        <v>-2.1470746108427193E-2</v>
      </c>
      <c r="G236" s="5">
        <f>(Cotacoes!G236-Cotacoes!G235)/Cotacoes!G235</f>
        <v>-1.6930022573362069E-3</v>
      </c>
      <c r="H236" s="5">
        <f>(Cotacoes!H236-Cotacoes!H235)/Cotacoes!H235</f>
        <v>-1.2578616352201238E-2</v>
      </c>
      <c r="I236" s="5">
        <f>(Cotacoes!I236-Cotacoes!I235)/Cotacoes!I235</f>
        <v>-2.09543044685685E-2</v>
      </c>
      <c r="J236" s="5">
        <f>(Cotacoes!J236-Cotacoes!J235)/Cotacoes!J235</f>
        <v>-1.9839888618169172E-2</v>
      </c>
      <c r="K236" s="5">
        <f>(Cotacoes!K236-Cotacoes!K235)/Cotacoes!K235</f>
        <v>-2.9118136439267858E-2</v>
      </c>
      <c r="L236" s="5">
        <f>(Cotacoes!L236-Cotacoes!L235)/Cotacoes!L235</f>
        <v>-4.2402826855123713E-2</v>
      </c>
      <c r="M236" s="5">
        <f>(Cotacoes!M236-Cotacoes!M235)/Cotacoes!M235</f>
        <v>-1.8450184501845018E-2</v>
      </c>
      <c r="N236" s="5">
        <f>(Cotacoes!N236-Cotacoes!N235)/Cotacoes!N235</f>
        <v>-2.7156549520766762E-2</v>
      </c>
      <c r="O236" s="5">
        <f>(Cotacoes!O236-Cotacoes!O235)/Cotacoes!O235</f>
        <v>-1.2581547064305665E-2</v>
      </c>
      <c r="P236" s="5">
        <f>(Cotacoes!P236-Cotacoes!P235)/Cotacoes!P235</f>
        <v>-2.1433850702143323E-2</v>
      </c>
      <c r="Q236" s="5">
        <f>(Cotacoes!Q236-Cotacoes!Q235)/Cotacoes!Q235</f>
        <v>8.1866557511254905E-4</v>
      </c>
      <c r="R236" s="5">
        <f>(Cotacoes!R236-Cotacoes!R235)/Cotacoes!R235</f>
        <v>-2.6457399103139007E-2</v>
      </c>
      <c r="S236" s="5">
        <f>(Cotacoes!S236-Cotacoes!S235)/Cotacoes!S235</f>
        <v>-8.6433671552048272E-3</v>
      </c>
      <c r="T236" s="5">
        <f>(Cotacoes!T236-Cotacoes!T235)/Cotacoes!T235</f>
        <v>1.5328019619865114E-2</v>
      </c>
      <c r="U236" s="5">
        <f>(Cotacoes!U236-Cotacoes!U235)/Cotacoes!U235</f>
        <v>-3.817394726485631E-2</v>
      </c>
      <c r="V236" s="5">
        <f>(Cotacoes!V236-Cotacoes!V235)/Cotacoes!V235</f>
        <v>-3.0124908155767828E-2</v>
      </c>
      <c r="W236" s="5"/>
    </row>
    <row r="237" spans="1:23" x14ac:dyDescent="0.2">
      <c r="A237" s="4">
        <v>44904</v>
      </c>
      <c r="B237" s="5">
        <f>(Cotacoes!B237-Cotacoes!B236)/Cotacoes!B236</f>
        <v>5.0089047195013671E-3</v>
      </c>
      <c r="C237" s="5">
        <f>(Cotacoes!C237-Cotacoes!C236)/Cotacoes!C236</f>
        <v>3.3196841181632207E-2</v>
      </c>
      <c r="D237" s="5">
        <f>(Cotacoes!D237-Cotacoes!D236)/Cotacoes!D236</f>
        <v>-3.2320620555915131E-3</v>
      </c>
      <c r="E237" s="5">
        <f>(Cotacoes!E237-Cotacoes!E236)/Cotacoes!E236</f>
        <v>-1.2691697514542487E-2</v>
      </c>
      <c r="F237" s="5">
        <f>(Cotacoes!F237-Cotacoes!F236)/Cotacoes!F236</f>
        <v>-2.1941854086669856E-3</v>
      </c>
      <c r="G237" s="5">
        <f>(Cotacoes!G237-Cotacoes!G236)/Cotacoes!G236</f>
        <v>-2.8264556246467331E-3</v>
      </c>
      <c r="H237" s="5">
        <f>(Cotacoes!H237-Cotacoes!H236)/Cotacoes!H236</f>
        <v>-1.4154281670206192E-3</v>
      </c>
      <c r="I237" s="5">
        <f>(Cotacoes!I237-Cotacoes!I236)/Cotacoes!I236</f>
        <v>-7.7359463641053184E-3</v>
      </c>
      <c r="J237" s="5">
        <f>(Cotacoes!J237-Cotacoes!J236)/Cotacoes!J236</f>
        <v>-9.7656249999999497E-3</v>
      </c>
      <c r="K237" s="5">
        <f>(Cotacoes!K237-Cotacoes!K236)/Cotacoes!K236</f>
        <v>-1.7137960582690598E-2</v>
      </c>
      <c r="L237" s="5">
        <f>(Cotacoes!L237-Cotacoes!L236)/Cotacoes!L236</f>
        <v>0</v>
      </c>
      <c r="M237" s="5">
        <f>(Cotacoes!M237-Cotacoes!M236)/Cotacoes!M236</f>
        <v>-1.2030075187969934E-2</v>
      </c>
      <c r="N237" s="5">
        <f>(Cotacoes!N237-Cotacoes!N236)/Cotacoes!N236</f>
        <v>-4.9261083743842773E-3</v>
      </c>
      <c r="O237" s="5">
        <f>(Cotacoes!O237-Cotacoes!O236)/Cotacoes!O236</f>
        <v>-3.7753657385560095E-3</v>
      </c>
      <c r="P237" s="5">
        <f>(Cotacoes!P237-Cotacoes!P236)/Cotacoes!P236</f>
        <v>-1.057401812688826E-2</v>
      </c>
      <c r="Q237" s="5">
        <f>(Cotacoes!Q237-Cotacoes!Q236)/Cotacoes!Q236</f>
        <v>3.5582822085889615E-2</v>
      </c>
      <c r="R237" s="5">
        <f>(Cotacoes!R237-Cotacoes!R236)/Cotacoes!R236</f>
        <v>-1.9345923537540381E-2</v>
      </c>
      <c r="S237" s="5">
        <f>(Cotacoes!S237-Cotacoes!S236)/Cotacoes!S236</f>
        <v>0</v>
      </c>
      <c r="T237" s="5">
        <f>(Cotacoes!T237-Cotacoes!T236)/Cotacoes!T236</f>
        <v>1.4492753623188527E-2</v>
      </c>
      <c r="U237" s="5">
        <f>(Cotacoes!U237-Cotacoes!U236)/Cotacoes!U236</f>
        <v>-1.6162029459901781E-2</v>
      </c>
      <c r="V237" s="5">
        <f>(Cotacoes!V237-Cotacoes!V236)/Cotacoes!V236</f>
        <v>-4.810606060606059E-2</v>
      </c>
      <c r="W237" s="5"/>
    </row>
    <row r="238" spans="1:23" x14ac:dyDescent="0.2">
      <c r="A238" s="4">
        <v>44907</v>
      </c>
      <c r="B238" s="5">
        <f>(Cotacoes!B238-Cotacoes!B237)/Cotacoes!B237</f>
        <v>-1.8495957470373258E-2</v>
      </c>
      <c r="C238" s="5">
        <f>(Cotacoes!C238-Cotacoes!C237)/Cotacoes!C237</f>
        <v>-2.9865534324133039E-2</v>
      </c>
      <c r="D238" s="5">
        <f>(Cotacoes!D238-Cotacoes!D237)/Cotacoes!D237</f>
        <v>-3.2425421530479899E-2</v>
      </c>
      <c r="E238" s="5">
        <f>(Cotacoes!E238-Cotacoes!E237)/Cotacoes!E237</f>
        <v>-9.1055168719872352E-3</v>
      </c>
      <c r="F238" s="5">
        <f>(Cotacoes!F238-Cotacoes!F237)/Cotacoes!F237</f>
        <v>-2.6937877954920392E-2</v>
      </c>
      <c r="G238" s="5">
        <f>(Cotacoes!G238-Cotacoes!G237)/Cotacoes!G237</f>
        <v>-2.7777777777777891E-2</v>
      </c>
      <c r="H238" s="5">
        <f>(Cotacoes!H238-Cotacoes!H237)/Cotacoes!H237</f>
        <v>-3.4018426647767448E-2</v>
      </c>
      <c r="I238" s="5">
        <f>(Cotacoes!I238-Cotacoes!I237)/Cotacoes!I237</f>
        <v>-1.5852390852390839E-2</v>
      </c>
      <c r="J238" s="5">
        <f>(Cotacoes!J238-Cotacoes!J237)/Cotacoes!J237</f>
        <v>-2.3847946924870099E-2</v>
      </c>
      <c r="K238" s="5">
        <f>(Cotacoes!K238-Cotacoes!K237)/Cotacoes!K237</f>
        <v>-1.1333914559721079E-2</v>
      </c>
      <c r="L238" s="5">
        <f>(Cotacoes!L238-Cotacoes!L237)/Cotacoes!L237</f>
        <v>-2.3985239852398504E-2</v>
      </c>
      <c r="M238" s="5">
        <f>(Cotacoes!M238-Cotacoes!M237)/Cotacoes!M237</f>
        <v>-1.7503805175038082E-2</v>
      </c>
      <c r="N238" s="5">
        <f>(Cotacoes!N238-Cotacoes!N237)/Cotacoes!N237</f>
        <v>-8.2508250825082223E-3</v>
      </c>
      <c r="O238" s="5">
        <f>(Cotacoes!O238-Cotacoes!O237)/Cotacoes!O237</f>
        <v>-1.0421601136901888E-2</v>
      </c>
      <c r="P238" s="5">
        <f>(Cotacoes!P238-Cotacoes!P237)/Cotacoes!P237</f>
        <v>1.7557251908396979E-2</v>
      </c>
      <c r="Q238" s="5">
        <f>(Cotacoes!Q238-Cotacoes!Q237)/Cotacoes!Q237</f>
        <v>-1.7772511848341906E-3</v>
      </c>
      <c r="R238" s="5">
        <f>(Cotacoes!R238-Cotacoes!R237)/Cotacoes!R237</f>
        <v>-4.650070455612957E-2</v>
      </c>
      <c r="S238" s="5">
        <f>(Cotacoes!S238-Cotacoes!S237)/Cotacoes!S237</f>
        <v>1.8953752843063197E-3</v>
      </c>
      <c r="T238" s="5">
        <f>(Cotacoes!T238-Cotacoes!T237)/Cotacoes!T237</f>
        <v>2.9166666666666573E-2</v>
      </c>
      <c r="U238" s="5">
        <f>(Cotacoes!U238-Cotacoes!U237)/Cotacoes!U237</f>
        <v>-2.4329382407985062E-2</v>
      </c>
      <c r="V238" s="5">
        <f>(Cotacoes!V238-Cotacoes!V237)/Cotacoes!V237</f>
        <v>-4.2180660565061631E-2</v>
      </c>
      <c r="W238" s="5"/>
    </row>
    <row r="239" spans="1:23" x14ac:dyDescent="0.2">
      <c r="A239" s="4">
        <v>44908</v>
      </c>
      <c r="B239" s="5">
        <f>(Cotacoes!B239-Cotacoes!B238)/Cotacoes!B238</f>
        <v>-4.2879711126157715E-3</v>
      </c>
      <c r="C239" s="5">
        <f>(Cotacoes!C239-Cotacoes!C238)/Cotacoes!C238</f>
        <v>3.7934053107673022E-3</v>
      </c>
      <c r="D239" s="5">
        <f>(Cotacoes!D239-Cotacoes!D238)/Cotacoes!D238</f>
        <v>-2.4128686327077709E-2</v>
      </c>
      <c r="E239" s="5">
        <f>(Cotacoes!E239-Cotacoes!E238)/Cotacoes!E238</f>
        <v>-3.7837837837837798E-2</v>
      </c>
      <c r="F239" s="5">
        <f>(Cotacoes!F239-Cotacoes!F238)/Cotacoes!F238</f>
        <v>-1.3559322033898218E-2</v>
      </c>
      <c r="G239" s="5">
        <f>(Cotacoes!G239-Cotacoes!G238)/Cotacoes!G238</f>
        <v>-7.5801749271136448E-3</v>
      </c>
      <c r="H239" s="5">
        <f>(Cotacoes!H239-Cotacoes!H238)/Cotacoes!H238</f>
        <v>-4.9156272927366094E-2</v>
      </c>
      <c r="I239" s="5">
        <f>(Cotacoes!I239-Cotacoes!I238)/Cotacoes!I238</f>
        <v>-1.3203063110640918E-3</v>
      </c>
      <c r="J239" s="5">
        <f>(Cotacoes!J239-Cotacoes!J238)/Cotacoes!J238</f>
        <v>-8.0822924320352266E-3</v>
      </c>
      <c r="K239" s="5">
        <f>(Cotacoes!K239-Cotacoes!K238)/Cotacoes!K238</f>
        <v>-2.9100529100529106E-2</v>
      </c>
      <c r="L239" s="5">
        <f>(Cotacoes!L239-Cotacoes!L238)/Cotacoes!L238</f>
        <v>-5.6710775047259451E-3</v>
      </c>
      <c r="M239" s="5">
        <f>(Cotacoes!M239-Cotacoes!M238)/Cotacoes!M238</f>
        <v>2.3237800154918171E-3</v>
      </c>
      <c r="N239" s="5">
        <f>(Cotacoes!N239-Cotacoes!N238)/Cotacoes!N238</f>
        <v>-3.3277870216306189E-2</v>
      </c>
      <c r="O239" s="5">
        <f>(Cotacoes!O239-Cotacoes!O238)/Cotacoes!O238</f>
        <v>-1.2446146481570204E-2</v>
      </c>
      <c r="P239" s="5">
        <f>(Cotacoes!P239-Cotacoes!P238)/Cotacoes!P238</f>
        <v>3.0007501875468226E-3</v>
      </c>
      <c r="Q239" s="5">
        <f>(Cotacoes!Q239-Cotacoes!Q238)/Cotacoes!Q238</f>
        <v>-6.4292779426310592E-2</v>
      </c>
      <c r="R239" s="5">
        <f>(Cotacoes!R239-Cotacoes!R238)/Cotacoes!R238</f>
        <v>-4.0886699507389254E-2</v>
      </c>
      <c r="S239" s="5">
        <f>(Cotacoes!S239-Cotacoes!S238)/Cotacoes!S238</f>
        <v>-1.2864169504351111E-2</v>
      </c>
      <c r="T239" s="5">
        <f>(Cotacoes!T239-Cotacoes!T238)/Cotacoes!T238</f>
        <v>7.2296124927703877E-3</v>
      </c>
      <c r="U239" s="5">
        <f>(Cotacoes!U239-Cotacoes!U238)/Cotacoes!U238</f>
        <v>-4.006820119352094E-2</v>
      </c>
      <c r="V239" s="5">
        <f>(Cotacoes!V239-Cotacoes!V238)/Cotacoes!V238</f>
        <v>-3.9468217698379694E-2</v>
      </c>
      <c r="W239" s="5"/>
    </row>
    <row r="240" spans="1:23" x14ac:dyDescent="0.2">
      <c r="A240" s="4">
        <v>44909</v>
      </c>
      <c r="B240" s="5">
        <f>(Cotacoes!B240-Cotacoes!B239)/Cotacoes!B239</f>
        <v>-1.359927470534892E-2</v>
      </c>
      <c r="C240" s="5">
        <f>(Cotacoes!C240-Cotacoes!C239)/Cotacoes!C239</f>
        <v>8.4302325581395096E-3</v>
      </c>
      <c r="D240" s="5">
        <f>(Cotacoes!D240-Cotacoes!D239)/Cotacoes!D239</f>
        <v>-7.9670329670329679E-2</v>
      </c>
      <c r="E240" s="5">
        <f>(Cotacoes!E240-Cotacoes!E239)/Cotacoes!E239</f>
        <v>3.9325842696629372E-3</v>
      </c>
      <c r="F240" s="5">
        <f>(Cotacoes!F240-Cotacoes!F239)/Cotacoes!F239</f>
        <v>-9.7938144329896948E-2</v>
      </c>
      <c r="G240" s="5">
        <f>(Cotacoes!G240-Cotacoes!G239)/Cotacoes!G239</f>
        <v>3.5546415981198613E-2</v>
      </c>
      <c r="H240" s="5">
        <f>(Cotacoes!H240-Cotacoes!H239)/Cotacoes!H239</f>
        <v>-2.4691358024691377E-2</v>
      </c>
      <c r="I240" s="5">
        <f>(Cotacoes!I240-Cotacoes!I239)/Cotacoes!I239</f>
        <v>-2.9085140137493238E-3</v>
      </c>
      <c r="J240" s="5">
        <f>(Cotacoes!J240-Cotacoes!J239)/Cotacoes!J239</f>
        <v>1.9259259259259243E-2</v>
      </c>
      <c r="K240" s="5">
        <f>(Cotacoes!K240-Cotacoes!K239)/Cotacoes!K239</f>
        <v>2.0890099909173517E-2</v>
      </c>
      <c r="L240" s="5">
        <f>(Cotacoes!L240-Cotacoes!L239)/Cotacoes!L239</f>
        <v>3.4220532319391754E-2</v>
      </c>
      <c r="M240" s="5">
        <f>(Cotacoes!M240-Cotacoes!M239)/Cotacoes!M239</f>
        <v>-9.2735703245749018E-3</v>
      </c>
      <c r="N240" s="5">
        <f>(Cotacoes!N240-Cotacoes!N239)/Cotacoes!N239</f>
        <v>1.8932874354561157E-2</v>
      </c>
      <c r="O240" s="5">
        <f>(Cotacoes!O240-Cotacoes!O239)/Cotacoes!O239</f>
        <v>-5.3320407174018147E-3</v>
      </c>
      <c r="P240" s="5">
        <f>(Cotacoes!P240-Cotacoes!P239)/Cotacoes!P239</f>
        <v>3.8145100972326221E-2</v>
      </c>
      <c r="Q240" s="5">
        <f>(Cotacoes!Q240-Cotacoes!Q239)/Cotacoes!Q239</f>
        <v>2.2198731501057174E-2</v>
      </c>
      <c r="R240" s="5">
        <f>(Cotacoes!R240-Cotacoes!R239)/Cotacoes!R239</f>
        <v>2.4653312788906031E-2</v>
      </c>
      <c r="S240" s="5">
        <f>(Cotacoes!S240-Cotacoes!S239)/Cotacoes!S239</f>
        <v>4.2161747796090237E-3</v>
      </c>
      <c r="T240" s="5">
        <f>(Cotacoes!T240-Cotacoes!T239)/Cotacoes!T239</f>
        <v>3.7037037037037014E-2</v>
      </c>
      <c r="U240" s="5">
        <f>(Cotacoes!U240-Cotacoes!U239)/Cotacoes!U239</f>
        <v>1.5319715808170466E-2</v>
      </c>
      <c r="V240" s="5">
        <f>(Cotacoes!V240-Cotacoes!V239)/Cotacoes!V239</f>
        <v>4.8010380622837343E-2</v>
      </c>
      <c r="W240" s="5"/>
    </row>
    <row r="241" spans="1:23" x14ac:dyDescent="0.2">
      <c r="A241" s="4">
        <v>44910</v>
      </c>
      <c r="B241" s="5">
        <f>(Cotacoes!B241-Cotacoes!B240)/Cotacoes!B240</f>
        <v>-5.0551470588236658E-3</v>
      </c>
      <c r="C241" s="5">
        <f>(Cotacoes!C241-Cotacoes!C240)/Cotacoes!C240</f>
        <v>3.1709426347650456E-3</v>
      </c>
      <c r="D241" s="5">
        <f>(Cotacoes!D241-Cotacoes!D240)/Cotacoes!D240</f>
        <v>2.6865671641791003E-2</v>
      </c>
      <c r="E241" s="5">
        <f>(Cotacoes!E241-Cotacoes!E240)/Cotacoes!E240</f>
        <v>5.5959709009511952E-3</v>
      </c>
      <c r="F241" s="5">
        <f>(Cotacoes!F241-Cotacoes!F240)/Cotacoes!F240</f>
        <v>2.5396825396825307E-2</v>
      </c>
      <c r="G241" s="5">
        <f>(Cotacoes!G241-Cotacoes!G240)/Cotacoes!G240</f>
        <v>2.8368794326235491E-4</v>
      </c>
      <c r="H241" s="5">
        <f>(Cotacoes!H241-Cotacoes!H240)/Cotacoes!H240</f>
        <v>2.8481012658227802E-2</v>
      </c>
      <c r="I241" s="5">
        <f>(Cotacoes!I241-Cotacoes!I240)/Cotacoes!I240</f>
        <v>-1.4319809069212387E-2</v>
      </c>
      <c r="J241" s="5">
        <f>(Cotacoes!J241-Cotacoes!J240)/Cotacoes!J240</f>
        <v>5.2688953488371935E-3</v>
      </c>
      <c r="K241" s="5">
        <f>(Cotacoes!K241-Cotacoes!K240)/Cotacoes!K240</f>
        <v>-1.2455516014234926E-2</v>
      </c>
      <c r="L241" s="5">
        <f>(Cotacoes!L241-Cotacoes!L240)/Cotacoes!L240</f>
        <v>-2.1139705882352981E-2</v>
      </c>
      <c r="M241" s="5">
        <f>(Cotacoes!M241-Cotacoes!M240)/Cotacoes!M240</f>
        <v>-8.5803432137285043E-3</v>
      </c>
      <c r="N241" s="5">
        <f>(Cotacoes!N241-Cotacoes!N240)/Cotacoes!N240</f>
        <v>0</v>
      </c>
      <c r="O241" s="5">
        <f>(Cotacoes!O241-Cotacoes!O240)/Cotacoes!O240</f>
        <v>4.8732943469793194E-4</v>
      </c>
      <c r="P241" s="5">
        <f>(Cotacoes!P241-Cotacoes!P240)/Cotacoes!P240</f>
        <v>-2.6657060518732057E-2</v>
      </c>
      <c r="Q241" s="5">
        <f>(Cotacoes!Q241-Cotacoes!Q240)/Cotacoes!Q240</f>
        <v>-1.3857290589451949E-2</v>
      </c>
      <c r="R241" s="5">
        <f>(Cotacoes!R241-Cotacoes!R240)/Cotacoes!R240</f>
        <v>6.516290726816993E-3</v>
      </c>
      <c r="S241" s="5">
        <f>(Cotacoes!S241-Cotacoes!S240)/Cotacoes!S240</f>
        <v>-8.3969465648854533E-3</v>
      </c>
      <c r="T241" s="5">
        <f>(Cotacoes!T241-Cotacoes!T240)/Cotacoes!T240</f>
        <v>-1.1351052048726374E-2</v>
      </c>
      <c r="U241" s="5">
        <f>(Cotacoes!U241-Cotacoes!U240)/Cotacoes!U240</f>
        <v>1.9680734747431318E-3</v>
      </c>
      <c r="V241" s="5">
        <f>(Cotacoes!V241-Cotacoes!V240)/Cotacoes!V240</f>
        <v>1.6921172100701615E-2</v>
      </c>
      <c r="W241" s="5"/>
    </row>
    <row r="242" spans="1:23" x14ac:dyDescent="0.2">
      <c r="A242" s="4">
        <v>44911</v>
      </c>
      <c r="B242" s="5">
        <f>(Cotacoes!B242-Cotacoes!B241)/Cotacoes!B241</f>
        <v>-9.2378752886835714E-3</v>
      </c>
      <c r="C242" s="5">
        <f>(Cotacoes!C242-Cotacoes!C241)/Cotacoes!C241</f>
        <v>-1.7097701149425257E-2</v>
      </c>
      <c r="D242" s="5">
        <f>(Cotacoes!D242-Cotacoes!D241)/Cotacoes!D241</f>
        <v>0</v>
      </c>
      <c r="E242" s="5">
        <f>(Cotacoes!E242-Cotacoes!E241)/Cotacoes!E241</f>
        <v>1.1129660545353526E-2</v>
      </c>
      <c r="F242" s="5">
        <f>(Cotacoes!F242-Cotacoes!F241)/Cotacoes!F241</f>
        <v>2.4767801857586815E-3</v>
      </c>
      <c r="G242" s="5">
        <f>(Cotacoes!G242-Cotacoes!G241)/Cotacoes!G241</f>
        <v>1.0209869540555855E-2</v>
      </c>
      <c r="H242" s="5">
        <f>(Cotacoes!H242-Cotacoes!H241)/Cotacoes!H241</f>
        <v>2.0769230769230738E-2</v>
      </c>
      <c r="I242" s="5">
        <f>(Cotacoes!I242-Cotacoes!I241)/Cotacoes!I241</f>
        <v>-6.7258541834813021E-3</v>
      </c>
      <c r="J242" s="5">
        <f>(Cotacoes!J242-Cotacoes!J241)/Cotacoes!J241</f>
        <v>-2.8013735767214842E-2</v>
      </c>
      <c r="K242" s="5">
        <f>(Cotacoes!K242-Cotacoes!K241)/Cotacoes!K241</f>
        <v>-9.0090090090088172E-4</v>
      </c>
      <c r="L242" s="5">
        <f>(Cotacoes!L242-Cotacoes!L241)/Cotacoes!L241</f>
        <v>-1.5023474178403769E-2</v>
      </c>
      <c r="M242" s="5">
        <f>(Cotacoes!M242-Cotacoes!M241)/Cotacoes!M241</f>
        <v>-1.0228166797797072E-2</v>
      </c>
      <c r="N242" s="5">
        <f>(Cotacoes!N242-Cotacoes!N241)/Cotacoes!N241</f>
        <v>8.4459459459459152E-3</v>
      </c>
      <c r="O242" s="5">
        <f>(Cotacoes!O242-Cotacoes!O241)/Cotacoes!O241</f>
        <v>-5.3580126643935425E-3</v>
      </c>
      <c r="P242" s="5">
        <f>(Cotacoes!P242-Cotacoes!P241)/Cotacoes!P241</f>
        <v>2.2205773501109815E-3</v>
      </c>
      <c r="Q242" s="5">
        <f>(Cotacoes!Q242-Cotacoes!Q241)/Cotacoes!Q241</f>
        <v>-6.7114093959731603E-3</v>
      </c>
      <c r="R242" s="5">
        <f>(Cotacoes!R242-Cotacoes!R241)/Cotacoes!R241</f>
        <v>-3.6852589641434189E-2</v>
      </c>
      <c r="S242" s="5">
        <f>(Cotacoes!S242-Cotacoes!S241)/Cotacoes!S241</f>
        <v>9.6227867590454198E-3</v>
      </c>
      <c r="T242" s="5">
        <f>(Cotacoes!T242-Cotacoes!T241)/Cotacoes!T241</f>
        <v>-1.1761411369364372E-2</v>
      </c>
      <c r="U242" s="5">
        <f>(Cotacoes!U242-Cotacoes!U241)/Cotacoes!U241</f>
        <v>-1.2221737232649547E-2</v>
      </c>
      <c r="V242" s="5">
        <f>(Cotacoes!V242-Cotacoes!V241)/Cotacoes!V241</f>
        <v>-3.7337662337662406E-2</v>
      </c>
      <c r="W242" s="5"/>
    </row>
    <row r="243" spans="1:23" x14ac:dyDescent="0.2">
      <c r="A243" s="4">
        <v>44914</v>
      </c>
      <c r="B243" s="5">
        <f>(Cotacoes!B243-Cotacoes!B242)/Cotacoes!B242</f>
        <v>1.9813519813519847E-2</v>
      </c>
      <c r="C243" s="5">
        <f>(Cotacoes!C243-Cotacoes!C242)/Cotacoes!C242</f>
        <v>-3.5082590264580455E-3</v>
      </c>
      <c r="D243" s="5">
        <f>(Cotacoes!D243-Cotacoes!D242)/Cotacoes!D242</f>
        <v>1.5261627906976806E-2</v>
      </c>
      <c r="E243" s="5">
        <f>(Cotacoes!E243-Cotacoes!E242)/Cotacoes!E242</f>
        <v>3.0269675288937651E-2</v>
      </c>
      <c r="F243" s="5">
        <f>(Cotacoes!F243-Cotacoes!F242)/Cotacoes!F242</f>
        <v>2.2853613341568709E-2</v>
      </c>
      <c r="G243" s="5">
        <f>(Cotacoes!G243-Cotacoes!G242)/Cotacoes!G242</f>
        <v>1.9090398652442442E-2</v>
      </c>
      <c r="H243" s="5">
        <f>(Cotacoes!H243-Cotacoes!H242)/Cotacoes!H242</f>
        <v>1.0550113036925438E-2</v>
      </c>
      <c r="I243" s="5">
        <f>(Cotacoes!I243-Cotacoes!I242)/Cotacoes!I242</f>
        <v>1.7334777898158193E-2</v>
      </c>
      <c r="J243" s="5">
        <f>(Cotacoes!J243-Cotacoes!J242)/Cotacoes!J242</f>
        <v>1.8036444775009274E-2</v>
      </c>
      <c r="K243" s="5">
        <f>(Cotacoes!K243-Cotacoes!K242)/Cotacoes!K242</f>
        <v>2.7051397655545602E-2</v>
      </c>
      <c r="L243" s="5">
        <f>(Cotacoes!L243-Cotacoes!L242)/Cotacoes!L242</f>
        <v>6.482364156339368E-2</v>
      </c>
      <c r="M243" s="5">
        <f>(Cotacoes!M243-Cotacoes!M242)/Cotacoes!M242</f>
        <v>2.5437201907790166E-2</v>
      </c>
      <c r="N243" s="5">
        <f>(Cotacoes!N243-Cotacoes!N242)/Cotacoes!N242</f>
        <v>3.1825795644891186E-2</v>
      </c>
      <c r="O243" s="5">
        <f>(Cotacoes!O243-Cotacoes!O242)/Cotacoes!O242</f>
        <v>-9.794319294810542E-4</v>
      </c>
      <c r="P243" s="5">
        <f>(Cotacoes!P243-Cotacoes!P242)/Cotacoes!P242</f>
        <v>2.2156573116692128E-3</v>
      </c>
      <c r="Q243" s="5">
        <f>(Cotacoes!Q243-Cotacoes!Q242)/Cotacoes!Q242</f>
        <v>-1.6047297297297255E-2</v>
      </c>
      <c r="R243" s="5">
        <f>(Cotacoes!R243-Cotacoes!R242)/Cotacoes!R242</f>
        <v>7.1871768355739427E-2</v>
      </c>
      <c r="S243" s="5">
        <f>(Cotacoes!S243-Cotacoes!S242)/Cotacoes!S242</f>
        <v>1.2199771254288993E-2</v>
      </c>
      <c r="T243" s="5">
        <f>(Cotacoes!T243-Cotacoes!T242)/Cotacoes!T242</f>
        <v>1.2184754888070267E-2</v>
      </c>
      <c r="U243" s="5">
        <f>(Cotacoes!U243-Cotacoes!U242)/Cotacoes!U242</f>
        <v>4.0433053468846784E-2</v>
      </c>
      <c r="V243" s="5">
        <f>(Cotacoes!V243-Cotacoes!V242)/Cotacoes!V242</f>
        <v>5.1011804384485701E-2</v>
      </c>
      <c r="W243" s="5"/>
    </row>
    <row r="244" spans="1:23" x14ac:dyDescent="0.2">
      <c r="A244" s="4">
        <v>44915</v>
      </c>
      <c r="B244" s="5">
        <f>(Cotacoes!B244-Cotacoes!B243)/Cotacoes!B243</f>
        <v>2.6514285714285636E-2</v>
      </c>
      <c r="C244" s="5">
        <f>(Cotacoes!C244-Cotacoes!C243)/Cotacoes!C243</f>
        <v>4.4007627988850986E-3</v>
      </c>
      <c r="D244" s="5">
        <f>(Cotacoes!D244-Cotacoes!D243)/Cotacoes!D243</f>
        <v>3.0780243378668554E-2</v>
      </c>
      <c r="E244" s="5">
        <f>(Cotacoes!E244-Cotacoes!E243)/Cotacoes!E243</f>
        <v>1.0683760683760837E-2</v>
      </c>
      <c r="F244" s="5">
        <f>(Cotacoes!F244-Cotacoes!F243)/Cotacoes!F243</f>
        <v>2.4154589371980808E-2</v>
      </c>
      <c r="G244" s="5">
        <f>(Cotacoes!G244-Cotacoes!G243)/Cotacoes!G243</f>
        <v>7.9889807162536169E-3</v>
      </c>
      <c r="H244" s="5">
        <f>(Cotacoes!H244-Cotacoes!H243)/Cotacoes!H243</f>
        <v>2.5354213273676349E-2</v>
      </c>
      <c r="I244" s="5">
        <f>(Cotacoes!I244-Cotacoes!I243)/Cotacoes!I243</f>
        <v>1.8903088391906304E-2</v>
      </c>
      <c r="J244" s="5">
        <f>(Cotacoes!J244-Cotacoes!J243)/Cotacoes!J243</f>
        <v>2.7031963470319578E-2</v>
      </c>
      <c r="K244" s="5">
        <f>(Cotacoes!K244-Cotacoes!K243)/Cotacoes!K243</f>
        <v>3.5996488147497813E-2</v>
      </c>
      <c r="L244" s="5">
        <f>(Cotacoes!L244-Cotacoes!L243)/Cotacoes!L243</f>
        <v>4.3867502238137887E-2</v>
      </c>
      <c r="M244" s="5">
        <f>(Cotacoes!M244-Cotacoes!M243)/Cotacoes!M243</f>
        <v>-3.875968992248117E-3</v>
      </c>
      <c r="N244" s="5">
        <f>(Cotacoes!N244-Cotacoes!N243)/Cotacoes!N243</f>
        <v>9.7402597402596758E-3</v>
      </c>
      <c r="O244" s="5">
        <f>(Cotacoes!O244-Cotacoes!O243)/Cotacoes!O243</f>
        <v>1.3235294117647213E-2</v>
      </c>
      <c r="P244" s="5">
        <f>(Cotacoes!P244-Cotacoes!P243)/Cotacoes!P243</f>
        <v>3.0213706705969061E-2</v>
      </c>
      <c r="Q244" s="5">
        <f>(Cotacoes!Q244-Cotacoes!Q243)/Cotacoes!Q243</f>
        <v>-6.0085836909871491E-3</v>
      </c>
      <c r="R244" s="5">
        <f>(Cotacoes!R244-Cotacoes!R243)/Cotacoes!R243</f>
        <v>2.7496382054992777E-2</v>
      </c>
      <c r="S244" s="5">
        <f>(Cotacoes!S244-Cotacoes!S243)/Cotacoes!S243</f>
        <v>7.9096045197740439E-3</v>
      </c>
      <c r="T244" s="5">
        <f>(Cotacoes!T244-Cotacoes!T243)/Cotacoes!T243</f>
        <v>2.2396416573347787E-3</v>
      </c>
      <c r="U244" s="5">
        <f>(Cotacoes!U244-Cotacoes!U243)/Cotacoes!U243</f>
        <v>4.4383096198768235E-2</v>
      </c>
      <c r="V244" s="5">
        <f>(Cotacoes!V244-Cotacoes!V243)/Cotacoes!V243</f>
        <v>5.0942639390292803E-2</v>
      </c>
      <c r="W244" s="5"/>
    </row>
    <row r="245" spans="1:23" x14ac:dyDescent="0.2">
      <c r="A245" s="4">
        <v>44916</v>
      </c>
      <c r="B245" s="5">
        <f>(Cotacoes!B245-Cotacoes!B244)/Cotacoes!B244</f>
        <v>4.4533511467386165E-4</v>
      </c>
      <c r="C245" s="5">
        <f>(Cotacoes!C245-Cotacoes!C244)/Cotacoes!C244</f>
        <v>5.6959252227252897E-3</v>
      </c>
      <c r="D245" s="5">
        <f>(Cotacoes!D245-Cotacoes!D244)/Cotacoes!D244</f>
        <v>2.1527777777777812E-2</v>
      </c>
      <c r="E245" s="5">
        <f>(Cotacoes!E245-Cotacoes!E244)/Cotacoes!E244</f>
        <v>3.6997885835093405E-3</v>
      </c>
      <c r="F245" s="5">
        <f>(Cotacoes!F245-Cotacoes!F244)/Cotacoes!F244</f>
        <v>2.6533018867924484E-2</v>
      </c>
      <c r="G245" s="5">
        <f>(Cotacoes!G245-Cotacoes!G244)/Cotacoes!G244</f>
        <v>-5.4659743099215972E-4</v>
      </c>
      <c r="H245" s="5">
        <f>(Cotacoes!H245-Cotacoes!H244)/Cotacoes!H244</f>
        <v>9.4545454545455106E-3</v>
      </c>
      <c r="I245" s="5">
        <f>(Cotacoes!I245-Cotacoes!I244)/Cotacoes!I244</f>
        <v>3.9195192056440701E-3</v>
      </c>
      <c r="J245" s="5">
        <f>(Cotacoes!J245-Cotacoes!J244)/Cotacoes!J244</f>
        <v>-1.2982393739996389E-2</v>
      </c>
      <c r="K245" s="5">
        <f>(Cotacoes!K245-Cotacoes!K244)/Cotacoes!K244</f>
        <v>8.4745762711864094E-3</v>
      </c>
      <c r="L245" s="5">
        <f>(Cotacoes!L245-Cotacoes!L244)/Cotacoes!L244</f>
        <v>-5.1457975986278302E-3</v>
      </c>
      <c r="M245" s="5">
        <f>(Cotacoes!M245-Cotacoes!M244)/Cotacoes!M244</f>
        <v>-1.1673151750972791E-2</v>
      </c>
      <c r="N245" s="5">
        <f>(Cotacoes!N245-Cotacoes!N244)/Cotacoes!N244</f>
        <v>1.6077170418007517E-3</v>
      </c>
      <c r="O245" s="5">
        <f>(Cotacoes!O245-Cotacoes!O244)/Cotacoes!O244</f>
        <v>-2.0803096274794545E-2</v>
      </c>
      <c r="P245" s="5">
        <f>(Cotacoes!P245-Cotacoes!P244)/Cotacoes!P244</f>
        <v>5.0071530758226237E-3</v>
      </c>
      <c r="Q245" s="5">
        <f>(Cotacoes!Q245-Cotacoes!Q244)/Cotacoes!Q244</f>
        <v>-2.5906735751294783E-3</v>
      </c>
      <c r="R245" s="5">
        <f>(Cotacoes!R245-Cotacoes!R244)/Cotacoes!R244</f>
        <v>1.6431924882629009E-2</v>
      </c>
      <c r="S245" s="5">
        <f>(Cotacoes!S245-Cotacoes!S244)/Cotacoes!S244</f>
        <v>3.736920777278778E-4</v>
      </c>
      <c r="T245" s="5">
        <f>(Cotacoes!T245-Cotacoes!T244)/Cotacoes!T244</f>
        <v>-6.4245810055865056E-3</v>
      </c>
      <c r="U245" s="5">
        <f>(Cotacoes!U245-Cotacoes!U244)/Cotacoes!U244</f>
        <v>-1.586010573403825E-2</v>
      </c>
      <c r="V245" s="5">
        <f>(Cotacoes!V245-Cotacoes!V244)/Cotacoes!V244</f>
        <v>4.5038167938931291E-2</v>
      </c>
      <c r="W245" s="5"/>
    </row>
    <row r="246" spans="1:23" x14ac:dyDescent="0.2">
      <c r="A246" s="4">
        <v>44917</v>
      </c>
      <c r="B246" s="5">
        <f>(Cotacoes!B246-Cotacoes!B245)/Cotacoes!B245</f>
        <v>-2.0031159581570513E-3</v>
      </c>
      <c r="C246" s="5">
        <f>(Cotacoes!C246-Cotacoes!C245)/Cotacoes!C245</f>
        <v>-5.6636654080743616E-3</v>
      </c>
      <c r="D246" s="5">
        <f>(Cotacoes!D246-Cotacoes!D245)/Cotacoes!D245</f>
        <v>1.7675050985723983E-2</v>
      </c>
      <c r="E246" s="5">
        <f>(Cotacoes!E246-Cotacoes!E245)/Cotacoes!E245</f>
        <v>2.1063717746183626E-3</v>
      </c>
      <c r="F246" s="5">
        <f>(Cotacoes!F246-Cotacoes!F245)/Cotacoes!F245</f>
        <v>1.1487650775416386E-2</v>
      </c>
      <c r="G246" s="5">
        <f>(Cotacoes!G246-Cotacoes!G245)/Cotacoes!G245</f>
        <v>1.3945857260049167E-2</v>
      </c>
      <c r="H246" s="5">
        <f>(Cotacoes!H246-Cotacoes!H245)/Cotacoes!H245</f>
        <v>9.3659942363111676E-3</v>
      </c>
      <c r="I246" s="5">
        <f>(Cotacoes!I246-Cotacoes!I245)/Cotacoes!I245</f>
        <v>-2.6028110359201237E-4</v>
      </c>
      <c r="J246" s="5">
        <f>(Cotacoes!J246-Cotacoes!J245)/Cotacoes!J245</f>
        <v>2.4144144144144206E-2</v>
      </c>
      <c r="K246" s="5">
        <f>(Cotacoes!K246-Cotacoes!K245)/Cotacoes!K245</f>
        <v>3.3613445378150543E-3</v>
      </c>
      <c r="L246" s="5">
        <f>(Cotacoes!L246-Cotacoes!L245)/Cotacoes!L245</f>
        <v>-1.8965517241379213E-2</v>
      </c>
      <c r="M246" s="5">
        <f>(Cotacoes!M246-Cotacoes!M245)/Cotacoes!M245</f>
        <v>4.7244094488189375E-3</v>
      </c>
      <c r="N246" s="5">
        <f>(Cotacoes!N246-Cotacoes!N245)/Cotacoes!N245</f>
        <v>4.8154093097912297E-3</v>
      </c>
      <c r="O246" s="5">
        <f>(Cotacoes!O246-Cotacoes!O245)/Cotacoes!O245</f>
        <v>3.211462450592896E-2</v>
      </c>
      <c r="P246" s="5">
        <f>(Cotacoes!P246-Cotacoes!P245)/Cotacoes!P245</f>
        <v>-2.1352313167260595E-3</v>
      </c>
      <c r="Q246" s="5">
        <f>(Cotacoes!Q246-Cotacoes!Q245)/Cotacoes!Q245</f>
        <v>-5.6277056277057383E-3</v>
      </c>
      <c r="R246" s="5">
        <f>(Cotacoes!R246-Cotacoes!R245)/Cotacoes!R245</f>
        <v>2.3094688221709336E-3</v>
      </c>
      <c r="S246" s="5">
        <f>(Cotacoes!S246-Cotacoes!S245)/Cotacoes!S245</f>
        <v>4.4826298094882699E-3</v>
      </c>
      <c r="T246" s="5">
        <f>(Cotacoes!T246-Cotacoes!T245)/Cotacoes!T245</f>
        <v>-1.0402024177677747E-2</v>
      </c>
      <c r="U246" s="5">
        <f>(Cotacoes!U246-Cotacoes!U245)/Cotacoes!U245</f>
        <v>4.1322314049587368E-3</v>
      </c>
      <c r="V246" s="5">
        <f>(Cotacoes!V246-Cotacoes!V245)/Cotacoes!V245</f>
        <v>-1.7165814463111721E-2</v>
      </c>
      <c r="W246" s="5"/>
    </row>
    <row r="247" spans="1:23" x14ac:dyDescent="0.2">
      <c r="A247" s="4">
        <v>44918</v>
      </c>
      <c r="B247" s="5">
        <f>(Cotacoes!B247-Cotacoes!B246)/Cotacoes!B246</f>
        <v>2.4643175735949974E-2</v>
      </c>
      <c r="C247" s="5">
        <f>(Cotacoes!C247-Cotacoes!C246)/Cotacoes!C246</f>
        <v>6.572221410836904E-3</v>
      </c>
      <c r="D247" s="5">
        <f>(Cotacoes!D247-Cotacoes!D246)/Cotacoes!D246</f>
        <v>4.7428189712758785E-2</v>
      </c>
      <c r="E247" s="5">
        <f>(Cotacoes!E247-Cotacoes!E246)/Cotacoes!E246</f>
        <v>1.5764582238570527E-2</v>
      </c>
      <c r="F247" s="5">
        <f>(Cotacoes!F247-Cotacoes!F246)/Cotacoes!F246</f>
        <v>5.1107325383305063E-2</v>
      </c>
      <c r="G247" s="5">
        <f>(Cotacoes!G247-Cotacoes!G246)/Cotacoes!G246</f>
        <v>-1.1326860841423994E-2</v>
      </c>
      <c r="H247" s="5">
        <f>(Cotacoes!H247-Cotacoes!H246)/Cotacoes!H246</f>
        <v>2.4982155603140589E-2</v>
      </c>
      <c r="I247" s="5">
        <f>(Cotacoes!I247-Cotacoes!I246)/Cotacoes!I246</f>
        <v>1.4058838844051192E-2</v>
      </c>
      <c r="J247" s="5">
        <f>(Cotacoes!J247-Cotacoes!J246)/Cotacoes!J246</f>
        <v>2.2343420126671287E-2</v>
      </c>
      <c r="K247" s="5">
        <f>(Cotacoes!K247-Cotacoes!K246)/Cotacoes!K246</f>
        <v>1.7587939698492535E-2</v>
      </c>
      <c r="L247" s="5">
        <f>(Cotacoes!L247-Cotacoes!L246)/Cotacoes!L246</f>
        <v>8.6115992970122901E-2</v>
      </c>
      <c r="M247" s="5">
        <f>(Cotacoes!M247-Cotacoes!M246)/Cotacoes!M246</f>
        <v>1.4106583072100292E-2</v>
      </c>
      <c r="N247" s="5">
        <f>(Cotacoes!N247-Cotacoes!N246)/Cotacoes!N246</f>
        <v>1.5974440894568776E-2</v>
      </c>
      <c r="O247" s="5">
        <f>(Cotacoes!O247-Cotacoes!O246)/Cotacoes!O246</f>
        <v>1.0531354715174669E-2</v>
      </c>
      <c r="P247" s="5">
        <f>(Cotacoes!P247-Cotacoes!P246)/Cotacoes!P246</f>
        <v>5.7061340941512179E-3</v>
      </c>
      <c r="Q247" s="5">
        <f>(Cotacoes!Q247-Cotacoes!Q246)/Cotacoes!Q246</f>
        <v>-2.699172834131465E-2</v>
      </c>
      <c r="R247" s="5">
        <f>(Cotacoes!R247-Cotacoes!R246)/Cotacoes!R246</f>
        <v>6.9124423963133647E-2</v>
      </c>
      <c r="S247" s="5">
        <f>(Cotacoes!S247-Cotacoes!S246)/Cotacoes!S246</f>
        <v>2.9750836742282742E-3</v>
      </c>
      <c r="T247" s="5">
        <f>(Cotacoes!T247-Cotacoes!T246)/Cotacoes!T246</f>
        <v>6.5340909090908193E-3</v>
      </c>
      <c r="U247" s="5">
        <f>(Cotacoes!U247-Cotacoes!U246)/Cotacoes!U246</f>
        <v>5.4526748971193383E-2</v>
      </c>
      <c r="V247" s="5">
        <f>(Cotacoes!V247-Cotacoes!V246)/Cotacoes!V246</f>
        <v>3.493125232255672E-2</v>
      </c>
      <c r="W247" s="5"/>
    </row>
    <row r="248" spans="1:23" x14ac:dyDescent="0.2">
      <c r="A248" s="4">
        <v>44921</v>
      </c>
      <c r="B248" s="5">
        <f>(Cotacoes!B248-Cotacoes!B247)/Cotacoes!B247</f>
        <v>-7.0736750462510141E-3</v>
      </c>
      <c r="C248" s="5">
        <f>(Cotacoes!C248-Cotacoes!C247)/Cotacoes!C247</f>
        <v>9.2861288450377336E-3</v>
      </c>
      <c r="D248" s="5">
        <f>(Cotacoes!D248-Cotacoes!D247)/Cotacoes!D247</f>
        <v>-7.0153061224489431E-3</v>
      </c>
      <c r="E248" s="5">
        <f>(Cotacoes!E248-Cotacoes!E247)/Cotacoes!E247</f>
        <v>-1.9658561821003572E-2</v>
      </c>
      <c r="F248" s="5">
        <f>(Cotacoes!F248-Cotacoes!F247)/Cotacoes!F247</f>
        <v>-3.2414910858996364E-3</v>
      </c>
      <c r="G248" s="5">
        <f>(Cotacoes!G248-Cotacoes!G247)/Cotacoes!G247</f>
        <v>-7.9105291871249088E-3</v>
      </c>
      <c r="H248" s="5">
        <f>(Cotacoes!H248-Cotacoes!H247)/Cotacoes!H247</f>
        <v>-1.3927576601671012E-3</v>
      </c>
      <c r="I248" s="5">
        <f>(Cotacoes!I248-Cotacoes!I247)/Cotacoes!I247</f>
        <v>-7.7021822849808533E-3</v>
      </c>
      <c r="J248" s="5">
        <f>(Cotacoes!J248-Cotacoes!J247)/Cotacoes!J247</f>
        <v>-1.0669420065393176E-2</v>
      </c>
      <c r="K248" s="5">
        <f>(Cotacoes!K248-Cotacoes!K247)/Cotacoes!K247</f>
        <v>-2.3868312757201721E-2</v>
      </c>
      <c r="L248" s="5">
        <f>(Cotacoes!L248-Cotacoes!L247)/Cotacoes!L247</f>
        <v>4.8543689320388753E-3</v>
      </c>
      <c r="M248" s="5">
        <f>(Cotacoes!M248-Cotacoes!M247)/Cotacoes!M247</f>
        <v>-6.9551777434312106E-3</v>
      </c>
      <c r="N248" s="5">
        <f>(Cotacoes!N248-Cotacoes!N247)/Cotacoes!N247</f>
        <v>-1.2578616352201269E-2</v>
      </c>
      <c r="O248" s="5">
        <f>(Cotacoes!O248-Cotacoes!O247)/Cotacoes!O247</f>
        <v>-3.315963998105177E-3</v>
      </c>
      <c r="P248" s="5">
        <f>(Cotacoes!P248-Cotacoes!P247)/Cotacoes!P247</f>
        <v>-6.3829787234042454E-3</v>
      </c>
      <c r="Q248" s="5">
        <f>(Cotacoes!Q248-Cotacoes!Q247)/Cotacoes!Q247</f>
        <v>-1.4093959731543681E-2</v>
      </c>
      <c r="R248" s="5">
        <f>(Cotacoes!R248-Cotacoes!R247)/Cotacoes!R247</f>
        <v>-3.3189655172413776E-2</v>
      </c>
      <c r="S248" s="5">
        <f>(Cotacoes!S248-Cotacoes!S247)/Cotacoes!S247</f>
        <v>-2.4471635150166857E-2</v>
      </c>
      <c r="T248" s="5">
        <f>(Cotacoes!T248-Cotacoes!T247)/Cotacoes!T247</f>
        <v>-1.4112334180072582E-3</v>
      </c>
      <c r="U248" s="5">
        <f>(Cotacoes!U248-Cotacoes!U247)/Cotacoes!U247</f>
        <v>-2.731707317073168E-2</v>
      </c>
      <c r="V248" s="5">
        <f>(Cotacoes!V248-Cotacoes!V247)/Cotacoes!V247</f>
        <v>2.1903052064631934E-2</v>
      </c>
      <c r="W248" s="5"/>
    </row>
    <row r="249" spans="1:23" x14ac:dyDescent="0.2">
      <c r="A249" s="4">
        <v>44922</v>
      </c>
      <c r="B249" s="5">
        <f>(Cotacoes!B249-Cotacoes!B248)/Cotacoes!B248</f>
        <v>-3.8360368259534672E-3</v>
      </c>
      <c r="C249" s="5">
        <f>(Cotacoes!C249-Cotacoes!C248)/Cotacoes!C248</f>
        <v>2.3864289821736582E-2</v>
      </c>
      <c r="D249" s="5">
        <f>(Cotacoes!D249-Cotacoes!D248)/Cotacoes!D248</f>
        <v>6.4226075786769201E-3</v>
      </c>
      <c r="E249" s="5">
        <f>(Cotacoes!E249-Cotacoes!E248)/Cotacoes!E248</f>
        <v>-5.8047493403693634E-3</v>
      </c>
      <c r="F249" s="5">
        <f>(Cotacoes!F249-Cotacoes!F248)/Cotacoes!F248</f>
        <v>7.0460704607045533E-3</v>
      </c>
      <c r="G249" s="5">
        <f>(Cotacoes!G249-Cotacoes!G248)/Cotacoes!G248</f>
        <v>-4.9491339015672181E-3</v>
      </c>
      <c r="H249" s="5">
        <f>(Cotacoes!H249-Cotacoes!H248)/Cotacoes!H248</f>
        <v>-3.3472803347280367E-2</v>
      </c>
      <c r="I249" s="5">
        <f>(Cotacoes!I249-Cotacoes!I248)/Cotacoes!I248</f>
        <v>-2.6390685640362122E-2</v>
      </c>
      <c r="J249" s="5">
        <f>(Cotacoes!J249-Cotacoes!J248)/Cotacoes!J248</f>
        <v>-1.7568272743085842E-2</v>
      </c>
      <c r="K249" s="5">
        <f>(Cotacoes!K249-Cotacoes!K248)/Cotacoes!K248</f>
        <v>-5.0590219224282227E-3</v>
      </c>
      <c r="L249" s="5">
        <f>(Cotacoes!L249-Cotacoes!L248)/Cotacoes!L248</f>
        <v>-3.462157809983895E-2</v>
      </c>
      <c r="M249" s="5">
        <f>(Cotacoes!M249-Cotacoes!M248)/Cotacoes!M248</f>
        <v>0</v>
      </c>
      <c r="N249" s="5">
        <f>(Cotacoes!N249-Cotacoes!N248)/Cotacoes!N248</f>
        <v>-1.1146496815286669E-2</v>
      </c>
      <c r="O249" s="5">
        <f>(Cotacoes!O249-Cotacoes!O248)/Cotacoes!O248</f>
        <v>9.5057034220530302E-4</v>
      </c>
      <c r="P249" s="5">
        <f>(Cotacoes!P249-Cotacoes!P248)/Cotacoes!P248</f>
        <v>-4.2826552462527125E-3</v>
      </c>
      <c r="Q249" s="5">
        <f>(Cotacoes!Q249-Cotacoes!Q248)/Cotacoes!Q248</f>
        <v>2.8590878148400226E-2</v>
      </c>
      <c r="R249" s="5">
        <f>(Cotacoes!R249-Cotacoes!R248)/Cotacoes!R248</f>
        <v>-1.9616584930896179E-2</v>
      </c>
      <c r="S249" s="5">
        <f>(Cotacoes!S249-Cotacoes!S248)/Cotacoes!S248</f>
        <v>2.2805017103763692E-3</v>
      </c>
      <c r="T249" s="5">
        <f>(Cotacoes!T249-Cotacoes!T248)/Cotacoes!T248</f>
        <v>3.9570378745053857E-3</v>
      </c>
      <c r="U249" s="5">
        <f>(Cotacoes!U249-Cotacoes!U248)/Cotacoes!U248</f>
        <v>-3.7311935807422252E-2</v>
      </c>
      <c r="V249" s="5">
        <f>(Cotacoes!V249-Cotacoes!V248)/Cotacoes!V248</f>
        <v>7.3787772312017162E-3</v>
      </c>
      <c r="W249" s="5"/>
    </row>
    <row r="250" spans="1:23" x14ac:dyDescent="0.2">
      <c r="A250" s="4">
        <v>44923</v>
      </c>
      <c r="B250" s="5">
        <f>(Cotacoes!B250-Cotacoes!B249)/Cotacoes!B249</f>
        <v>1.6833535042358908E-2</v>
      </c>
      <c r="C250" s="5">
        <f>(Cotacoes!C250-Cotacoes!C249)/Cotacoes!C249</f>
        <v>-2.2465599550687532E-3</v>
      </c>
      <c r="D250" s="5">
        <f>(Cotacoes!D250-Cotacoes!D249)/Cotacoes!D249</f>
        <v>-1.2125079770261615E-2</v>
      </c>
      <c r="E250" s="5">
        <f>(Cotacoes!E250-Cotacoes!E249)/Cotacoes!E249</f>
        <v>2.016985138004241E-2</v>
      </c>
      <c r="F250" s="5">
        <f>(Cotacoes!F250-Cotacoes!F249)/Cotacoes!F249</f>
        <v>-5.9203444564047058E-3</v>
      </c>
      <c r="G250" s="5">
        <f>(Cotacoes!G250-Cotacoes!G249)/Cotacoes!G249</f>
        <v>1.8237082066869404E-2</v>
      </c>
      <c r="H250" s="5">
        <f>(Cotacoes!H250-Cotacoes!H249)/Cotacoes!H249</f>
        <v>1.803751803751804E-2</v>
      </c>
      <c r="I250" s="5">
        <f>(Cotacoes!I250-Cotacoes!I249)/Cotacoes!I249</f>
        <v>1.8867924528301907E-2</v>
      </c>
      <c r="J250" s="5">
        <f>(Cotacoes!J250-Cotacoes!J249)/Cotacoes!J249</f>
        <v>1.5226628895184252E-2</v>
      </c>
      <c r="K250" s="5">
        <f>(Cotacoes!K250-Cotacoes!K249)/Cotacoes!K249</f>
        <v>3.0508474576271136E-2</v>
      </c>
      <c r="L250" s="5">
        <f>(Cotacoes!L250-Cotacoes!L249)/Cotacoes!L249</f>
        <v>3.4195162635529616E-2</v>
      </c>
      <c r="M250" s="5">
        <f>(Cotacoes!M250-Cotacoes!M249)/Cotacoes!M249</f>
        <v>1.556420233463002E-3</v>
      </c>
      <c r="N250" s="5">
        <f>(Cotacoes!N250-Cotacoes!N249)/Cotacoes!N249</f>
        <v>2.0933977455716568E-2</v>
      </c>
      <c r="O250" s="5">
        <f>(Cotacoes!O250-Cotacoes!O249)/Cotacoes!O249</f>
        <v>2.7540360873694297E-2</v>
      </c>
      <c r="P250" s="5">
        <f>(Cotacoes!P250-Cotacoes!P249)/Cotacoes!P249</f>
        <v>1.7204301075268835E-2</v>
      </c>
      <c r="Q250" s="5">
        <f>(Cotacoes!Q250-Cotacoes!Q249)/Cotacoes!Q249</f>
        <v>1.3236267372600958E-2</v>
      </c>
      <c r="R250" s="5">
        <f>(Cotacoes!R250-Cotacoes!R249)/Cotacoes!R249</f>
        <v>4.7294224647567204E-2</v>
      </c>
      <c r="S250" s="5">
        <f>(Cotacoes!S250-Cotacoes!S249)/Cotacoes!S249</f>
        <v>3.4508911642017449E-2</v>
      </c>
      <c r="T250" s="5">
        <f>(Cotacoes!T250-Cotacoes!T249)/Cotacoes!T249</f>
        <v>4.7015765765765612E-2</v>
      </c>
      <c r="U250" s="5">
        <f>(Cotacoes!U250-Cotacoes!U249)/Cotacoes!U249</f>
        <v>3.6257553657011769E-2</v>
      </c>
      <c r="V250" s="5">
        <f>(Cotacoes!V250-Cotacoes!V249)/Cotacoes!V249</f>
        <v>5.9295430763864022E-3</v>
      </c>
      <c r="W250" s="5"/>
    </row>
    <row r="251" spans="1:23" x14ac:dyDescent="0.2">
      <c r="A251" s="4">
        <v>44924</v>
      </c>
      <c r="B251" s="5">
        <f>(Cotacoes!B251-Cotacoes!B250)/Cotacoes!B250</f>
        <v>-6.1674962129410014E-3</v>
      </c>
      <c r="C251" s="5">
        <f>(Cotacoes!C251-Cotacoes!C250)/Cotacoes!C250</f>
        <v>-1.2665353222629243E-3</v>
      </c>
      <c r="D251" s="5">
        <f>(Cotacoes!D251-Cotacoes!D250)/Cotacoes!D250</f>
        <v>-1.2273901808785612E-2</v>
      </c>
      <c r="E251" s="5">
        <f>(Cotacoes!E251-Cotacoes!E250)/Cotacoes!E250</f>
        <v>-1.5608740894899888E-3</v>
      </c>
      <c r="F251" s="5">
        <f>(Cotacoes!F251-Cotacoes!F250)/Cotacoes!F250</f>
        <v>-1.5701136978884634E-2</v>
      </c>
      <c r="G251" s="5">
        <f>(Cotacoes!G251-Cotacoes!G250)/Cotacoes!G250</f>
        <v>-4.8846675712347276E-3</v>
      </c>
      <c r="H251" s="5">
        <f>(Cotacoes!H251-Cotacoes!H250)/Cotacoes!H250</f>
        <v>1.4174344436570765E-3</v>
      </c>
      <c r="I251" s="5">
        <f>(Cotacoes!I251-Cotacoes!I250)/Cotacoes!I250</f>
        <v>-9.3896713615025176E-3</v>
      </c>
      <c r="J251" s="5">
        <f>(Cotacoes!J251-Cotacoes!J250)/Cotacoes!J250</f>
        <v>-3.1391698639694245E-3</v>
      </c>
      <c r="K251" s="5">
        <f>(Cotacoes!K251-Cotacoes!K250)/Cotacoes!K250</f>
        <v>-8.2236842105261408E-4</v>
      </c>
      <c r="L251" s="5">
        <f>(Cotacoes!L251-Cotacoes!L250)/Cotacoes!L250</f>
        <v>-1.3709677419354832E-2</v>
      </c>
      <c r="M251" s="5">
        <f>(Cotacoes!M251-Cotacoes!M250)/Cotacoes!M250</f>
        <v>-1.554001554001521E-3</v>
      </c>
      <c r="N251" s="5">
        <f>(Cotacoes!N251-Cotacoes!N250)/Cotacoes!N250</f>
        <v>-4.7318611987382094E-3</v>
      </c>
      <c r="O251" s="5">
        <f>(Cotacoes!O251-Cotacoes!O250)/Cotacoes!O250</f>
        <v>1.6173752310535944E-2</v>
      </c>
      <c r="P251" s="5">
        <f>(Cotacoes!P251-Cotacoes!P250)/Cotacoes!P250</f>
        <v>7.7519379844962098E-3</v>
      </c>
      <c r="Q251" s="5">
        <f>(Cotacoes!Q251-Cotacoes!Q250)/Cotacoes!Q250</f>
        <v>2.1772262138036453E-3</v>
      </c>
      <c r="R251" s="5">
        <f>(Cotacoes!R251-Cotacoes!R250)/Cotacoes!R250</f>
        <v>-2.3447676943117789E-2</v>
      </c>
      <c r="S251" s="5">
        <f>(Cotacoes!S251-Cotacoes!S250)/Cotacoes!S250</f>
        <v>-9.5307917888563624E-3</v>
      </c>
      <c r="T251" s="5">
        <f>(Cotacoes!T251-Cotacoes!T250)/Cotacoes!T250</f>
        <v>-1.0755579456843008E-3</v>
      </c>
      <c r="U251" s="5">
        <f>(Cotacoes!U251-Cotacoes!U250)/Cotacoes!U250</f>
        <v>-2.0108586366378446E-2</v>
      </c>
      <c r="V251" s="5">
        <f>(Cotacoes!V251-Cotacoes!V250)/Cotacoes!V250</f>
        <v>-2.1497919556172019E-2</v>
      </c>
      <c r="W251" s="5"/>
    </row>
    <row r="252" spans="1:23" x14ac:dyDescent="0.2">
      <c r="A252" s="4">
        <v>44928</v>
      </c>
      <c r="B252" s="5">
        <f>(Cotacoes!B252-Cotacoes!B251)/Cotacoes!B251</f>
        <v>-3.1028851388132765E-2</v>
      </c>
      <c r="C252" s="5">
        <f>(Cotacoes!C252-Cotacoes!C251)/Cotacoes!C251</f>
        <v>5.7770889108073355E-3</v>
      </c>
      <c r="D252" s="5">
        <f>(Cotacoes!D252-Cotacoes!D251)/Cotacoes!D251</f>
        <v>-6.4094179202092788E-2</v>
      </c>
      <c r="E252" s="5">
        <f>(Cotacoes!E252-Cotacoes!E251)/Cotacoes!E251</f>
        <v>-1.9801980198019934E-2</v>
      </c>
      <c r="F252" s="5">
        <f>(Cotacoes!F252-Cotacoes!F251)/Cotacoes!F251</f>
        <v>-6.7106710671067049E-2</v>
      </c>
      <c r="G252" s="5">
        <f>(Cotacoes!G252-Cotacoes!G251)/Cotacoes!G251</f>
        <v>-1.0635396782110732E-2</v>
      </c>
      <c r="H252" s="5">
        <f>(Cotacoes!H252-Cotacoes!H251)/Cotacoes!H251</f>
        <v>-4.2462845010615813E-2</v>
      </c>
      <c r="I252" s="5">
        <f>(Cotacoes!I252-Cotacoes!I251)/Cotacoes!I251</f>
        <v>-3.6334913112164177E-2</v>
      </c>
      <c r="J252" s="5">
        <f>(Cotacoes!J252-Cotacoes!J251)/Cotacoes!J251</f>
        <v>-6.4905528341497445E-2</v>
      </c>
      <c r="K252" s="5">
        <f>(Cotacoes!K252-Cotacoes!K251)/Cotacoes!K251</f>
        <v>-2.6337448559670806E-2</v>
      </c>
      <c r="L252" s="5">
        <f>(Cotacoes!L252-Cotacoes!L251)/Cotacoes!L251</f>
        <v>-6.9501226492232185E-2</v>
      </c>
      <c r="M252" s="5">
        <f>(Cotacoes!M252-Cotacoes!M251)/Cotacoes!M251</f>
        <v>-2.2568093385213941E-2</v>
      </c>
      <c r="N252" s="5">
        <f>(Cotacoes!N252-Cotacoes!N251)/Cotacoes!N251</f>
        <v>-1.7432646592709895E-2</v>
      </c>
      <c r="O252" s="5">
        <f>(Cotacoes!O252-Cotacoes!O251)/Cotacoes!O251</f>
        <v>-2.4556616643929021E-2</v>
      </c>
      <c r="P252" s="5">
        <f>(Cotacoes!P252-Cotacoes!P251)/Cotacoes!P251</f>
        <v>-6.9930069930080859E-4</v>
      </c>
      <c r="Q252" s="5">
        <f>(Cotacoes!Q252-Cotacoes!Q251)/Cotacoes!Q251</f>
        <v>1.5424723006734756E-2</v>
      </c>
      <c r="R252" s="5">
        <f>(Cotacoes!R252-Cotacoes!R251)/Cotacoes!R251</f>
        <v>-5.6914184081814034E-2</v>
      </c>
      <c r="S252" s="5">
        <f>(Cotacoes!S252-Cotacoes!S251)/Cotacoes!S251</f>
        <v>-3.0717986676535837E-2</v>
      </c>
      <c r="T252" s="5">
        <f>(Cotacoes!T252-Cotacoes!T251)/Cotacoes!T251</f>
        <v>-1.2113055181695713E-2</v>
      </c>
      <c r="U252" s="5">
        <f>(Cotacoes!U252-Cotacoes!U251)/Cotacoes!U251</f>
        <v>-3.6527806279499163E-2</v>
      </c>
      <c r="V252" s="5">
        <f>(Cotacoes!V252-Cotacoes!V251)/Cotacoes!V251</f>
        <v>-8.4691708008504632E-2</v>
      </c>
      <c r="W252" s="5"/>
    </row>
    <row r="253" spans="1:23" x14ac:dyDescent="0.2">
      <c r="A253" s="4">
        <v>44929</v>
      </c>
      <c r="B253" s="5">
        <f>(Cotacoes!B253-Cotacoes!B252)/Cotacoes!B252</f>
        <v>-1.9101123595505649E-2</v>
      </c>
      <c r="C253" s="5">
        <f>(Cotacoes!C253-Cotacoes!C252)/Cotacoes!C252</f>
        <v>-1.68114317736047E-3</v>
      </c>
      <c r="D253" s="5">
        <f>(Cotacoes!D253-Cotacoes!D252)/Cotacoes!D252</f>
        <v>-2.585604472396932E-2</v>
      </c>
      <c r="E253" s="5">
        <f>(Cotacoes!E253-Cotacoes!E252)/Cotacoes!E252</f>
        <v>-2.1265284423179084E-2</v>
      </c>
      <c r="F253" s="5">
        <f>(Cotacoes!F253-Cotacoes!F252)/Cotacoes!F252</f>
        <v>-1.4150943396226532E-2</v>
      </c>
      <c r="G253" s="5">
        <f>(Cotacoes!G253-Cotacoes!G252)/Cotacoes!G252</f>
        <v>-2.5082690187431193E-2</v>
      </c>
      <c r="H253" s="5">
        <f>(Cotacoes!H253-Cotacoes!H252)/Cotacoes!H252</f>
        <v>-1.8477457501847747E-2</v>
      </c>
      <c r="I253" s="5">
        <f>(Cotacoes!I253-Cotacoes!I252)/Cotacoes!I252</f>
        <v>-1.8579234972677588E-2</v>
      </c>
      <c r="J253" s="5">
        <f>(Cotacoes!J253-Cotacoes!J252)/Cotacoes!J252</f>
        <v>-9.5416276894294688E-3</v>
      </c>
      <c r="K253" s="5">
        <f>(Cotacoes!K253-Cotacoes!K252)/Cotacoes!K252</f>
        <v>-4.9873203719357551E-2</v>
      </c>
      <c r="L253" s="5">
        <f>(Cotacoes!L253-Cotacoes!L252)/Cotacoes!L252</f>
        <v>-3.3391915641476339E-2</v>
      </c>
      <c r="M253" s="5">
        <f>(Cotacoes!M253-Cotacoes!M252)/Cotacoes!M252</f>
        <v>-1.5923566878981966E-3</v>
      </c>
      <c r="N253" s="5">
        <f>(Cotacoes!N253-Cotacoes!N252)/Cotacoes!N252</f>
        <v>-2.5806451612903247E-2</v>
      </c>
      <c r="O253" s="5">
        <f>(Cotacoes!O253-Cotacoes!O252)/Cotacoes!O252</f>
        <v>-2.1445221445221485E-2</v>
      </c>
      <c r="P253" s="5">
        <f>(Cotacoes!P253-Cotacoes!P252)/Cotacoes!P252</f>
        <v>1.8894331700489948E-2</v>
      </c>
      <c r="Q253" s="5">
        <f>(Cotacoes!Q253-Cotacoes!Q252)/Cotacoes!Q252</f>
        <v>1.7757809157038902E-2</v>
      </c>
      <c r="R253" s="5">
        <f>(Cotacoes!R253-Cotacoes!R252)/Cotacoes!R252</f>
        <v>-4.6676096181046768E-2</v>
      </c>
      <c r="S253" s="5">
        <f>(Cotacoes!S253-Cotacoes!S252)/Cotacoes!S252</f>
        <v>-2.4436807941962603E-2</v>
      </c>
      <c r="T253" s="5">
        <f>(Cotacoes!T253-Cotacoes!T252)/Cotacoes!T252</f>
        <v>-6.7029972752043615E-2</v>
      </c>
      <c r="U253" s="5">
        <f>(Cotacoes!U253-Cotacoes!U252)/Cotacoes!U252</f>
        <v>-2.4707135250266316E-2</v>
      </c>
      <c r="V253" s="5">
        <f>(Cotacoes!V253-Cotacoes!V252)/Cotacoes!V252</f>
        <v>-4.9554781262098245E-2</v>
      </c>
      <c r="W253" s="5"/>
    </row>
    <row r="254" spans="1:23" x14ac:dyDescent="0.2">
      <c r="A254" s="4">
        <v>44930</v>
      </c>
      <c r="B254" s="5">
        <f>(Cotacoes!B254-Cotacoes!B253)/Cotacoes!B253</f>
        <v>1.1454753722794961E-2</v>
      </c>
      <c r="C254" s="5">
        <f>(Cotacoes!C254-Cotacoes!C253)/Cotacoes!C253</f>
        <v>1.6839741790624519E-3</v>
      </c>
      <c r="D254" s="5">
        <f>(Cotacoes!D254-Cotacoes!D253)/Cotacoes!D253</f>
        <v>3.2281205164992902E-2</v>
      </c>
      <c r="E254" s="5">
        <f>(Cotacoes!E254-Cotacoes!E253)/Cotacoes!E253</f>
        <v>3.2590983161324672E-3</v>
      </c>
      <c r="F254" s="5">
        <f>(Cotacoes!F254-Cotacoes!F253)/Cotacoes!F253</f>
        <v>1.6746411483253659E-2</v>
      </c>
      <c r="G254" s="5">
        <f>(Cotacoes!G254-Cotacoes!G253)/Cotacoes!G253</f>
        <v>6.7854113655640936E-3</v>
      </c>
      <c r="H254" s="5">
        <f>(Cotacoes!H254-Cotacoes!H253)/Cotacoes!H253</f>
        <v>1.2801204819277105E-2</v>
      </c>
      <c r="I254" s="5">
        <f>(Cotacoes!I254-Cotacoes!I253)/Cotacoes!I253</f>
        <v>2.6726057906458819E-2</v>
      </c>
      <c r="J254" s="5">
        <f>(Cotacoes!J254-Cotacoes!J253)/Cotacoes!J253</f>
        <v>7.7446165470344483E-3</v>
      </c>
      <c r="K254" s="5">
        <f>(Cotacoes!K254-Cotacoes!K253)/Cotacoes!K253</f>
        <v>3.5587188612098883E-3</v>
      </c>
      <c r="L254" s="5">
        <f>(Cotacoes!L254-Cotacoes!L253)/Cotacoes!L253</f>
        <v>8.1818181818181686E-3</v>
      </c>
      <c r="M254" s="5">
        <f>(Cotacoes!M254-Cotacoes!M253)/Cotacoes!M253</f>
        <v>5.5821371610845529E-3</v>
      </c>
      <c r="N254" s="5">
        <f>(Cotacoes!N254-Cotacoes!N253)/Cotacoes!N253</f>
        <v>8.2781456953642096E-3</v>
      </c>
      <c r="O254" s="5">
        <f>(Cotacoes!O254-Cotacoes!O253)/Cotacoes!O253</f>
        <v>1.4768937589328361E-2</v>
      </c>
      <c r="P254" s="5">
        <f>(Cotacoes!P254-Cotacoes!P253)/Cotacoes!P253</f>
        <v>2.6785714285714201E-2</v>
      </c>
      <c r="Q254" s="5">
        <f>(Cotacoes!Q254-Cotacoes!Q253)/Cotacoes!Q253</f>
        <v>1.8919487071683058E-3</v>
      </c>
      <c r="R254" s="5">
        <f>(Cotacoes!R254-Cotacoes!R253)/Cotacoes!R253</f>
        <v>1.7309594460929844E-2</v>
      </c>
      <c r="S254" s="5">
        <f>(Cotacoes!S254-Cotacoes!S253)/Cotacoes!S253</f>
        <v>1.9569471624266421E-3</v>
      </c>
      <c r="T254" s="5">
        <f>(Cotacoes!T254-Cotacoes!T253)/Cotacoes!T253</f>
        <v>-5.8411214953271859E-3</v>
      </c>
      <c r="U254" s="5">
        <f>(Cotacoes!U254-Cotacoes!U253)/Cotacoes!U253</f>
        <v>1.1792967896920706E-2</v>
      </c>
      <c r="V254" s="5">
        <f>(Cotacoes!V254-Cotacoes!V253)/Cotacoes!V253</f>
        <v>1.58859470468432E-2</v>
      </c>
      <c r="W254" s="5"/>
    </row>
    <row r="255" spans="1:23" x14ac:dyDescent="0.2">
      <c r="A255" s="4">
        <v>44931</v>
      </c>
      <c r="B255" s="5">
        <f>(Cotacoes!B255-Cotacoes!B254)/Cotacoes!B254</f>
        <v>2.0951302378256043E-2</v>
      </c>
      <c r="C255" s="5">
        <f>(Cotacoes!C255-Cotacoes!C254)/Cotacoes!C254</f>
        <v>1.6811431773606094E-2</v>
      </c>
      <c r="D255" s="5">
        <f>(Cotacoes!D255-Cotacoes!D254)/Cotacoes!D254</f>
        <v>3.613620569840164E-2</v>
      </c>
      <c r="E255" s="5">
        <f>(Cotacoes!E255-Cotacoes!E254)/Cotacoes!E254</f>
        <v>3.0860855441256108E-2</v>
      </c>
      <c r="F255" s="5">
        <f>(Cotacoes!F255-Cotacoes!F254)/Cotacoes!F254</f>
        <v>3.2352941176470633E-2</v>
      </c>
      <c r="G255" s="5">
        <f>(Cotacoes!G255-Cotacoes!G254)/Cotacoes!G254</f>
        <v>2.2465599550687532E-3</v>
      </c>
      <c r="H255" s="5">
        <f>(Cotacoes!H255-Cotacoes!H254)/Cotacoes!H254</f>
        <v>4.6096654275093012E-2</v>
      </c>
      <c r="I255" s="5">
        <f>(Cotacoes!I255-Cotacoes!I254)/Cotacoes!I254</f>
        <v>2.1691973969630773E-3</v>
      </c>
      <c r="J255" s="5">
        <f>(Cotacoes!J255-Cotacoes!J254)/Cotacoes!J254</f>
        <v>2.4929709465791906E-2</v>
      </c>
      <c r="K255" s="5">
        <f>(Cotacoes!K255-Cotacoes!K254)/Cotacoes!K254</f>
        <v>4.3439716312056759E-2</v>
      </c>
      <c r="L255" s="5">
        <f>(Cotacoes!L255-Cotacoes!L254)/Cotacoes!L254</f>
        <v>3.0658250676284929E-2</v>
      </c>
      <c r="M255" s="5">
        <f>(Cotacoes!M255-Cotacoes!M254)/Cotacoes!M254</f>
        <v>2.3790642347344283E-3</v>
      </c>
      <c r="N255" s="5">
        <f>(Cotacoes!N255-Cotacoes!N254)/Cotacoes!N254</f>
        <v>1.4778325123152686E-2</v>
      </c>
      <c r="O255" s="5">
        <f>(Cotacoes!O255-Cotacoes!O254)/Cotacoes!O254</f>
        <v>3.7558685446009425E-2</v>
      </c>
      <c r="P255" s="5">
        <f>(Cotacoes!P255-Cotacoes!P254)/Cotacoes!P254</f>
        <v>-1.1371237458193975E-2</v>
      </c>
      <c r="Q255" s="5">
        <f>(Cotacoes!Q255-Cotacoes!Q254)/Cotacoes!Q254</f>
        <v>6.2945866554763802E-3</v>
      </c>
      <c r="R255" s="5">
        <f>(Cotacoes!R255-Cotacoes!R254)/Cotacoes!R254</f>
        <v>3.8891589693728766E-2</v>
      </c>
      <c r="S255" s="5">
        <f>(Cotacoes!S255-Cotacoes!S254)/Cotacoes!S254</f>
        <v>3.1249999999999334E-3</v>
      </c>
      <c r="T255" s="5">
        <f>(Cotacoes!T255-Cotacoes!T254)/Cotacoes!T254</f>
        <v>2.5558166862514616E-2</v>
      </c>
      <c r="U255" s="5">
        <f>(Cotacoes!U255-Cotacoes!U254)/Cotacoes!U254</f>
        <v>8.4178717893373754E-3</v>
      </c>
      <c r="V255" s="5">
        <f>(Cotacoes!V255-Cotacoes!V254)/Cotacoes!V254</f>
        <v>5.7738572574177936E-2</v>
      </c>
      <c r="W255" s="5"/>
    </row>
    <row r="256" spans="1:23" x14ac:dyDescent="0.2">
      <c r="A256" s="4">
        <v>44932</v>
      </c>
      <c r="B256" s="5">
        <f>(Cotacoes!B256-Cotacoes!B255)/Cotacoes!B255</f>
        <v>9.4287298946200138E-3</v>
      </c>
      <c r="C256" s="5">
        <f>(Cotacoes!C256-Cotacoes!C255)/Cotacoes!C255</f>
        <v>1.5844585285202613E-2</v>
      </c>
      <c r="D256" s="5">
        <f>(Cotacoes!D256-Cotacoes!D255)/Cotacoes!D255</f>
        <v>-6.0362173038229277E-3</v>
      </c>
      <c r="E256" s="5">
        <f>(Cotacoes!E256-Cotacoes!E255)/Cotacoes!E255</f>
        <v>1.7331932773109342E-2</v>
      </c>
      <c r="F256" s="5">
        <f>(Cotacoes!F256-Cotacoes!F255)/Cotacoes!F255</f>
        <v>-6.2678062678062354E-3</v>
      </c>
      <c r="G256" s="5">
        <f>(Cotacoes!G256-Cotacoes!G255)/Cotacoes!G255</f>
        <v>1.4569907537125334E-2</v>
      </c>
      <c r="H256" s="5">
        <f>(Cotacoes!H256-Cotacoes!H255)/Cotacoes!H255</f>
        <v>1.3503909026297051E-2</v>
      </c>
      <c r="I256" s="5">
        <f>(Cotacoes!I256-Cotacoes!I255)/Cotacoes!I255</f>
        <v>2.7056277056271673E-4</v>
      </c>
      <c r="J256" s="5">
        <f>(Cotacoes!J256-Cotacoes!J255)/Cotacoes!J255</f>
        <v>4.5720555961960493E-3</v>
      </c>
      <c r="K256" s="5">
        <f>(Cotacoes!K256-Cotacoes!K255)/Cotacoes!K255</f>
        <v>2.718776550552254E-2</v>
      </c>
      <c r="L256" s="5">
        <f>(Cotacoes!L256-Cotacoes!L255)/Cotacoes!L255</f>
        <v>2.3622047244094453E-2</v>
      </c>
      <c r="M256" s="5">
        <f>(Cotacoes!M256-Cotacoes!M255)/Cotacoes!M255</f>
        <v>2.3734177215189367E-3</v>
      </c>
      <c r="N256" s="5">
        <f>(Cotacoes!N256-Cotacoes!N255)/Cotacoes!N255</f>
        <v>1.7799352750809114E-2</v>
      </c>
      <c r="O256" s="5">
        <f>(Cotacoes!O256-Cotacoes!O255)/Cotacoes!O255</f>
        <v>4.9773755656108334E-3</v>
      </c>
      <c r="P256" s="5">
        <f>(Cotacoes!P256-Cotacoes!P255)/Cotacoes!P255</f>
        <v>-1.6238159675236823E-2</v>
      </c>
      <c r="Q256" s="5">
        <f>(Cotacoes!Q256-Cotacoes!Q255)/Cotacoes!Q255</f>
        <v>-6.2552126772311145E-3</v>
      </c>
      <c r="R256" s="5">
        <f>(Cotacoes!R256-Cotacoes!R255)/Cotacoes!R255</f>
        <v>1.2634534394010273E-2</v>
      </c>
      <c r="S256" s="5">
        <f>(Cotacoes!S256-Cotacoes!S255)/Cotacoes!S255</f>
        <v>-3.1152647975077217E-3</v>
      </c>
      <c r="T256" s="5">
        <f>(Cotacoes!T256-Cotacoes!T255)/Cotacoes!T255</f>
        <v>6.0154683471784843E-3</v>
      </c>
      <c r="U256" s="5">
        <f>(Cotacoes!U256-Cotacoes!U255)/Cotacoes!U255</f>
        <v>1.9049657534246589E-2</v>
      </c>
      <c r="V256" s="5">
        <f>(Cotacoes!V256-Cotacoes!V255)/Cotacoes!V255</f>
        <v>1.0235026535253964E-2</v>
      </c>
      <c r="W256" s="5"/>
    </row>
    <row r="257" spans="1:23" x14ac:dyDescent="0.2">
      <c r="A257" s="4">
        <v>44935</v>
      </c>
      <c r="B257" s="5">
        <f>(Cotacoes!B257-Cotacoes!B256)/Cotacoes!B256</f>
        <v>9.450549450549444E-3</v>
      </c>
      <c r="C257" s="5">
        <f>(Cotacoes!C257-Cotacoes!C256)/Cotacoes!C256</f>
        <v>1.085040010850377E-3</v>
      </c>
      <c r="D257" s="5">
        <f>(Cotacoes!D257-Cotacoes!D256)/Cotacoes!D256</f>
        <v>5.398110661268561E-3</v>
      </c>
      <c r="E257" s="5">
        <f>(Cotacoes!E257-Cotacoes!E256)/Cotacoes!E256</f>
        <v>7.2276716572018873E-3</v>
      </c>
      <c r="F257" s="5">
        <f>(Cotacoes!F257-Cotacoes!F256)/Cotacoes!F256</f>
        <v>6.8807339449539814E-3</v>
      </c>
      <c r="G257" s="5">
        <f>(Cotacoes!G257-Cotacoes!G256)/Cotacoes!G256</f>
        <v>-2.7616680475007296E-3</v>
      </c>
      <c r="H257" s="5">
        <f>(Cotacoes!H257-Cotacoes!H256)/Cotacoes!H256</f>
        <v>-9.8176718092567016E-3</v>
      </c>
      <c r="I257" s="5">
        <f>(Cotacoes!I257-Cotacoes!I256)/Cotacoes!I256</f>
        <v>7.3032188260752813E-3</v>
      </c>
      <c r="J257" s="5">
        <f>(Cotacoes!J257-Cotacoes!J256)/Cotacoes!J256</f>
        <v>1.820498816675795E-3</v>
      </c>
      <c r="K257" s="5">
        <f>(Cotacoes!K257-Cotacoes!K256)/Cotacoes!K256</f>
        <v>0</v>
      </c>
      <c r="L257" s="5">
        <f>(Cotacoes!L257-Cotacoes!L256)/Cotacoes!L256</f>
        <v>-1.3675213675213687E-2</v>
      </c>
      <c r="M257" s="5">
        <f>(Cotacoes!M257-Cotacoes!M256)/Cotacoes!M256</f>
        <v>5.524861878453061E-3</v>
      </c>
      <c r="N257" s="5">
        <f>(Cotacoes!N257-Cotacoes!N256)/Cotacoes!N256</f>
        <v>6.3593004769475414E-3</v>
      </c>
      <c r="O257" s="5">
        <f>(Cotacoes!O257-Cotacoes!O256)/Cotacoes!O256</f>
        <v>3.0166591625393882E-2</v>
      </c>
      <c r="P257" s="5">
        <f>(Cotacoes!P257-Cotacoes!P256)/Cotacoes!P256</f>
        <v>1.7193947730398902E-2</v>
      </c>
      <c r="Q257" s="5">
        <f>(Cotacoes!Q257-Cotacoes!Q256)/Cotacoes!Q256</f>
        <v>1.3218631976500264E-2</v>
      </c>
      <c r="R257" s="5">
        <f>(Cotacoes!R257-Cotacoes!R256)/Cotacoes!R256</f>
        <v>-1.2476894639556356E-2</v>
      </c>
      <c r="S257" s="5">
        <f>(Cotacoes!S257-Cotacoes!S256)/Cotacoes!S256</f>
        <v>1.3671874999999917E-2</v>
      </c>
      <c r="T257" s="5">
        <f>(Cotacoes!T257-Cotacoes!T256)/Cotacoes!T256</f>
        <v>2.3633257403189223E-2</v>
      </c>
      <c r="U257" s="5">
        <f>(Cotacoes!U257-Cotacoes!U256)/Cotacoes!U256</f>
        <v>-1.2602394454946917E-3</v>
      </c>
      <c r="V257" s="5">
        <f>(Cotacoes!V257-Cotacoes!V256)/Cotacoes!V256</f>
        <v>-1.7636022514071252E-2</v>
      </c>
      <c r="W257" s="5"/>
    </row>
    <row r="258" spans="1:23" x14ac:dyDescent="0.2">
      <c r="A258" s="4">
        <v>44936</v>
      </c>
      <c r="B258" s="5">
        <f>(Cotacoes!B258-Cotacoes!B257)/Cotacoes!B257</f>
        <v>1.0232963204876962E-2</v>
      </c>
      <c r="C258" s="5">
        <f>(Cotacoes!C258-Cotacoes!C257)/Cotacoes!C257</f>
        <v>1.2328952716434041E-2</v>
      </c>
      <c r="D258" s="5">
        <f>(Cotacoes!D258-Cotacoes!D257)/Cotacoes!D257</f>
        <v>9.3959731543623356E-3</v>
      </c>
      <c r="E258" s="5">
        <f>(Cotacoes!E258-Cotacoes!E257)/Cotacoes!E257</f>
        <v>1.9477191184008147E-2</v>
      </c>
      <c r="F258" s="5">
        <f>(Cotacoes!F258-Cotacoes!F257)/Cotacoes!F257</f>
        <v>5.6947608200456391E-3</v>
      </c>
      <c r="G258" s="5">
        <f>(Cotacoes!G258-Cotacoes!G257)/Cotacoes!G257</f>
        <v>-9.6926059263362351E-3</v>
      </c>
      <c r="H258" s="5">
        <f>(Cotacoes!H258-Cotacoes!H257)/Cotacoes!H257</f>
        <v>1.6997167138810214E-2</v>
      </c>
      <c r="I258" s="5">
        <f>(Cotacoes!I258-Cotacoes!I257)/Cotacoes!I257</f>
        <v>-9.6670247046186739E-3</v>
      </c>
      <c r="J258" s="5">
        <f>(Cotacoes!J258-Cotacoes!J257)/Cotacoes!J257</f>
        <v>2.9075049972741521E-3</v>
      </c>
      <c r="K258" s="5">
        <f>(Cotacoes!K258-Cotacoes!K257)/Cotacoes!K257</f>
        <v>3.7220843672456518E-2</v>
      </c>
      <c r="L258" s="5">
        <f>(Cotacoes!L258-Cotacoes!L257)/Cotacoes!L257</f>
        <v>3.5528596187175056E-2</v>
      </c>
      <c r="M258" s="5">
        <f>(Cotacoes!M258-Cotacoes!M257)/Cotacoes!M257</f>
        <v>1.0204081632652982E-2</v>
      </c>
      <c r="N258" s="5">
        <f>(Cotacoes!N258-Cotacoes!N257)/Cotacoes!N257</f>
        <v>2.211690363349126E-2</v>
      </c>
      <c r="O258" s="5">
        <f>(Cotacoes!O258-Cotacoes!O257)/Cotacoes!O257</f>
        <v>-1.0052447552447571E-2</v>
      </c>
      <c r="P258" s="5">
        <f>(Cotacoes!P258-Cotacoes!P257)/Cotacoes!P257</f>
        <v>1.8931710615280675E-2</v>
      </c>
      <c r="Q258" s="5">
        <f>(Cotacoes!Q258-Cotacoes!Q257)/Cotacoes!Q257</f>
        <v>-1.2424932698281247E-2</v>
      </c>
      <c r="R258" s="5">
        <f>(Cotacoes!R258-Cotacoes!R257)/Cotacoes!R257</f>
        <v>4.5390734674777673E-2</v>
      </c>
      <c r="S258" s="5">
        <f>(Cotacoes!S258-Cotacoes!S257)/Cotacoes!S257</f>
        <v>8.8631984585741969E-3</v>
      </c>
      <c r="T258" s="5">
        <f>(Cotacoes!T258-Cotacoes!T257)/Cotacoes!T257</f>
        <v>5.5632823365784623E-3</v>
      </c>
      <c r="U258" s="5">
        <f>(Cotacoes!U258-Cotacoes!U257)/Cotacoes!U257</f>
        <v>3.2176656151419583E-2</v>
      </c>
      <c r="V258" s="5">
        <f>(Cotacoes!V258-Cotacoes!V257)/Cotacoes!V257</f>
        <v>-1.2605042016806657E-2</v>
      </c>
      <c r="W258" s="5"/>
    </row>
    <row r="259" spans="1:23" x14ac:dyDescent="0.2">
      <c r="A259" s="4">
        <v>44937</v>
      </c>
      <c r="B259" s="5">
        <f>(Cotacoes!B259-Cotacoes!B258)/Cotacoes!B258</f>
        <v>9.5905172413793174E-3</v>
      </c>
      <c r="C259" s="5">
        <f>(Cotacoes!C259-Cotacoes!C258)/Cotacoes!C258</f>
        <v>-3.4796573875803681E-3</v>
      </c>
      <c r="D259" s="5">
        <f>(Cotacoes!D259-Cotacoes!D258)/Cotacoes!D258</f>
        <v>7.9787234042553862E-3</v>
      </c>
      <c r="E259" s="5">
        <f>(Cotacoes!E259-Cotacoes!E258)/Cotacoes!E258</f>
        <v>1.7094017094017085E-2</v>
      </c>
      <c r="F259" s="5">
        <f>(Cotacoes!F259-Cotacoes!F258)/Cotacoes!F258</f>
        <v>1.3023782559456423E-2</v>
      </c>
      <c r="G259" s="5">
        <f>(Cotacoes!G259-Cotacoes!G258)/Cotacoes!G258</f>
        <v>2.7964205816554812E-2</v>
      </c>
      <c r="H259" s="5">
        <f>(Cotacoes!H259-Cotacoes!H258)/Cotacoes!H258</f>
        <v>1.4623955431754935E-2</v>
      </c>
      <c r="I259" s="5">
        <f>(Cotacoes!I259-Cotacoes!I258)/Cotacoes!I258</f>
        <v>4.5281995661605054E-2</v>
      </c>
      <c r="J259" s="5">
        <f>(Cotacoes!J259-Cotacoes!J258)/Cotacoes!J258</f>
        <v>1.1596303678202583E-2</v>
      </c>
      <c r="K259" s="5">
        <f>(Cotacoes!K259-Cotacoes!K258)/Cotacoes!K258</f>
        <v>1.9936204146730464E-2</v>
      </c>
      <c r="L259" s="5">
        <f>(Cotacoes!L259-Cotacoes!L258)/Cotacoes!L258</f>
        <v>4.6025104602510525E-2</v>
      </c>
      <c r="M259" s="5">
        <f>(Cotacoes!M259-Cotacoes!M258)/Cotacoes!M258</f>
        <v>-1.7871017871017768E-2</v>
      </c>
      <c r="N259" s="5">
        <f>(Cotacoes!N259-Cotacoes!N258)/Cotacoes!N258</f>
        <v>7.7279752704791076E-3</v>
      </c>
      <c r="O259" s="5">
        <f>(Cotacoes!O259-Cotacoes!O258)/Cotacoes!O258</f>
        <v>-1.0596026490066158E-2</v>
      </c>
      <c r="P259" s="5">
        <f>(Cotacoes!P259-Cotacoes!P258)/Cotacoes!P258</f>
        <v>3.3178500331785002E-2</v>
      </c>
      <c r="Q259" s="5">
        <f>(Cotacoes!Q259-Cotacoes!Q258)/Cotacoes!Q258</f>
        <v>-1.4468442021388086E-2</v>
      </c>
      <c r="R259" s="5">
        <f>(Cotacoes!R259-Cotacoes!R258)/Cotacoes!R258</f>
        <v>7.6096687555954213E-3</v>
      </c>
      <c r="S259" s="5">
        <f>(Cotacoes!S259-Cotacoes!S258)/Cotacoes!S258</f>
        <v>4.5072574484339177E-2</v>
      </c>
      <c r="T259" s="5">
        <f>(Cotacoes!T259-Cotacoes!T258)/Cotacoes!T258</f>
        <v>7.773167358229606E-2</v>
      </c>
      <c r="U259" s="5">
        <f>(Cotacoes!U259-Cotacoes!U258)/Cotacoes!U258</f>
        <v>2.6894865525672378E-2</v>
      </c>
      <c r="V259" s="5">
        <f>(Cotacoes!V259-Cotacoes!V258)/Cotacoes!V258</f>
        <v>1.1218568665377142E-2</v>
      </c>
      <c r="W259" s="5"/>
    </row>
    <row r="260" spans="1:23" x14ac:dyDescent="0.2">
      <c r="A260" s="4">
        <v>44938</v>
      </c>
      <c r="B260" s="5">
        <f>(Cotacoes!B260-Cotacoes!B259)/Cotacoes!B259</f>
        <v>5.3367488525989971E-3</v>
      </c>
      <c r="C260" s="5">
        <f>(Cotacoes!C260-Cotacoes!C259)/Cotacoes!C259</f>
        <v>5.2377115229653584E-3</v>
      </c>
      <c r="D260" s="5">
        <f>(Cotacoes!D260-Cotacoes!D259)/Cotacoes!D259</f>
        <v>1.3852242744063263E-2</v>
      </c>
      <c r="E260" s="5">
        <f>(Cotacoes!E260-Cotacoes!E259)/Cotacoes!E259</f>
        <v>-1.3840830449827046E-2</v>
      </c>
      <c r="F260" s="5">
        <f>(Cotacoes!F260-Cotacoes!F259)/Cotacoes!F259</f>
        <v>5.5897149245387294E-3</v>
      </c>
      <c r="G260" s="5">
        <f>(Cotacoes!G260-Cotacoes!G259)/Cotacoes!G259</f>
        <v>-2.4483133841130661E-3</v>
      </c>
      <c r="H260" s="5">
        <f>(Cotacoes!H260-Cotacoes!H259)/Cotacoes!H259</f>
        <v>-6.8634179821550892E-3</v>
      </c>
      <c r="I260" s="5">
        <f>(Cotacoes!I260-Cotacoes!I259)/Cotacoes!I259</f>
        <v>-8.8197146562904363E-3</v>
      </c>
      <c r="J260" s="5">
        <f>(Cotacoes!J260-Cotacoes!J259)/Cotacoes!J259</f>
        <v>-1.1821601289629171E-2</v>
      </c>
      <c r="K260" s="5">
        <f>(Cotacoes!K260-Cotacoes!K259)/Cotacoes!K259</f>
        <v>-2.3455824863174272E-2</v>
      </c>
      <c r="L260" s="5">
        <f>(Cotacoes!L260-Cotacoes!L259)/Cotacoes!L259</f>
        <v>-5.6000000000000225E-3</v>
      </c>
      <c r="M260" s="5">
        <f>(Cotacoes!M260-Cotacoes!M259)/Cotacoes!M259</f>
        <v>-1.2658227848101276E-2</v>
      </c>
      <c r="N260" s="5">
        <f>(Cotacoes!N260-Cotacoes!N259)/Cotacoes!N259</f>
        <v>-1.0736196319018313E-2</v>
      </c>
      <c r="O260" s="5">
        <f>(Cotacoes!O260-Cotacoes!O259)/Cotacoes!O259</f>
        <v>-1.6956715751896431E-2</v>
      </c>
      <c r="P260" s="5">
        <f>(Cotacoes!P260-Cotacoes!P259)/Cotacoes!P259</f>
        <v>7.707129094412281E-3</v>
      </c>
      <c r="Q260" s="5">
        <f>(Cotacoes!Q260-Cotacoes!Q259)/Cotacoes!Q259</f>
        <v>2.0425531914893637E-2</v>
      </c>
      <c r="R260" s="5">
        <f>(Cotacoes!R260-Cotacoes!R259)/Cotacoes!R259</f>
        <v>-3.9537983118613972E-2</v>
      </c>
      <c r="S260" s="5">
        <f>(Cotacoes!S260-Cotacoes!S259)/Cotacoes!S259</f>
        <v>6.9444444444444918E-3</v>
      </c>
      <c r="T260" s="5">
        <f>(Cotacoes!T260-Cotacoes!T259)/Cotacoes!T259</f>
        <v>1.8737166324435239E-2</v>
      </c>
      <c r="U260" s="5">
        <f>(Cotacoes!U260-Cotacoes!U259)/Cotacoes!U259</f>
        <v>-8.9285714285713448E-3</v>
      </c>
      <c r="V260" s="5">
        <f>(Cotacoes!V260-Cotacoes!V259)/Cotacoes!V259</f>
        <v>-2.0275439938791169E-2</v>
      </c>
      <c r="W260" s="5"/>
    </row>
    <row r="261" spans="1:23" x14ac:dyDescent="0.2">
      <c r="A261" s="4">
        <v>44939</v>
      </c>
      <c r="B261" s="5">
        <f>(Cotacoes!B261-Cotacoes!B260)/Cotacoes!B260</f>
        <v>-1.1147680220830207E-2</v>
      </c>
      <c r="C261" s="5">
        <f>(Cotacoes!C261-Cotacoes!C260)/Cotacoes!C260</f>
        <v>8.0160320641285612E-4</v>
      </c>
      <c r="D261" s="5">
        <f>(Cotacoes!D261-Cotacoes!D260)/Cotacoes!D260</f>
        <v>-1.9518542615484294E-3</v>
      </c>
      <c r="E261" s="5">
        <f>(Cotacoes!E261-Cotacoes!E260)/Cotacoes!E260</f>
        <v>-5.012531328320695E-3</v>
      </c>
      <c r="F261" s="5">
        <f>(Cotacoes!F261-Cotacoes!F260)/Cotacoes!F260</f>
        <v>-2.2234574763757169E-3</v>
      </c>
      <c r="G261" s="5">
        <f>(Cotacoes!G261-Cotacoes!G260)/Cotacoes!G260</f>
        <v>1.1998909190073567E-2</v>
      </c>
      <c r="H261" s="5">
        <f>(Cotacoes!H261-Cotacoes!H260)/Cotacoes!H260</f>
        <v>2.764340013821641E-3</v>
      </c>
      <c r="I261" s="5">
        <f>(Cotacoes!I261-Cotacoes!I260)/Cotacoes!I260</f>
        <v>-1.8581523161476075E-2</v>
      </c>
      <c r="J261" s="5">
        <f>(Cotacoes!J261-Cotacoes!J260)/Cotacoes!J260</f>
        <v>-8.5191227116186118E-3</v>
      </c>
      <c r="K261" s="5">
        <f>(Cotacoes!K261-Cotacoes!K260)/Cotacoes!K260</f>
        <v>-3.2025620496397857E-3</v>
      </c>
      <c r="L261" s="5">
        <f>(Cotacoes!L261-Cotacoes!L260)/Cotacoes!L260</f>
        <v>-1.6090104585679749E-2</v>
      </c>
      <c r="M261" s="5">
        <f>(Cotacoes!M261-Cotacoes!M260)/Cotacoes!M260</f>
        <v>-1.6025641025641111E-2</v>
      </c>
      <c r="N261" s="5">
        <f>(Cotacoes!N261-Cotacoes!N260)/Cotacoes!N260</f>
        <v>-7.7519379844960962E-3</v>
      </c>
      <c r="O261" s="5">
        <f>(Cotacoes!O261-Cotacoes!O260)/Cotacoes!O260</f>
        <v>-2.4058102587380895E-2</v>
      </c>
      <c r="P261" s="5">
        <f>(Cotacoes!P261-Cotacoes!P260)/Cotacoes!P260</f>
        <v>2.5493945188018435E-3</v>
      </c>
      <c r="Q261" s="5">
        <f>(Cotacoes!Q261-Cotacoes!Q260)/Cotacoes!Q260</f>
        <v>3.3361134278564759E-3</v>
      </c>
      <c r="R261" s="5">
        <f>(Cotacoes!R261-Cotacoes!R260)/Cotacoes!R260</f>
        <v>-2.9602220166512514E-2</v>
      </c>
      <c r="S261" s="5">
        <f>(Cotacoes!S261-Cotacoes!S260)/Cotacoes!S260</f>
        <v>-1.7059891107078128E-2</v>
      </c>
      <c r="T261" s="5">
        <f>(Cotacoes!T261-Cotacoes!T260)/Cotacoes!T260</f>
        <v>-1.7636684303350865E-2</v>
      </c>
      <c r="U261" s="5">
        <f>(Cotacoes!U261-Cotacoes!U260)/Cotacoes!U260</f>
        <v>-1.5015015015015015E-2</v>
      </c>
      <c r="V261" s="5">
        <f>(Cotacoes!V261-Cotacoes!V260)/Cotacoes!V260</f>
        <v>-2.0304568527918766E-2</v>
      </c>
      <c r="W261" s="5"/>
    </row>
    <row r="262" spans="1:23" x14ac:dyDescent="0.2">
      <c r="A262" s="4">
        <v>44942</v>
      </c>
      <c r="B262" s="5">
        <f>(Cotacoes!B262-Cotacoes!B261)/Cotacoes!B261</f>
        <v>-1.578269272063559E-2</v>
      </c>
      <c r="C262" s="5">
        <f>(Cotacoes!C262-Cotacoes!C261)/Cotacoes!C261</f>
        <v>-1.6686690695501268E-2</v>
      </c>
      <c r="D262" s="5">
        <f>(Cotacoes!D262-Cotacoes!D261)/Cotacoes!D261</f>
        <v>-2.1512385919165586E-2</v>
      </c>
      <c r="E262" s="5">
        <f>(Cotacoes!E262-Cotacoes!E261)/Cotacoes!E261</f>
        <v>-1.0579345088161251E-2</v>
      </c>
      <c r="F262" s="5">
        <f>(Cotacoes!F262-Cotacoes!F261)/Cotacoes!F261</f>
        <v>-2.5069637883008318E-2</v>
      </c>
      <c r="G262" s="5">
        <f>(Cotacoes!G262-Cotacoes!G261)/Cotacoes!G261</f>
        <v>-3.2875235785502527E-2</v>
      </c>
      <c r="H262" s="5">
        <f>(Cotacoes!H262-Cotacoes!H261)/Cotacoes!H261</f>
        <v>-1.3783597518952154E-3</v>
      </c>
      <c r="I262" s="5">
        <f>(Cotacoes!I262-Cotacoes!I261)/Cotacoes!I261</f>
        <v>-1.8399999999999941E-2</v>
      </c>
      <c r="J262" s="5">
        <f>(Cotacoes!J262-Cotacoes!J261)/Cotacoes!J261</f>
        <v>2.7422303473491512E-3</v>
      </c>
      <c r="K262" s="5">
        <f>(Cotacoes!K262-Cotacoes!K261)/Cotacoes!K261</f>
        <v>-3.0522088353413575E-2</v>
      </c>
      <c r="L262" s="5">
        <f>(Cotacoes!L262-Cotacoes!L261)/Cotacoes!L261</f>
        <v>-1.5535568274734363E-2</v>
      </c>
      <c r="M262" s="5">
        <f>(Cotacoes!M262-Cotacoes!M261)/Cotacoes!M261</f>
        <v>-4.8859934853420169E-2</v>
      </c>
      <c r="N262" s="5">
        <f>(Cotacoes!N262-Cotacoes!N261)/Cotacoes!N261</f>
        <v>-1.718750000000005E-2</v>
      </c>
      <c r="O262" s="5">
        <f>(Cotacoes!O262-Cotacoes!O261)/Cotacoes!O261</f>
        <v>-6.0465116279069305E-3</v>
      </c>
      <c r="P262" s="5">
        <f>(Cotacoes!P262-Cotacoes!P261)/Cotacoes!P261</f>
        <v>3.9415130324221295E-2</v>
      </c>
      <c r="Q262" s="5">
        <f>(Cotacoes!Q262-Cotacoes!Q261)/Cotacoes!Q261</f>
        <v>3.5328345802161619E-3</v>
      </c>
      <c r="R262" s="5">
        <f>(Cotacoes!R262-Cotacoes!R261)/Cotacoes!R261</f>
        <v>-3.3365109628217315E-2</v>
      </c>
      <c r="S262" s="5">
        <f>(Cotacoes!S262-Cotacoes!S261)/Cotacoes!S261</f>
        <v>-9.2319054652880359E-3</v>
      </c>
      <c r="T262" s="5">
        <f>(Cotacoes!T262-Cotacoes!T261)/Cotacoes!T261</f>
        <v>5.129520389842529E-4</v>
      </c>
      <c r="U262" s="5">
        <f>(Cotacoes!U262-Cotacoes!U261)/Cotacoes!U261</f>
        <v>8.1300813008128347E-4</v>
      </c>
      <c r="V262" s="5">
        <f>(Cotacoes!V262-Cotacoes!V261)/Cotacoes!V261</f>
        <v>-6.3770426464727038E-3</v>
      </c>
      <c r="W262" s="5"/>
    </row>
    <row r="263" spans="1:23" x14ac:dyDescent="0.2">
      <c r="A263" s="4">
        <v>44943</v>
      </c>
      <c r="B263" s="5">
        <f>(Cotacoes!B263-Cotacoes!B262)/Cotacoes!B262</f>
        <v>1.3308606959746906E-2</v>
      </c>
      <c r="C263" s="5">
        <f>(Cotacoes!C263-Cotacoes!C262)/Cotacoes!C262</f>
        <v>-1.3575889220743187E-3</v>
      </c>
      <c r="D263" s="5">
        <f>(Cotacoes!D263-Cotacoes!D262)/Cotacoes!D262</f>
        <v>6.1292471685542971E-2</v>
      </c>
      <c r="E263" s="5">
        <f>(Cotacoes!E263-Cotacoes!E262)/Cotacoes!E262</f>
        <v>2.0366598778004001E-2</v>
      </c>
      <c r="F263" s="5">
        <f>(Cotacoes!F263-Cotacoes!F262)/Cotacoes!F262</f>
        <v>7.0285714285714312E-2</v>
      </c>
      <c r="G263" s="5">
        <f>(Cotacoes!G263-Cotacoes!G262)/Cotacoes!G262</f>
        <v>1.6439119531902933E-2</v>
      </c>
      <c r="H263" s="5">
        <f>(Cotacoes!H263-Cotacoes!H262)/Cotacoes!H262</f>
        <v>5.8661145617667332E-2</v>
      </c>
      <c r="I263" s="5">
        <f>(Cotacoes!I263-Cotacoes!I262)/Cotacoes!I262</f>
        <v>1.8201575658788226E-2</v>
      </c>
      <c r="J263" s="5">
        <f>(Cotacoes!J263-Cotacoes!J262)/Cotacoes!J262</f>
        <v>9.1157702825888781E-3</v>
      </c>
      <c r="K263" s="5">
        <f>(Cotacoes!K263-Cotacoes!K262)/Cotacoes!K262</f>
        <v>6.6280033140016627E-3</v>
      </c>
      <c r="L263" s="5">
        <f>(Cotacoes!L263-Cotacoes!L262)/Cotacoes!L262</f>
        <v>4.15282392026584E-3</v>
      </c>
      <c r="M263" s="5">
        <f>(Cotacoes!M263-Cotacoes!M262)/Cotacoes!M262</f>
        <v>4.9657534246575347E-2</v>
      </c>
      <c r="N263" s="5">
        <f>(Cotacoes!N263-Cotacoes!N262)/Cotacoes!N262</f>
        <v>1.4308426073131934E-2</v>
      </c>
      <c r="O263" s="5">
        <f>(Cotacoes!O263-Cotacoes!O262)/Cotacoes!O262</f>
        <v>1.403837154890036E-2</v>
      </c>
      <c r="P263" s="5">
        <f>(Cotacoes!P263-Cotacoes!P262)/Cotacoes!P262</f>
        <v>-6.1162079510712923E-4</v>
      </c>
      <c r="Q263" s="5">
        <f>(Cotacoes!Q263-Cotacoes!Q262)/Cotacoes!Q262</f>
        <v>1.2217850486643268E-2</v>
      </c>
      <c r="R263" s="5">
        <f>(Cotacoes!R263-Cotacoes!R262)/Cotacoes!R262</f>
        <v>3.2544378698224859E-2</v>
      </c>
      <c r="S263" s="5">
        <f>(Cotacoes!S263-Cotacoes!S262)/Cotacoes!S262</f>
        <v>-3.7271710771517001E-4</v>
      </c>
      <c r="T263" s="5">
        <f>(Cotacoes!T263-Cotacoes!T262)/Cotacoes!T262</f>
        <v>-8.4593693924634276E-3</v>
      </c>
      <c r="U263" s="5">
        <f>(Cotacoes!U263-Cotacoes!U262)/Cotacoes!U262</f>
        <v>3.4118602761982121E-2</v>
      </c>
      <c r="V263" s="5">
        <f>(Cotacoes!V263-Cotacoes!V262)/Cotacoes!V262</f>
        <v>8.1026875250701944E-2</v>
      </c>
      <c r="W263" s="5"/>
    </row>
    <row r="264" spans="1:23" x14ac:dyDescent="0.2">
      <c r="A264" s="4">
        <v>44944</v>
      </c>
      <c r="B264" s="5">
        <f>(Cotacoes!B264-Cotacoes!B263)/Cotacoes!B263</f>
        <v>1.6794057487350654E-2</v>
      </c>
      <c r="C264" s="5">
        <f>(Cotacoes!C264-Cotacoes!C263)/Cotacoes!C263</f>
        <v>1.3186514410005422E-2</v>
      </c>
      <c r="D264" s="5">
        <f>(Cotacoes!D264-Cotacoes!D263)/Cotacoes!D263</f>
        <v>-1.7576898932831098E-2</v>
      </c>
      <c r="E264" s="5">
        <f>(Cotacoes!E264-Cotacoes!E263)/Cotacoes!E263</f>
        <v>1.7964071856287397E-2</v>
      </c>
      <c r="F264" s="5">
        <f>(Cotacoes!F264-Cotacoes!F263)/Cotacoes!F263</f>
        <v>-1.2813667912440041E-2</v>
      </c>
      <c r="G264" s="5">
        <f>(Cotacoes!G264-Cotacoes!G263)/Cotacoes!G263</f>
        <v>-8.4978070175437282E-3</v>
      </c>
      <c r="H264" s="5">
        <f>(Cotacoes!H264-Cotacoes!H263)/Cotacoes!H263</f>
        <v>1.4341590612777096E-2</v>
      </c>
      <c r="I264" s="5">
        <f>(Cotacoes!I264-Cotacoes!I263)/Cotacoes!I263</f>
        <v>3.4685165421558849E-3</v>
      </c>
      <c r="J264" s="5">
        <f>(Cotacoes!J264-Cotacoes!J263)/Cotacoes!J263</f>
        <v>-2.8906955736224694E-3</v>
      </c>
      <c r="K264" s="5">
        <f>(Cotacoes!K264-Cotacoes!K263)/Cotacoes!K263</f>
        <v>1.4814814814814791E-2</v>
      </c>
      <c r="L264" s="5">
        <f>(Cotacoes!L264-Cotacoes!L263)/Cotacoes!L263</f>
        <v>5.7899090157154907E-3</v>
      </c>
      <c r="M264" s="5">
        <f>(Cotacoes!M264-Cotacoes!M263)/Cotacoes!M263</f>
        <v>-5.7096247960848516E-3</v>
      </c>
      <c r="N264" s="5">
        <f>(Cotacoes!N264-Cotacoes!N263)/Cotacoes!N263</f>
        <v>9.4043887147336209E-3</v>
      </c>
      <c r="O264" s="5">
        <f>(Cotacoes!O264-Cotacoes!O263)/Cotacoes!O263</f>
        <v>-5.0761421319798329E-3</v>
      </c>
      <c r="P264" s="5">
        <f>(Cotacoes!P264-Cotacoes!P263)/Cotacoes!P263</f>
        <v>-3.6719706242349277E-3</v>
      </c>
      <c r="Q264" s="5">
        <f>(Cotacoes!Q264-Cotacoes!Q263)/Cotacoes!Q263</f>
        <v>-2.6595744680851151E-2</v>
      </c>
      <c r="R264" s="5">
        <f>(Cotacoes!R264-Cotacoes!R263)/Cotacoes!R263</f>
        <v>2.1967526265520405E-2</v>
      </c>
      <c r="S264" s="5">
        <f>(Cotacoes!S264-Cotacoes!S263)/Cotacoes!S263</f>
        <v>2.2371364653243901E-2</v>
      </c>
      <c r="T264" s="5">
        <f>(Cotacoes!T264-Cotacoes!T263)/Cotacoes!T263</f>
        <v>5.9462254395035389E-3</v>
      </c>
      <c r="U264" s="5">
        <f>(Cotacoes!U264-Cotacoes!U263)/Cotacoes!U263</f>
        <v>4.2419481539670005E-2</v>
      </c>
      <c r="V264" s="5">
        <f>(Cotacoes!V264-Cotacoes!V263)/Cotacoes!V263</f>
        <v>-1.5955473098330231E-2</v>
      </c>
      <c r="W264" s="5"/>
    </row>
    <row r="265" spans="1:23" x14ac:dyDescent="0.2">
      <c r="A265" s="4">
        <v>44945</v>
      </c>
      <c r="B265" s="5">
        <f>(Cotacoes!B265-Cotacoes!B264)/Cotacoes!B264</f>
        <v>5.29380624669107E-4</v>
      </c>
      <c r="C265" s="5">
        <f>(Cotacoes!C265-Cotacoes!C264)/Cotacoes!C264</f>
        <v>4.293573057828971E-3</v>
      </c>
      <c r="D265" s="5">
        <f>(Cotacoes!D265-Cotacoes!D264)/Cotacoes!D264</f>
        <v>3.0031948881789179E-2</v>
      </c>
      <c r="E265" s="5">
        <f>(Cotacoes!E265-Cotacoes!E264)/Cotacoes!E264</f>
        <v>0</v>
      </c>
      <c r="F265" s="5">
        <f>(Cotacoes!F265-Cotacoes!F264)/Cotacoes!F264</f>
        <v>3.4072471606273802E-2</v>
      </c>
      <c r="G265" s="5">
        <f>(Cotacoes!G265-Cotacoes!G264)/Cotacoes!G264</f>
        <v>-1.9353055017970772E-3</v>
      </c>
      <c r="H265" s="5">
        <f>(Cotacoes!H265-Cotacoes!H264)/Cotacoes!H264</f>
        <v>2.2493573264781467E-2</v>
      </c>
      <c r="I265" s="5">
        <f>(Cotacoes!I265-Cotacoes!I264)/Cotacoes!I264</f>
        <v>0</v>
      </c>
      <c r="J265" s="5">
        <f>(Cotacoes!J265-Cotacoes!J264)/Cotacoes!J264</f>
        <v>2.7178836745788311E-3</v>
      </c>
      <c r="K265" s="5">
        <f>(Cotacoes!K265-Cotacoes!K264)/Cotacoes!K264</f>
        <v>2.4330900243308483E-3</v>
      </c>
      <c r="L265" s="5">
        <f>(Cotacoes!L265-Cotacoes!L264)/Cotacoes!L264</f>
        <v>-9.0460526315789009E-3</v>
      </c>
      <c r="M265" s="5">
        <f>(Cotacoes!M265-Cotacoes!M264)/Cotacoes!M264</f>
        <v>-9.8441345365052682E-3</v>
      </c>
      <c r="N265" s="5">
        <f>(Cotacoes!N265-Cotacoes!N264)/Cotacoes!N264</f>
        <v>0</v>
      </c>
      <c r="O265" s="5">
        <f>(Cotacoes!O265-Cotacoes!O264)/Cotacoes!O264</f>
        <v>6.49350649350652E-3</v>
      </c>
      <c r="P265" s="5">
        <f>(Cotacoes!P265-Cotacoes!P264)/Cotacoes!P264</f>
        <v>4.2997542997543171E-3</v>
      </c>
      <c r="Q265" s="5">
        <f>(Cotacoes!Q265-Cotacoes!Q264)/Cotacoes!Q264</f>
        <v>-1.0508617065994116E-2</v>
      </c>
      <c r="R265" s="5">
        <f>(Cotacoes!R265-Cotacoes!R264)/Cotacoes!R264</f>
        <v>-2.7570093457943919E-2</v>
      </c>
      <c r="S265" s="5">
        <f>(Cotacoes!S265-Cotacoes!S264)/Cotacoes!S264</f>
        <v>-1.0940919037199538E-3</v>
      </c>
      <c r="T265" s="5">
        <f>(Cotacoes!T265-Cotacoes!T264)/Cotacoes!T264</f>
        <v>3.9835517861732318E-2</v>
      </c>
      <c r="U265" s="5">
        <f>(Cotacoes!U265-Cotacoes!U264)/Cotacoes!U264</f>
        <v>-1.7897513187641215E-2</v>
      </c>
      <c r="V265" s="5">
        <f>(Cotacoes!V265-Cotacoes!V264)/Cotacoes!V264</f>
        <v>6.1840120663650099E-2</v>
      </c>
      <c r="W265" s="5"/>
    </row>
    <row r="266" spans="1:23" x14ac:dyDescent="0.2">
      <c r="A266" s="4">
        <v>44946</v>
      </c>
      <c r="B266" s="5">
        <f>(Cotacoes!B266-Cotacoes!B265)/Cotacoes!B265</f>
        <v>-7.1957671957672683E-3</v>
      </c>
      <c r="C266" s="5">
        <f>(Cotacoes!C266-Cotacoes!C265)/Cotacoes!C265</f>
        <v>2.6720106880427905E-3</v>
      </c>
      <c r="D266" s="5">
        <f>(Cotacoes!D266-Cotacoes!D265)/Cotacoes!D265</f>
        <v>2.109181141439205E-2</v>
      </c>
      <c r="E266" s="5">
        <f>(Cotacoes!E266-Cotacoes!E265)/Cotacoes!E265</f>
        <v>-1.7647058823529384E-2</v>
      </c>
      <c r="F266" s="5">
        <f>(Cotacoes!F266-Cotacoes!F265)/Cotacoes!F265</f>
        <v>1.1506276150627555E-2</v>
      </c>
      <c r="G266" s="5">
        <f>(Cotacoes!G266-Cotacoes!G265)/Cotacoes!G265</f>
        <v>-1.523545706371203E-2</v>
      </c>
      <c r="H266" s="5">
        <f>(Cotacoes!H266-Cotacoes!H265)/Cotacoes!H265</f>
        <v>2.514142049025761E-2</v>
      </c>
      <c r="I266" s="5">
        <f>(Cotacoes!I266-Cotacoes!I265)/Cotacoes!I265</f>
        <v>-1.7282637596383904E-2</v>
      </c>
      <c r="J266" s="5">
        <f>(Cotacoes!J266-Cotacoes!J265)/Cotacoes!J265</f>
        <v>-3.1441994940368666E-2</v>
      </c>
      <c r="K266" s="5">
        <f>(Cotacoes!K266-Cotacoes!K265)/Cotacoes!K265</f>
        <v>-1.4563106796116483E-2</v>
      </c>
      <c r="L266" s="5">
        <f>(Cotacoes!L266-Cotacoes!L265)/Cotacoes!L265</f>
        <v>-1.4937759336099707E-2</v>
      </c>
      <c r="M266" s="5">
        <f>(Cotacoes!M266-Cotacoes!M265)/Cotacoes!M265</f>
        <v>-8.2850041425020417E-3</v>
      </c>
      <c r="N266" s="5">
        <f>(Cotacoes!N266-Cotacoes!N265)/Cotacoes!N265</f>
        <v>-1.2422360248447215E-2</v>
      </c>
      <c r="O266" s="5">
        <f>(Cotacoes!O266-Cotacoes!O265)/Cotacoes!O265</f>
        <v>-4.608294930875478E-3</v>
      </c>
      <c r="P266" s="5">
        <f>(Cotacoes!P266-Cotacoes!P265)/Cotacoes!P265</f>
        <v>-9.1743119266056335E-3</v>
      </c>
      <c r="Q266" s="5">
        <f>(Cotacoes!Q266-Cotacoes!Q265)/Cotacoes!Q265</f>
        <v>-4.4604927782497909E-2</v>
      </c>
      <c r="R266" s="5">
        <f>(Cotacoes!R266-Cotacoes!R265)/Cotacoes!R265</f>
        <v>-3.2676597789524253E-2</v>
      </c>
      <c r="S266" s="5">
        <f>(Cotacoes!S266-Cotacoes!S265)/Cotacoes!S265</f>
        <v>-1.460387002555685E-2</v>
      </c>
      <c r="T266" s="5">
        <f>(Cotacoes!T266-Cotacoes!T265)/Cotacoes!T265</f>
        <v>1.408798813643105E-2</v>
      </c>
      <c r="U266" s="5">
        <f>(Cotacoes!U266-Cotacoes!U265)/Cotacoes!U265</f>
        <v>-3.0117015154421643E-2</v>
      </c>
      <c r="V266" s="5">
        <f>(Cotacoes!V266-Cotacoes!V265)/Cotacoes!V265</f>
        <v>-4.3678977272727286E-2</v>
      </c>
      <c r="W266" s="5"/>
    </row>
    <row r="267" spans="1:23" x14ac:dyDescent="0.2">
      <c r="A267" s="4">
        <v>44949</v>
      </c>
      <c r="B267" s="5">
        <f>(Cotacoes!B267-Cotacoes!B266)/Cotacoes!B266</f>
        <v>7.247921551907982E-3</v>
      </c>
      <c r="C267" s="5">
        <f>(Cotacoes!C267-Cotacoes!C266)/Cotacoes!C266</f>
        <v>3.3311125916055963E-3</v>
      </c>
      <c r="D267" s="5">
        <f>(Cotacoes!D267-Cotacoes!D266)/Cotacoes!D266</f>
        <v>1.5795868772782381E-2</v>
      </c>
      <c r="E267" s="5">
        <f>(Cotacoes!E267-Cotacoes!E266)/Cotacoes!E266</f>
        <v>-3.0439121756486998E-2</v>
      </c>
      <c r="F267" s="5">
        <f>(Cotacoes!F267-Cotacoes!F266)/Cotacoes!F266</f>
        <v>2.2750775594622609E-2</v>
      </c>
      <c r="G267" s="5">
        <f>(Cotacoes!G267-Cotacoes!G266)/Cotacoes!G266</f>
        <v>8.4388185654011639E-4</v>
      </c>
      <c r="H267" s="5">
        <f>(Cotacoes!H267-Cotacoes!H266)/Cotacoes!H266</f>
        <v>-7.9705702023297985E-3</v>
      </c>
      <c r="I267" s="5">
        <f>(Cotacoes!I267-Cotacoes!I266)/Cotacoes!I266</f>
        <v>-2.4350649350650274E-3</v>
      </c>
      <c r="J267" s="5">
        <f>(Cotacoes!J267-Cotacoes!J266)/Cotacoes!J266</f>
        <v>-2.2574626865671656E-2</v>
      </c>
      <c r="K267" s="5">
        <f>(Cotacoes!K267-Cotacoes!K266)/Cotacoes!K266</f>
        <v>-4.1871921182265993E-2</v>
      </c>
      <c r="L267" s="5">
        <f>(Cotacoes!L267-Cotacoes!L266)/Cotacoes!L266</f>
        <v>-9.2670598146587565E-3</v>
      </c>
      <c r="M267" s="5">
        <f>(Cotacoes!M267-Cotacoes!M266)/Cotacoes!M266</f>
        <v>-8.3542188805347875E-3</v>
      </c>
      <c r="N267" s="5">
        <f>(Cotacoes!N267-Cotacoes!N266)/Cotacoes!N266</f>
        <v>-2.0440251572327026E-2</v>
      </c>
      <c r="O267" s="5">
        <f>(Cotacoes!O267-Cotacoes!O266)/Cotacoes!O266</f>
        <v>8.3333333333333193E-3</v>
      </c>
      <c r="P267" s="5">
        <f>(Cotacoes!P267-Cotacoes!P266)/Cotacoes!P266</f>
        <v>6.1728395061729276E-3</v>
      </c>
      <c r="Q267" s="5">
        <f>(Cotacoes!Q267-Cotacoes!Q266)/Cotacoes!Q266</f>
        <v>-3.3348154735437659E-3</v>
      </c>
      <c r="R267" s="5">
        <f>(Cotacoes!R267-Cotacoes!R266)/Cotacoes!R266</f>
        <v>-1.8877297565822109E-2</v>
      </c>
      <c r="S267" s="5">
        <f>(Cotacoes!S267-Cotacoes!S266)/Cotacoes!S266</f>
        <v>0</v>
      </c>
      <c r="T267" s="5">
        <f>(Cotacoes!T267-Cotacoes!T266)/Cotacoes!T266</f>
        <v>1.1211308798440187E-2</v>
      </c>
      <c r="U267" s="5">
        <f>(Cotacoes!U267-Cotacoes!U266)/Cotacoes!U266</f>
        <v>2.0569620253164538E-2</v>
      </c>
      <c r="V267" s="5">
        <f>(Cotacoes!V267-Cotacoes!V266)/Cotacoes!V266</f>
        <v>4.08466394355735E-3</v>
      </c>
      <c r="W267" s="5"/>
    </row>
    <row r="268" spans="1:23" x14ac:dyDescent="0.2">
      <c r="A268" s="4">
        <v>44950</v>
      </c>
      <c r="B268" s="5">
        <f>(Cotacoes!B268-Cotacoes!B267)/Cotacoes!B267</f>
        <v>1.2698412698412728E-2</v>
      </c>
      <c r="C268" s="5">
        <f>(Cotacoes!C268-Cotacoes!C267)/Cotacoes!C267</f>
        <v>1.0491367861885873E-2</v>
      </c>
      <c r="D268" s="5">
        <f>(Cotacoes!D268-Cotacoes!D267)/Cotacoes!D267</f>
        <v>-7.177033492822814E-3</v>
      </c>
      <c r="E268" s="5">
        <f>(Cotacoes!E268-Cotacoes!E267)/Cotacoes!E267</f>
        <v>9.2640247040658638E-3</v>
      </c>
      <c r="F268" s="5">
        <f>(Cotacoes!F268-Cotacoes!F267)/Cotacoes!F267</f>
        <v>-7.5834175935289242E-3</v>
      </c>
      <c r="G268" s="5">
        <f>(Cotacoes!G268-Cotacoes!G267)/Cotacoes!G267</f>
        <v>-4.2158516020235686E-3</v>
      </c>
      <c r="H268" s="5">
        <f>(Cotacoes!H268-Cotacoes!H267)/Cotacoes!H267</f>
        <v>-4.9443757725586091E-3</v>
      </c>
      <c r="I268" s="5">
        <f>(Cotacoes!I268-Cotacoes!I267)/Cotacoes!I267</f>
        <v>1.8443178736099804E-2</v>
      </c>
      <c r="J268" s="5">
        <f>(Cotacoes!J268-Cotacoes!J267)/Cotacoes!J267</f>
        <v>2.7486161481198659E-2</v>
      </c>
      <c r="K268" s="5">
        <f>(Cotacoes!K268-Cotacoes!K267)/Cotacoes!K267</f>
        <v>1.0282776349614329E-2</v>
      </c>
      <c r="L268" s="5">
        <f>(Cotacoes!L268-Cotacoes!L267)/Cotacoes!L267</f>
        <v>1.4455782312925164E-2</v>
      </c>
      <c r="M268" s="5">
        <f>(Cotacoes!M268-Cotacoes!M267)/Cotacoes!M267</f>
        <v>1.43218197135636E-2</v>
      </c>
      <c r="N268" s="5">
        <f>(Cotacoes!N268-Cotacoes!N267)/Cotacoes!N267</f>
        <v>1.9261637239165203E-2</v>
      </c>
      <c r="O268" s="5">
        <f>(Cotacoes!O268-Cotacoes!O267)/Cotacoes!O267</f>
        <v>1.4692378328741977E-2</v>
      </c>
      <c r="P268" s="5">
        <f>(Cotacoes!P268-Cotacoes!P267)/Cotacoes!P267</f>
        <v>2.883435582822079E-2</v>
      </c>
      <c r="Q268" s="5">
        <f>(Cotacoes!Q268-Cotacoes!Q267)/Cotacoes!Q267</f>
        <v>1.1376310506357465E-2</v>
      </c>
      <c r="R268" s="5">
        <f>(Cotacoes!R268-Cotacoes!R267)/Cotacoes!R267</f>
        <v>1.1645569620253185E-2</v>
      </c>
      <c r="S268" s="5">
        <f>(Cotacoes!S268-Cotacoes!S267)/Cotacoes!S267</f>
        <v>8.8921822897370141E-3</v>
      </c>
      <c r="T268" s="5">
        <f>(Cotacoes!T268-Cotacoes!T267)/Cotacoes!T267</f>
        <v>-1.2774162448782865E-2</v>
      </c>
      <c r="U268" s="5">
        <f>(Cotacoes!U268-Cotacoes!U267)/Cotacoes!U267</f>
        <v>3.3720930232558177E-2</v>
      </c>
      <c r="V268" s="5">
        <f>(Cotacoes!V268-Cotacoes!V267)/Cotacoes!V267</f>
        <v>1.6272189349112474E-2</v>
      </c>
      <c r="W268" s="5"/>
    </row>
    <row r="269" spans="1:23" x14ac:dyDescent="0.2">
      <c r="A269" s="4">
        <v>44951</v>
      </c>
      <c r="B269" s="5">
        <f>(Cotacoes!B269-Cotacoes!B268)/Cotacoes!B268</f>
        <v>0</v>
      </c>
      <c r="C269" s="5">
        <f>(Cotacoes!C269-Cotacoes!C268)/Cotacoes!C268</f>
        <v>9.4624786437113792E-3</v>
      </c>
      <c r="D269" s="5">
        <f>(Cotacoes!D269-Cotacoes!D268)/Cotacoes!D268</f>
        <v>1.3253012048192701E-2</v>
      </c>
      <c r="E269" s="5">
        <f>(Cotacoes!E269-Cotacoes!E268)/Cotacoes!E268</f>
        <v>3.0596634370220438E-3</v>
      </c>
      <c r="F269" s="5">
        <f>(Cotacoes!F269-Cotacoes!F268)/Cotacoes!F268</f>
        <v>4.5848191543555713E-3</v>
      </c>
      <c r="G269" s="5">
        <f>(Cotacoes!G269-Cotacoes!G268)/Cotacoes!G268</f>
        <v>4.0643522438611281E-2</v>
      </c>
      <c r="H269" s="5">
        <f>(Cotacoes!H269-Cotacoes!H268)/Cotacoes!H268</f>
        <v>2.7329192546583708E-2</v>
      </c>
      <c r="I269" s="5">
        <f>(Cotacoes!I269-Cotacoes!I268)/Cotacoes!I268</f>
        <v>2.503328894806937E-2</v>
      </c>
      <c r="J269" s="5">
        <f>(Cotacoes!J269-Cotacoes!J268)/Cotacoes!J268</f>
        <v>1.3189671187070423E-2</v>
      </c>
      <c r="K269" s="5">
        <f>(Cotacoes!K269-Cotacoes!K268)/Cotacoes!K268</f>
        <v>-6.7854113655638933E-3</v>
      </c>
      <c r="L269" s="5">
        <f>(Cotacoes!L269-Cotacoes!L268)/Cotacoes!L268</f>
        <v>2.0955574182732608E-2</v>
      </c>
      <c r="M269" s="5">
        <f>(Cotacoes!M269-Cotacoes!M268)/Cotacoes!M268</f>
        <v>7.4750830564785419E-3</v>
      </c>
      <c r="N269" s="5">
        <f>(Cotacoes!N269-Cotacoes!N268)/Cotacoes!N268</f>
        <v>1.5748031496064057E-3</v>
      </c>
      <c r="O269" s="5">
        <f>(Cotacoes!O269-Cotacoes!O268)/Cotacoes!O268</f>
        <v>-1.3574660633484676E-3</v>
      </c>
      <c r="P269" s="5">
        <f>(Cotacoes!P269-Cotacoes!P268)/Cotacoes!P268</f>
        <v>0</v>
      </c>
      <c r="Q269" s="5">
        <f>(Cotacoes!Q269-Cotacoes!Q268)/Cotacoes!Q268</f>
        <v>-1.565946184384651E-2</v>
      </c>
      <c r="R269" s="5">
        <f>(Cotacoes!R269-Cotacoes!R268)/Cotacoes!R268</f>
        <v>1.9519519519519548E-2</v>
      </c>
      <c r="S269" s="5">
        <f>(Cotacoes!S269-Cotacoes!S268)/Cotacoes!S268</f>
        <v>2.3503488799118639E-2</v>
      </c>
      <c r="T269" s="5">
        <f>(Cotacoes!T269-Cotacoes!T268)/Cotacoes!T268</f>
        <v>2.1728515625000014E-2</v>
      </c>
      <c r="U269" s="5">
        <f>(Cotacoes!U269-Cotacoes!U268)/Cotacoes!U268</f>
        <v>1.649793775778019E-2</v>
      </c>
      <c r="V269" s="5">
        <f>(Cotacoes!V269-Cotacoes!V268)/Cotacoes!V268</f>
        <v>2.7656477438136755E-2</v>
      </c>
      <c r="W269" s="5"/>
    </row>
    <row r="270" spans="1:23" x14ac:dyDescent="0.2">
      <c r="A270" s="4">
        <v>44952</v>
      </c>
      <c r="B270" s="5">
        <f>(Cotacoes!B270-Cotacoes!B269)/Cotacoes!B269</f>
        <v>-1.4315569487983328E-2</v>
      </c>
      <c r="C270" s="5">
        <f>(Cotacoes!C270-Cotacoes!C269)/Cotacoes!C269</f>
        <v>1.8747558911600022E-2</v>
      </c>
      <c r="D270" s="5">
        <f>(Cotacoes!D270-Cotacoes!D269)/Cotacoes!D269</f>
        <v>-2.794292508917948E-2</v>
      </c>
      <c r="E270" s="5">
        <f>(Cotacoes!E270-Cotacoes!E269)/Cotacoes!E269</f>
        <v>-5.5922724961872386E-3</v>
      </c>
      <c r="F270" s="5">
        <f>(Cotacoes!F270-Cotacoes!F269)/Cotacoes!F269</f>
        <v>-2.789046653144002E-2</v>
      </c>
      <c r="G270" s="5">
        <f>(Cotacoes!G270-Cotacoes!G269)/Cotacoes!G269</f>
        <v>-1.3289937618660019E-2</v>
      </c>
      <c r="H270" s="5">
        <f>(Cotacoes!H270-Cotacoes!H269)/Cotacoes!H269</f>
        <v>-6.0459492140253995E-4</v>
      </c>
      <c r="I270" s="5">
        <f>(Cotacoes!I270-Cotacoes!I269)/Cotacoes!I269</f>
        <v>0</v>
      </c>
      <c r="J270" s="5">
        <f>(Cotacoes!J270-Cotacoes!J269)/Cotacoes!J269</f>
        <v>-8.8008800880087432E-3</v>
      </c>
      <c r="K270" s="5">
        <f>(Cotacoes!K270-Cotacoes!K269)/Cotacoes!K269</f>
        <v>2.5619128949615163E-3</v>
      </c>
      <c r="L270" s="5">
        <f>(Cotacoes!L270-Cotacoes!L269)/Cotacoes!L269</f>
        <v>8.2101806239735526E-4</v>
      </c>
      <c r="M270" s="5">
        <f>(Cotacoes!M270-Cotacoes!M269)/Cotacoes!M269</f>
        <v>2.473206924979337E-3</v>
      </c>
      <c r="N270" s="5">
        <f>(Cotacoes!N270-Cotacoes!N269)/Cotacoes!N269</f>
        <v>4.7169811320753709E-3</v>
      </c>
      <c r="O270" s="5">
        <f>(Cotacoes!O270-Cotacoes!O269)/Cotacoes!O269</f>
        <v>-6.79655641141815E-3</v>
      </c>
      <c r="P270" s="5">
        <f>(Cotacoes!P270-Cotacoes!P269)/Cotacoes!P269</f>
        <v>-6.5593321407274559E-3</v>
      </c>
      <c r="Q270" s="5">
        <f>(Cotacoes!Q270-Cotacoes!Q269)/Cotacoes!Q269</f>
        <v>-2.9352453506609952E-2</v>
      </c>
      <c r="R270" s="5">
        <f>(Cotacoes!R270-Cotacoes!R269)/Cotacoes!R269</f>
        <v>3.9273441335296163E-3</v>
      </c>
      <c r="S270" s="5">
        <f>(Cotacoes!S270-Cotacoes!S269)/Cotacoes!S269</f>
        <v>3.9468963042698039E-3</v>
      </c>
      <c r="T270" s="5">
        <f>(Cotacoes!T270-Cotacoes!T269)/Cotacoes!T269</f>
        <v>1.003584229390685E-2</v>
      </c>
      <c r="U270" s="5">
        <f>(Cotacoes!U270-Cotacoes!U269)/Cotacoes!U269</f>
        <v>1.6599040944301625E-3</v>
      </c>
      <c r="V270" s="5">
        <f>(Cotacoes!V270-Cotacoes!V269)/Cotacoes!V269</f>
        <v>2.8328611898017653E-3</v>
      </c>
      <c r="W270" s="5"/>
    </row>
    <row r="271" spans="1:23" x14ac:dyDescent="0.2">
      <c r="A271" s="4">
        <v>44953</v>
      </c>
      <c r="B271" s="5">
        <f>(Cotacoes!B271-Cotacoes!B270)/Cotacoes!B270</f>
        <v>-1.6961730096469478E-3</v>
      </c>
      <c r="C271" s="5">
        <f>(Cotacoes!C271-Cotacoes!C270)/Cotacoes!C270</f>
        <v>-2.7348242811501604E-2</v>
      </c>
      <c r="D271" s="5">
        <f>(Cotacoes!D271-Cotacoes!D270)/Cotacoes!D270</f>
        <v>-2.2018348623853282E-2</v>
      </c>
      <c r="E271" s="5">
        <f>(Cotacoes!E271-Cotacoes!E270)/Cotacoes!E270</f>
        <v>-2.1472392638036717E-2</v>
      </c>
      <c r="F271" s="5">
        <f>(Cotacoes!F271-Cotacoes!F270)/Cotacoes!F270</f>
        <v>-2.2952529994783581E-2</v>
      </c>
      <c r="G271" s="5">
        <f>(Cotacoes!G271-Cotacoes!G270)/Cotacoes!G270</f>
        <v>-7.6965365585486842E-3</v>
      </c>
      <c r="H271" s="5">
        <f>(Cotacoes!H271-Cotacoes!H270)/Cotacoes!H270</f>
        <v>-1.0889292196007242E-2</v>
      </c>
      <c r="I271" s="5">
        <f>(Cotacoes!I271-Cotacoes!I270)/Cotacoes!I270</f>
        <v>-3.247596778383996E-2</v>
      </c>
      <c r="J271" s="5">
        <f>(Cotacoes!J271-Cotacoes!J270)/Cotacoes!J270</f>
        <v>-8.50906400295969E-3</v>
      </c>
      <c r="K271" s="5">
        <f>(Cotacoes!K271-Cotacoes!K270)/Cotacoes!K270</f>
        <v>-2.9812606473594516E-2</v>
      </c>
      <c r="L271" s="5">
        <f>(Cotacoes!L271-Cotacoes!L270)/Cotacoes!L270</f>
        <v>-3.1173092698933473E-2</v>
      </c>
      <c r="M271" s="5">
        <f>(Cotacoes!M271-Cotacoes!M270)/Cotacoes!M270</f>
        <v>-6.5789473684210583E-3</v>
      </c>
      <c r="N271" s="5">
        <f>(Cotacoes!N271-Cotacoes!N270)/Cotacoes!N270</f>
        <v>-2.3474178403755788E-2</v>
      </c>
      <c r="O271" s="5">
        <f>(Cotacoes!O271-Cotacoes!O270)/Cotacoes!O270</f>
        <v>-2.2354014598540237E-2</v>
      </c>
      <c r="P271" s="5">
        <f>(Cotacoes!P271-Cotacoes!P270)/Cotacoes!P270</f>
        <v>-1.9207683073229308E-2</v>
      </c>
      <c r="Q271" s="5">
        <f>(Cotacoes!Q271-Cotacoes!Q270)/Cotacoes!Q270</f>
        <v>-6.9252077562326217E-3</v>
      </c>
      <c r="R271" s="5">
        <f>(Cotacoes!R271-Cotacoes!R270)/Cotacoes!R270</f>
        <v>-2.249388753056239E-2</v>
      </c>
      <c r="S271" s="5">
        <f>(Cotacoes!S271-Cotacoes!S270)/Cotacoes!S270</f>
        <v>-6.7905646890636627E-3</v>
      </c>
      <c r="T271" s="5">
        <f>(Cotacoes!T271-Cotacoes!T270)/Cotacoes!T270</f>
        <v>-1.3011592145729932E-2</v>
      </c>
      <c r="U271" s="5">
        <f>(Cotacoes!U271-Cotacoes!U270)/Cotacoes!U270</f>
        <v>-7.5492542809796294E-3</v>
      </c>
      <c r="V271" s="5">
        <f>(Cotacoes!V271-Cotacoes!V270)/Cotacoes!V270</f>
        <v>2.2951977401129892E-2</v>
      </c>
      <c r="W271" s="5"/>
    </row>
    <row r="272" spans="1:23" x14ac:dyDescent="0.2">
      <c r="A272" s="4">
        <v>44956</v>
      </c>
      <c r="B272" s="5">
        <f>(Cotacoes!B272-Cotacoes!B271)/Cotacoes!B271</f>
        <v>1.316767548051391E-2</v>
      </c>
      <c r="C272" s="5">
        <f>(Cotacoes!C272-Cotacoes!C271)/Cotacoes!C271</f>
        <v>-3.5474970437524111E-3</v>
      </c>
      <c r="D272" s="5">
        <f>(Cotacoes!D272-Cotacoes!D271)/Cotacoes!D271</f>
        <v>5.0031269543464709E-3</v>
      </c>
      <c r="E272" s="5">
        <f>(Cotacoes!E272-Cotacoes!E271)/Cotacoes!E271</f>
        <v>5.2246603970731509E-4</v>
      </c>
      <c r="F272" s="5">
        <f>(Cotacoes!F272-Cotacoes!F271)/Cotacoes!F271</f>
        <v>3.2034169781099157E-3</v>
      </c>
      <c r="G272" s="5">
        <f>(Cotacoes!G272-Cotacoes!G271)/Cotacoes!G271</f>
        <v>-1.4681440443213328E-2</v>
      </c>
      <c r="H272" s="5">
        <f>(Cotacoes!H272-Cotacoes!H271)/Cotacoes!H271</f>
        <v>1.5902140672782752E-2</v>
      </c>
      <c r="I272" s="5">
        <f>(Cotacoes!I272-Cotacoes!I271)/Cotacoes!I271</f>
        <v>-1.450053705692801E-2</v>
      </c>
      <c r="J272" s="5">
        <f>(Cotacoes!J272-Cotacoes!J271)/Cotacoes!J271</f>
        <v>8.5820895522388217E-3</v>
      </c>
      <c r="K272" s="5">
        <f>(Cotacoes!K272-Cotacoes!K271)/Cotacoes!K271</f>
        <v>5.2677787532922488E-3</v>
      </c>
      <c r="L272" s="5">
        <f>(Cotacoes!L272-Cotacoes!L271)/Cotacoes!L271</f>
        <v>1.2701100762066075E-2</v>
      </c>
      <c r="M272" s="5">
        <f>(Cotacoes!M272-Cotacoes!M271)/Cotacoes!M271</f>
        <v>-9.1059602649006151E-3</v>
      </c>
      <c r="N272" s="5">
        <f>(Cotacoes!N272-Cotacoes!N271)/Cotacoes!N271</f>
        <v>9.6153846153845517E-3</v>
      </c>
      <c r="O272" s="5">
        <f>(Cotacoes!O272-Cotacoes!O271)/Cotacoes!O271</f>
        <v>-2.426504899673353E-2</v>
      </c>
      <c r="P272" s="5">
        <f>(Cotacoes!P272-Cotacoes!P271)/Cotacoes!P271</f>
        <v>-1.2239902080783092E-3</v>
      </c>
      <c r="Q272" s="5">
        <f>(Cotacoes!Q272-Cotacoes!Q271)/Cotacoes!Q271</f>
        <v>2.6499302649930112E-2</v>
      </c>
      <c r="R272" s="5">
        <f>(Cotacoes!R272-Cotacoes!R271)/Cotacoes!R271</f>
        <v>1.5007503751876508E-3</v>
      </c>
      <c r="S272" s="5">
        <f>(Cotacoes!S272-Cotacoes!S271)/Cotacoes!S271</f>
        <v>-1.043540842029504E-2</v>
      </c>
      <c r="T272" s="5">
        <f>(Cotacoes!T272-Cotacoes!T271)/Cotacoes!T271</f>
        <v>-6.9511025886864614E-3</v>
      </c>
      <c r="U272" s="5">
        <f>(Cotacoes!U272-Cotacoes!U271)/Cotacoes!U271</f>
        <v>-5.7513914656770904E-3</v>
      </c>
      <c r="V272" s="5">
        <f>(Cotacoes!V272-Cotacoes!V271)/Cotacoes!V271</f>
        <v>6.9036934760095185E-4</v>
      </c>
      <c r="W272" s="5"/>
    </row>
    <row r="273" spans="1:23" x14ac:dyDescent="0.2">
      <c r="A273" s="4">
        <v>44957</v>
      </c>
      <c r="B273" s="5">
        <f>(Cotacoes!B273-Cotacoes!B272)/Cotacoes!B272</f>
        <v>-1.4254271040771403E-2</v>
      </c>
      <c r="C273" s="5">
        <f>(Cotacoes!C273-Cotacoes!C272)/Cotacoes!C272</f>
        <v>-5.0105485232068781E-3</v>
      </c>
      <c r="D273" s="5">
        <f>(Cotacoes!D273-Cotacoes!D272)/Cotacoes!D272</f>
        <v>1.2445550715619121E-2</v>
      </c>
      <c r="E273" s="5">
        <f>(Cotacoes!E273-Cotacoes!E272)/Cotacoes!E272</f>
        <v>1.5665796344647556E-2</v>
      </c>
      <c r="F273" s="5">
        <f>(Cotacoes!F273-Cotacoes!F272)/Cotacoes!F272</f>
        <v>1.6498137307078355E-2</v>
      </c>
      <c r="G273" s="5">
        <f>(Cotacoes!G273-Cotacoes!G272)/Cotacoes!G272</f>
        <v>2.3615406241214401E-2</v>
      </c>
      <c r="H273" s="5">
        <f>(Cotacoes!H273-Cotacoes!H272)/Cotacoes!H272</f>
        <v>-3.0102347983143114E-3</v>
      </c>
      <c r="I273" s="5">
        <f>(Cotacoes!I273-Cotacoes!I272)/Cotacoes!I272</f>
        <v>-1.0899182561309605E-3</v>
      </c>
      <c r="J273" s="5">
        <f>(Cotacoes!J273-Cotacoes!J272)/Cotacoes!J272</f>
        <v>2.95967443581205E-2</v>
      </c>
      <c r="K273" s="5">
        <f>(Cotacoes!K273-Cotacoes!K272)/Cotacoes!K272</f>
        <v>1.659388646288221E-2</v>
      </c>
      <c r="L273" s="5">
        <f>(Cotacoes!L273-Cotacoes!L272)/Cotacoes!L272</f>
        <v>6.6889632107021979E-3</v>
      </c>
      <c r="M273" s="5">
        <f>(Cotacoes!M273-Cotacoes!M272)/Cotacoes!M272</f>
        <v>1.0025062656641538E-2</v>
      </c>
      <c r="N273" s="5">
        <f>(Cotacoes!N273-Cotacoes!N272)/Cotacoes!N272</f>
        <v>3.1746031746032479E-3</v>
      </c>
      <c r="O273" s="5">
        <f>(Cotacoes!O273-Cotacoes!O272)/Cotacoes!O272</f>
        <v>-3.9693926351028301E-2</v>
      </c>
      <c r="P273" s="5">
        <f>(Cotacoes!P273-Cotacoes!P272)/Cotacoes!P272</f>
        <v>6.1274509803909381E-4</v>
      </c>
      <c r="Q273" s="5">
        <f>(Cotacoes!Q273-Cotacoes!Q272)/Cotacoes!Q272</f>
        <v>1.811594202898673E-3</v>
      </c>
      <c r="R273" s="5">
        <f>(Cotacoes!R273-Cotacoes!R272)/Cotacoes!R272</f>
        <v>2.0479520479520487E-2</v>
      </c>
      <c r="S273" s="5">
        <f>(Cotacoes!S273-Cotacoes!S272)/Cotacoes!S272</f>
        <v>1.8909090909090893E-2</v>
      </c>
      <c r="T273" s="5">
        <f>(Cotacoes!T273-Cotacoes!T272)/Cotacoes!T272</f>
        <v>1.4482259232440295E-2</v>
      </c>
      <c r="U273" s="5">
        <f>(Cotacoes!U273-Cotacoes!U272)/Cotacoes!U272</f>
        <v>1.2129128568762802E-2</v>
      </c>
      <c r="V273" s="5">
        <f>(Cotacoes!V273-Cotacoes!V272)/Cotacoes!V272</f>
        <v>4.9672300793377075E-2</v>
      </c>
      <c r="W273" s="5"/>
    </row>
    <row r="274" spans="1:23" x14ac:dyDescent="0.2">
      <c r="A274" s="4">
        <v>44958</v>
      </c>
      <c r="B274" s="5">
        <f>(Cotacoes!B274-Cotacoes!B273)/Cotacoes!B273</f>
        <v>-1.7437533227006918E-2</v>
      </c>
      <c r="C274" s="5">
        <f>(Cotacoes!C274-Cotacoes!C273)/Cotacoes!C273</f>
        <v>-1.0999204876755875E-2</v>
      </c>
      <c r="D274" s="5">
        <f>(Cotacoes!D274-Cotacoes!D273)/Cotacoes!D273</f>
        <v>-1.3521819299323839E-2</v>
      </c>
      <c r="E274" s="5">
        <f>(Cotacoes!E274-Cotacoes!E273)/Cotacoes!E273</f>
        <v>-1.3367609254498612E-2</v>
      </c>
      <c r="F274" s="5">
        <f>(Cotacoes!F274-Cotacoes!F273)/Cotacoes!F273</f>
        <v>-1.9895287958115317E-2</v>
      </c>
      <c r="G274" s="5">
        <f>(Cotacoes!G274-Cotacoes!G273)/Cotacoes!G273</f>
        <v>4.1197473221643967E-3</v>
      </c>
      <c r="H274" s="5">
        <f>(Cotacoes!H274-Cotacoes!H273)/Cotacoes!H273</f>
        <v>-1.2077294685990296E-2</v>
      </c>
      <c r="I274" s="5">
        <f>(Cotacoes!I274-Cotacoes!I273)/Cotacoes!I273</f>
        <v>-2.0458265139116204E-2</v>
      </c>
      <c r="J274" s="5">
        <f>(Cotacoes!J274-Cotacoes!J273)/Cotacoes!J273</f>
        <v>-1.0779734099891334E-3</v>
      </c>
      <c r="K274" s="5">
        <f>(Cotacoes!K274-Cotacoes!K273)/Cotacoes!K273</f>
        <v>-1.8900343642611738E-2</v>
      </c>
      <c r="L274" s="5">
        <f>(Cotacoes!L274-Cotacoes!L273)/Cotacoes!L273</f>
        <v>-3.322259136212554E-3</v>
      </c>
      <c r="M274" s="5">
        <f>(Cotacoes!M274-Cotacoes!M273)/Cotacoes!M273</f>
        <v>-3.5566583953680703E-2</v>
      </c>
      <c r="N274" s="5">
        <f>(Cotacoes!N274-Cotacoes!N273)/Cotacoes!N273</f>
        <v>-2.8481012658227941E-2</v>
      </c>
      <c r="O274" s="5">
        <f>(Cotacoes!O274-Cotacoes!O273)/Cotacoes!O273</f>
        <v>1.4940239043825269E-3</v>
      </c>
      <c r="P274" s="5">
        <f>(Cotacoes!P274-Cotacoes!P273)/Cotacoes!P273</f>
        <v>-1.8371096142068334E-3</v>
      </c>
      <c r="Q274" s="5">
        <f>(Cotacoes!Q274-Cotacoes!Q273)/Cotacoes!Q273</f>
        <v>8.3634719710668493E-3</v>
      </c>
      <c r="R274" s="5">
        <f>(Cotacoes!R274-Cotacoes!R273)/Cotacoes!R273</f>
        <v>-1.8110621634850759E-2</v>
      </c>
      <c r="S274" s="5">
        <f>(Cotacoes!S274-Cotacoes!S273)/Cotacoes!S273</f>
        <v>-7.1377587437543093E-4</v>
      </c>
      <c r="T274" s="5">
        <f>(Cotacoes!T274-Cotacoes!T273)/Cotacoes!T273</f>
        <v>-2.3792529145848201E-2</v>
      </c>
      <c r="U274" s="5">
        <f>(Cotacoes!U274-Cotacoes!U273)/Cotacoes!U273</f>
        <v>-1.1430678466076779E-2</v>
      </c>
      <c r="V274" s="5">
        <f>(Cotacoes!V274-Cotacoes!V273)/Cotacoes!V273</f>
        <v>0</v>
      </c>
      <c r="W274" s="5"/>
    </row>
    <row r="275" spans="1:23" x14ac:dyDescent="0.2">
      <c r="A275" s="4">
        <v>44959</v>
      </c>
      <c r="B275" s="5">
        <f>(Cotacoes!B275-Cotacoes!B274)/Cotacoes!B274</f>
        <v>-1.5474515745049157E-2</v>
      </c>
      <c r="C275" s="5">
        <f>(Cotacoes!C275-Cotacoes!C274)/Cotacoes!C274</f>
        <v>-4.6228058421546148E-2</v>
      </c>
      <c r="D275" s="5">
        <f>(Cotacoes!D275-Cotacoes!D274)/Cotacoes!D274</f>
        <v>-4.6105919003115274E-2</v>
      </c>
      <c r="E275" s="5">
        <f>(Cotacoes!E275-Cotacoes!E274)/Cotacoes!E274</f>
        <v>9.3798853569567325E-3</v>
      </c>
      <c r="F275" s="5">
        <f>(Cotacoes!F275-Cotacoes!F274)/Cotacoes!F274</f>
        <v>-4.7542735042735075E-2</v>
      </c>
      <c r="G275" s="5">
        <f>(Cotacoes!G275-Cotacoes!G274)/Cotacoes!G274</f>
        <v>-9.2997811816193481E-3</v>
      </c>
      <c r="H275" s="5">
        <f>(Cotacoes!H275-Cotacoes!H274)/Cotacoes!H274</f>
        <v>-1.8948655256723637E-2</v>
      </c>
      <c r="I275" s="5">
        <f>(Cotacoes!I275-Cotacoes!I274)/Cotacoes!I274</f>
        <v>-2.0607073238652046E-2</v>
      </c>
      <c r="J275" s="5">
        <f>(Cotacoes!J275-Cotacoes!J274)/Cotacoes!J274</f>
        <v>1.97841726618704E-3</v>
      </c>
      <c r="K275" s="5">
        <f>(Cotacoes!K275-Cotacoes!K274)/Cotacoes!K274</f>
        <v>1.4886164623467594E-2</v>
      </c>
      <c r="L275" s="5">
        <f>(Cotacoes!L275-Cotacoes!L274)/Cotacoes!L274</f>
        <v>6.6666666666666723E-3</v>
      </c>
      <c r="M275" s="5">
        <f>(Cotacoes!M275-Cotacoes!M274)/Cotacoes!M274</f>
        <v>-5.1457975986278302E-3</v>
      </c>
      <c r="N275" s="5">
        <f>(Cotacoes!N275-Cotacoes!N274)/Cotacoes!N274</f>
        <v>4.8859934853420599E-3</v>
      </c>
      <c r="O275" s="5">
        <f>(Cotacoes!O275-Cotacoes!O274)/Cotacoes!O274</f>
        <v>-1.2928891098955645E-2</v>
      </c>
      <c r="P275" s="5">
        <f>(Cotacoes!P275-Cotacoes!P274)/Cotacoes!P274</f>
        <v>1.2269938650306704E-2</v>
      </c>
      <c r="Q275" s="5">
        <f>(Cotacoes!Q275-Cotacoes!Q274)/Cotacoes!Q274</f>
        <v>-3.6987222595830503E-2</v>
      </c>
      <c r="R275" s="5">
        <f>(Cotacoes!R275-Cotacoes!R274)/Cotacoes!R274</f>
        <v>-3.2402791625124557E-2</v>
      </c>
      <c r="S275" s="5">
        <f>(Cotacoes!S275-Cotacoes!S274)/Cotacoes!S274</f>
        <v>2.142857142857097E-3</v>
      </c>
      <c r="T275" s="5">
        <f>(Cotacoes!T275-Cotacoes!T274)/Cotacoes!T274</f>
        <v>-2.5347306848647309E-2</v>
      </c>
      <c r="U275" s="5">
        <f>(Cotacoes!U275-Cotacoes!U274)/Cotacoes!U274</f>
        <v>2.7601641178664753E-2</v>
      </c>
      <c r="V275" s="5">
        <f>(Cotacoes!V275-Cotacoes!V274)/Cotacoes!V274</f>
        <v>-2.8590207032533718E-2</v>
      </c>
      <c r="W275" s="5"/>
    </row>
    <row r="276" spans="1:23" x14ac:dyDescent="0.2">
      <c r="A276" s="4">
        <v>44960</v>
      </c>
      <c r="B276" s="5">
        <f>(Cotacoes!B276-Cotacoes!B275)/Cotacoes!B275</f>
        <v>0</v>
      </c>
      <c r="C276" s="5">
        <f>(Cotacoes!C276-Cotacoes!C275)/Cotacoes!C275</f>
        <v>-2.2478224220288112E-3</v>
      </c>
      <c r="D276" s="5">
        <f>(Cotacoes!D276-Cotacoes!D275)/Cotacoes!D275</f>
        <v>1.0450685826257357E-2</v>
      </c>
      <c r="E276" s="5">
        <f>(Cotacoes!E276-Cotacoes!E275)/Cotacoes!E275</f>
        <v>-3.6138358286009436E-3</v>
      </c>
      <c r="F276" s="5">
        <f>(Cotacoes!F276-Cotacoes!F275)/Cotacoes!F275</f>
        <v>1.2338754907459474E-2</v>
      </c>
      <c r="G276" s="5">
        <f>(Cotacoes!G276-Cotacoes!G275)/Cotacoes!G275</f>
        <v>-3.3130866924350483E-3</v>
      </c>
      <c r="H276" s="5">
        <f>(Cotacoes!H276-Cotacoes!H275)/Cotacoes!H275</f>
        <v>-6.2305295950156646E-3</v>
      </c>
      <c r="I276" s="5">
        <f>(Cotacoes!I276-Cotacoes!I275)/Cotacoes!I275</f>
        <v>-2.55899914700028E-2</v>
      </c>
      <c r="J276" s="5">
        <f>(Cotacoes!J276-Cotacoes!J275)/Cotacoes!J275</f>
        <v>-3.9669718183450026E-2</v>
      </c>
      <c r="K276" s="5">
        <f>(Cotacoes!K276-Cotacoes!K275)/Cotacoes!K275</f>
        <v>-2.2433132010353737E-2</v>
      </c>
      <c r="L276" s="5">
        <f>(Cotacoes!L276-Cotacoes!L275)/Cotacoes!L275</f>
        <v>-6.8708609271523183E-2</v>
      </c>
      <c r="M276" s="5">
        <f>(Cotacoes!M276-Cotacoes!M275)/Cotacoes!M275</f>
        <v>-1.0344827586206829E-2</v>
      </c>
      <c r="N276" s="5">
        <f>(Cotacoes!N276-Cotacoes!N275)/Cotacoes!N275</f>
        <v>-9.724473257698478E-3</v>
      </c>
      <c r="O276" s="5">
        <f>(Cotacoes!O276-Cotacoes!O275)/Cotacoes!O275</f>
        <v>-8.0604534005037851E-3</v>
      </c>
      <c r="P276" s="5">
        <f>(Cotacoes!P276-Cotacoes!P275)/Cotacoes!P275</f>
        <v>-3.0303030303030732E-3</v>
      </c>
      <c r="Q276" s="5">
        <f>(Cotacoes!Q276-Cotacoes!Q275)/Cotacoes!Q275</f>
        <v>2.8631284916201045E-2</v>
      </c>
      <c r="R276" s="5">
        <f>(Cotacoes!R276-Cotacoes!R275)/Cotacoes!R275</f>
        <v>-1.9577537351880423E-2</v>
      </c>
      <c r="S276" s="5">
        <f>(Cotacoes!S276-Cotacoes!S275)/Cotacoes!S275</f>
        <v>-3.1004989308624286E-2</v>
      </c>
      <c r="T276" s="5">
        <f>(Cotacoes!T276-Cotacoes!T275)/Cotacoes!T275</f>
        <v>3.0007501875468226E-3</v>
      </c>
      <c r="U276" s="5">
        <f>(Cotacoes!U276-Cotacoes!U275)/Cotacoes!U275</f>
        <v>-3.6842105263157912E-2</v>
      </c>
      <c r="V276" s="5">
        <f>(Cotacoes!V276-Cotacoes!V275)/Cotacoes!V275</f>
        <v>-4.6008119079837602E-2</v>
      </c>
      <c r="W276" s="5"/>
    </row>
    <row r="277" spans="1:23" x14ac:dyDescent="0.2">
      <c r="A277" s="4">
        <v>44963</v>
      </c>
      <c r="B277" s="5">
        <f>(Cotacoes!B277-Cotacoes!B276)/Cotacoes!B276</f>
        <v>-6.2651132116949585E-3</v>
      </c>
      <c r="C277" s="5">
        <f>(Cotacoes!C277-Cotacoes!C276)/Cotacoes!C276</f>
        <v>-1.2390875809631026E-2</v>
      </c>
      <c r="D277" s="5">
        <f>(Cotacoes!D277-Cotacoes!D276)/Cotacoes!D276</f>
        <v>4.0077569489334143E-2</v>
      </c>
      <c r="E277" s="5">
        <f>(Cotacoes!E277-Cotacoes!E276)/Cotacoes!E276</f>
        <v>5.181347150258036E-4</v>
      </c>
      <c r="F277" s="5">
        <f>(Cotacoes!F277-Cotacoes!F276)/Cotacoes!F276</f>
        <v>3.6011080332409892E-2</v>
      </c>
      <c r="G277" s="5">
        <f>(Cotacoes!G277-Cotacoes!G276)/Cotacoes!G276</f>
        <v>-9.1412742382270991E-3</v>
      </c>
      <c r="H277" s="5">
        <f>(Cotacoes!H277-Cotacoes!H276)/Cotacoes!H276</f>
        <v>5.6426332288401163E-3</v>
      </c>
      <c r="I277" s="5">
        <f>(Cotacoes!I277-Cotacoes!I276)/Cotacoes!I276</f>
        <v>5.5442077618907994E-3</v>
      </c>
      <c r="J277" s="5">
        <f>(Cotacoes!J277-Cotacoes!J276)/Cotacoes!J276</f>
        <v>3.73831775700993E-4</v>
      </c>
      <c r="K277" s="5">
        <f>(Cotacoes!K277-Cotacoes!K276)/Cotacoes!K276</f>
        <v>-3.5304501323919616E-3</v>
      </c>
      <c r="L277" s="5">
        <f>(Cotacoes!L277-Cotacoes!L276)/Cotacoes!L276</f>
        <v>0</v>
      </c>
      <c r="M277" s="5">
        <f>(Cotacoes!M277-Cotacoes!M276)/Cotacoes!M276</f>
        <v>3.4843205574912146E-3</v>
      </c>
      <c r="N277" s="5">
        <f>(Cotacoes!N277-Cotacoes!N276)/Cotacoes!N276</f>
        <v>1.6366612111292612E-3</v>
      </c>
      <c r="O277" s="5">
        <f>(Cotacoes!O277-Cotacoes!O276)/Cotacoes!O276</f>
        <v>-2.8948704926358572E-2</v>
      </c>
      <c r="P277" s="5">
        <f>(Cotacoes!P277-Cotacoes!P276)/Cotacoes!P276</f>
        <v>-6.0790273556218907E-4</v>
      </c>
      <c r="Q277" s="5">
        <f>(Cotacoes!Q277-Cotacoes!Q276)/Cotacoes!Q276</f>
        <v>-7.4677528852681221E-3</v>
      </c>
      <c r="R277" s="5">
        <f>(Cotacoes!R277-Cotacoes!R276)/Cotacoes!R276</f>
        <v>5.2548607461891806E-4</v>
      </c>
      <c r="S277" s="5">
        <f>(Cotacoes!S277-Cotacoes!S276)/Cotacoes!S276</f>
        <v>-9.5623390952556658E-3</v>
      </c>
      <c r="T277" s="5">
        <f>(Cotacoes!T277-Cotacoes!T276)/Cotacoes!T276</f>
        <v>2.5430067314884147E-2</v>
      </c>
      <c r="U277" s="5">
        <f>(Cotacoes!U277-Cotacoes!U276)/Cotacoes!U276</f>
        <v>-2.0727341247408974E-3</v>
      </c>
      <c r="V277" s="5">
        <f>(Cotacoes!V277-Cotacoes!V276)/Cotacoes!V276</f>
        <v>-8.1560283687943415E-3</v>
      </c>
      <c r="W277" s="5"/>
    </row>
    <row r="278" spans="1:23" x14ac:dyDescent="0.2">
      <c r="A278" s="4">
        <v>44964</v>
      </c>
      <c r="B278" s="5">
        <f>(Cotacoes!B278-Cotacoes!B277)/Cotacoes!B277</f>
        <v>1.8913836964937595E-2</v>
      </c>
      <c r="C278" s="5">
        <f>(Cotacoes!C278-Cotacoes!C277)/Cotacoes!C277</f>
        <v>6.5583119475334153E-3</v>
      </c>
      <c r="D278" s="5">
        <f>(Cotacoes!D278-Cotacoes!D277)/Cotacoes!D277</f>
        <v>-6.2150403977625631E-3</v>
      </c>
      <c r="E278" s="5">
        <f>(Cotacoes!E278-Cotacoes!E277)/Cotacoes!E277</f>
        <v>-2.3303987571206594E-2</v>
      </c>
      <c r="F278" s="5">
        <f>(Cotacoes!F278-Cotacoes!F277)/Cotacoes!F277</f>
        <v>-5.3475935828875866E-3</v>
      </c>
      <c r="G278" s="5">
        <f>(Cotacoes!G278-Cotacoes!G277)/Cotacoes!G277</f>
        <v>2.7956388034664332E-3</v>
      </c>
      <c r="H278" s="5">
        <f>(Cotacoes!H278-Cotacoes!H277)/Cotacoes!H277</f>
        <v>-1.371571072319195E-2</v>
      </c>
      <c r="I278" s="5">
        <f>(Cotacoes!I278-Cotacoes!I277)/Cotacoes!I277</f>
        <v>-3.511317469529892E-2</v>
      </c>
      <c r="J278" s="5">
        <f>(Cotacoes!J278-Cotacoes!J277)/Cotacoes!J277</f>
        <v>-3.4566517189835597E-2</v>
      </c>
      <c r="K278" s="5">
        <f>(Cotacoes!K278-Cotacoes!K277)/Cotacoes!K277</f>
        <v>-6.2001771479183801E-3</v>
      </c>
      <c r="L278" s="5">
        <f>(Cotacoes!L278-Cotacoes!L277)/Cotacoes!L277</f>
        <v>-1.7777777777777715E-2</v>
      </c>
      <c r="M278" s="5">
        <f>(Cotacoes!M278-Cotacoes!M277)/Cotacoes!M277</f>
        <v>-4.3402777777776852E-3</v>
      </c>
      <c r="N278" s="5">
        <f>(Cotacoes!N278-Cotacoes!N277)/Cotacoes!N277</f>
        <v>-1.1437908496732072E-2</v>
      </c>
      <c r="O278" s="5">
        <f>(Cotacoes!O278-Cotacoes!O277)/Cotacoes!O277</f>
        <v>-1.725941422594152E-2</v>
      </c>
      <c r="P278" s="5">
        <f>(Cotacoes!P278-Cotacoes!P277)/Cotacoes!P277</f>
        <v>3.1021897810218853E-2</v>
      </c>
      <c r="Q278" s="5">
        <f>(Cotacoes!Q278-Cotacoes!Q277)/Cotacoes!Q277</f>
        <v>2.0519835841314045E-3</v>
      </c>
      <c r="R278" s="5">
        <f>(Cotacoes!R278-Cotacoes!R277)/Cotacoes!R277</f>
        <v>-2.100840336134409E-3</v>
      </c>
      <c r="S278" s="5">
        <f>(Cotacoes!S278-Cotacoes!S277)/Cotacoes!S277</f>
        <v>-1.7823988117341271E-2</v>
      </c>
      <c r="T278" s="5">
        <f>(Cotacoes!T278-Cotacoes!T277)/Cotacoes!T277</f>
        <v>1.0454655968879156E-2</v>
      </c>
      <c r="U278" s="5">
        <f>(Cotacoes!U278-Cotacoes!U277)/Cotacoes!U277</f>
        <v>-9.0634441087614048E-3</v>
      </c>
      <c r="V278" s="5">
        <f>(Cotacoes!V278-Cotacoes!V277)/Cotacoes!V277</f>
        <v>-1.966392563460841E-2</v>
      </c>
      <c r="W278" s="5"/>
    </row>
    <row r="279" spans="1:23" x14ac:dyDescent="0.2">
      <c r="A279" s="4">
        <v>44965</v>
      </c>
      <c r="B279" s="5">
        <f>(Cotacoes!B279-Cotacoes!B278)/Cotacoes!B278</f>
        <v>-1.8454190186713012E-2</v>
      </c>
      <c r="C279" s="5">
        <f>(Cotacoes!C279-Cotacoes!C278)/Cotacoes!C278</f>
        <v>3.3994334277621689E-3</v>
      </c>
      <c r="D279" s="5">
        <f>(Cotacoes!D279-Cotacoes!D278)/Cotacoes!D278</f>
        <v>1.6885553470919409E-2</v>
      </c>
      <c r="E279" s="5">
        <f>(Cotacoes!E279-Cotacoes!E278)/Cotacoes!E278</f>
        <v>8.2714740190880293E-2</v>
      </c>
      <c r="F279" s="5">
        <f>(Cotacoes!F279-Cotacoes!F278)/Cotacoes!F278</f>
        <v>2.0430107526881666E-2</v>
      </c>
      <c r="G279" s="5">
        <f>(Cotacoes!G279-Cotacoes!G278)/Cotacoes!G278</f>
        <v>-2.7878449958176779E-4</v>
      </c>
      <c r="H279" s="5">
        <f>(Cotacoes!H279-Cotacoes!H278)/Cotacoes!H278</f>
        <v>2.4020227560050504E-2</v>
      </c>
      <c r="I279" s="5">
        <f>(Cotacoes!I279-Cotacoes!I278)/Cotacoes!I278</f>
        <v>1.1127819548872103E-2</v>
      </c>
      <c r="J279" s="5">
        <f>(Cotacoes!J279-Cotacoes!J278)/Cotacoes!J278</f>
        <v>1.7031159280046362E-2</v>
      </c>
      <c r="K279" s="5">
        <f>(Cotacoes!K279-Cotacoes!K278)/Cotacoes!K278</f>
        <v>4.9019607843137157E-2</v>
      </c>
      <c r="L279" s="5">
        <f>(Cotacoes!L279-Cotacoes!L278)/Cotacoes!L278</f>
        <v>1.9004524886877743E-2</v>
      </c>
      <c r="M279" s="5">
        <f>(Cotacoes!M279-Cotacoes!M278)/Cotacoes!M278</f>
        <v>1.7436791630339954E-2</v>
      </c>
      <c r="N279" s="5">
        <f>(Cotacoes!N279-Cotacoes!N278)/Cotacoes!N278</f>
        <v>8.4297520661156991E-2</v>
      </c>
      <c r="O279" s="5">
        <f>(Cotacoes!O279-Cotacoes!O278)/Cotacoes!O278</f>
        <v>1.5965939329431154E-3</v>
      </c>
      <c r="P279" s="5">
        <f>(Cotacoes!P279-Cotacoes!P278)/Cotacoes!P278</f>
        <v>-1.9469026548672465E-2</v>
      </c>
      <c r="Q279" s="5">
        <f>(Cotacoes!Q279-Cotacoes!Q278)/Cotacoes!Q278</f>
        <v>-2.2753128555176656E-3</v>
      </c>
      <c r="R279" s="5">
        <f>(Cotacoes!R279-Cotacoes!R278)/Cotacoes!R278</f>
        <v>5.1578947368421078E-2</v>
      </c>
      <c r="S279" s="5">
        <f>(Cotacoes!S279-Cotacoes!S278)/Cotacoes!S278</f>
        <v>1.9281663516068113E-2</v>
      </c>
      <c r="T279" s="5">
        <f>(Cotacoes!T279-Cotacoes!T278)/Cotacoes!T278</f>
        <v>2.2136669874879562E-2</v>
      </c>
      <c r="U279" s="5">
        <f>(Cotacoes!U279-Cotacoes!U278)/Cotacoes!U278</f>
        <v>2.1913109756097671E-2</v>
      </c>
      <c r="V279" s="5">
        <f>(Cotacoes!V279-Cotacoes!V278)/Cotacoes!V278</f>
        <v>-4.0116703136397879E-3</v>
      </c>
      <c r="W279" s="5"/>
    </row>
    <row r="280" spans="1:23" x14ac:dyDescent="0.2">
      <c r="A280" s="4">
        <v>44966</v>
      </c>
      <c r="B280" s="5">
        <f>(Cotacoes!B280-Cotacoes!B279)/Cotacoes!B279</f>
        <v>3.2072550320724623E-3</v>
      </c>
      <c r="C280" s="5">
        <f>(Cotacoes!C280-Cotacoes!C279)/Cotacoes!C279</f>
        <v>-3.6702428006776555E-3</v>
      </c>
      <c r="D280" s="5">
        <f>(Cotacoes!D280-Cotacoes!D279)/Cotacoes!D279</f>
        <v>-4.3050430504305215E-3</v>
      </c>
      <c r="E280" s="5">
        <f>(Cotacoes!E280-Cotacoes!E279)/Cotacoes!E279</f>
        <v>-2.4485798237022526E-2</v>
      </c>
      <c r="F280" s="5">
        <f>(Cotacoes!F280-Cotacoes!F279)/Cotacoes!F279</f>
        <v>0</v>
      </c>
      <c r="G280" s="5">
        <f>(Cotacoes!G280-Cotacoes!G279)/Cotacoes!G279</f>
        <v>8.644729503625272E-3</v>
      </c>
      <c r="H280" s="5">
        <f>(Cotacoes!H280-Cotacoes!H279)/Cotacoes!H279</f>
        <v>-5.5555555555555471E-3</v>
      </c>
      <c r="I280" s="5">
        <f>(Cotacoes!I280-Cotacoes!I279)/Cotacoes!I279</f>
        <v>-2.2010707911957018E-2</v>
      </c>
      <c r="J280" s="5">
        <f>(Cotacoes!J280-Cotacoes!J279)/Cotacoes!J279</f>
        <v>-8.9438629876308073E-3</v>
      </c>
      <c r="K280" s="5">
        <f>(Cotacoes!K280-Cotacoes!K279)/Cotacoes!K279</f>
        <v>-2.548853016142727E-2</v>
      </c>
      <c r="L280" s="5">
        <f>(Cotacoes!L280-Cotacoes!L279)/Cotacoes!L279</f>
        <v>-3.818827708703372E-2</v>
      </c>
      <c r="M280" s="5">
        <f>(Cotacoes!M280-Cotacoes!M279)/Cotacoes!M279</f>
        <v>-1.2853470437018025E-2</v>
      </c>
      <c r="N280" s="5">
        <f>(Cotacoes!N280-Cotacoes!N279)/Cotacoes!N279</f>
        <v>-2.5914634146341455E-2</v>
      </c>
      <c r="O280" s="5">
        <f>(Cotacoes!O280-Cotacoes!O279)/Cotacoes!O279</f>
        <v>-1.1689691817215667E-2</v>
      </c>
      <c r="P280" s="5">
        <f>(Cotacoes!P280-Cotacoes!P279)/Cotacoes!P279</f>
        <v>-2.3465703971119165E-2</v>
      </c>
      <c r="Q280" s="5">
        <f>(Cotacoes!Q280-Cotacoes!Q279)/Cotacoes!Q279</f>
        <v>7.5256556442416939E-3</v>
      </c>
      <c r="R280" s="5">
        <f>(Cotacoes!R280-Cotacoes!R279)/Cotacoes!R279</f>
        <v>-2.2022022022022084E-2</v>
      </c>
      <c r="S280" s="5">
        <f>(Cotacoes!S280-Cotacoes!S279)/Cotacoes!S279</f>
        <v>-2.7448071216617284E-2</v>
      </c>
      <c r="T280" s="5">
        <f>(Cotacoes!T280-Cotacoes!T279)/Cotacoes!T279</f>
        <v>-1.3888888888888803E-2</v>
      </c>
      <c r="U280" s="5">
        <f>(Cotacoes!U280-Cotacoes!U279)/Cotacoes!U279</f>
        <v>-3.2071601715457879E-2</v>
      </c>
      <c r="V280" s="5">
        <f>(Cotacoes!V280-Cotacoes!V279)/Cotacoes!V279</f>
        <v>-1.830831197363603E-2</v>
      </c>
      <c r="W280" s="5"/>
    </row>
    <row r="281" spans="1:23" x14ac:dyDescent="0.2">
      <c r="A281" s="4">
        <v>44967</v>
      </c>
      <c r="B281" s="5">
        <f>(Cotacoes!B281-Cotacoes!B280)/Cotacoes!B280</f>
        <v>5.5120714364458165E-3</v>
      </c>
      <c r="C281" s="5">
        <f>(Cotacoes!C281-Cotacoes!C280)/Cotacoes!C280</f>
        <v>-1.7993765939359536E-2</v>
      </c>
      <c r="D281" s="5">
        <f>(Cotacoes!D281-Cotacoes!D280)/Cotacoes!D280</f>
        <v>3.0265596046942459E-2</v>
      </c>
      <c r="E281" s="5">
        <f>(Cotacoes!E281-Cotacoes!E280)/Cotacoes!E280</f>
        <v>-5.0200803212852117E-3</v>
      </c>
      <c r="F281" s="5">
        <f>(Cotacoes!F281-Cotacoes!F280)/Cotacoes!F280</f>
        <v>2.739726027397258E-2</v>
      </c>
      <c r="G281" s="5">
        <f>(Cotacoes!G281-Cotacoes!G280)/Cotacoes!G280</f>
        <v>1.6311860658003767E-2</v>
      </c>
      <c r="H281" s="5">
        <f>(Cotacoes!H281-Cotacoes!H280)/Cotacoes!H280</f>
        <v>1.9863438857852283E-2</v>
      </c>
      <c r="I281" s="5">
        <f>(Cotacoes!I281-Cotacoes!I280)/Cotacoes!I280</f>
        <v>1.5510948905109427E-2</v>
      </c>
      <c r="J281" s="5">
        <f>(Cotacoes!J281-Cotacoes!J280)/Cotacoes!J280</f>
        <v>1.7665130568356408E-2</v>
      </c>
      <c r="K281" s="5">
        <f>(Cotacoes!K281-Cotacoes!K280)/Cotacoes!K280</f>
        <v>-8.1952920662598183E-2</v>
      </c>
      <c r="L281" s="5">
        <f>(Cotacoes!L281-Cotacoes!L280)/Cotacoes!L280</f>
        <v>1.2927054478301067E-2</v>
      </c>
      <c r="M281" s="5">
        <f>(Cotacoes!M281-Cotacoes!M280)/Cotacoes!M280</f>
        <v>-1.2152777777777674E-2</v>
      </c>
      <c r="N281" s="5">
        <f>(Cotacoes!N281-Cotacoes!N280)/Cotacoes!N280</f>
        <v>-1.0954616588419312E-2</v>
      </c>
      <c r="O281" s="5">
        <f>(Cotacoes!O281-Cotacoes!O280)/Cotacoes!O280</f>
        <v>1.2903225806451528E-2</v>
      </c>
      <c r="P281" s="5">
        <f>(Cotacoes!P281-Cotacoes!P280)/Cotacoes!P280</f>
        <v>-8.0098582871225513E-3</v>
      </c>
      <c r="Q281" s="5">
        <f>(Cotacoes!Q281-Cotacoes!Q280)/Cotacoes!Q280</f>
        <v>2.2634676324128885E-3</v>
      </c>
      <c r="R281" s="5">
        <f>(Cotacoes!R281-Cotacoes!R280)/Cotacoes!R280</f>
        <v>3.5823950870010383E-3</v>
      </c>
      <c r="S281" s="5">
        <f>(Cotacoes!S281-Cotacoes!S280)/Cotacoes!S280</f>
        <v>2.0213577421815454E-2</v>
      </c>
      <c r="T281" s="5">
        <f>(Cotacoes!T281-Cotacoes!T280)/Cotacoes!T280</f>
        <v>1.88589162091191E-2</v>
      </c>
      <c r="U281" s="5">
        <f>(Cotacoes!U281-Cotacoes!U280)/Cotacoes!U280</f>
        <v>2.5043344249663373E-3</v>
      </c>
      <c r="V281" s="5">
        <f>(Cotacoes!V281-Cotacoes!V280)/Cotacoes!V280</f>
        <v>8.9518836255129425E-3</v>
      </c>
      <c r="W281" s="5"/>
    </row>
    <row r="282" spans="1:23" x14ac:dyDescent="0.2">
      <c r="A282" s="4">
        <v>44970</v>
      </c>
      <c r="B282" s="5">
        <f>(Cotacoes!B282-Cotacoes!B281)/Cotacoes!B281</f>
        <v>-1.1511895625479633E-2</v>
      </c>
      <c r="C282" s="5">
        <f>(Cotacoes!C282-Cotacoes!C281)/Cotacoes!C281</f>
        <v>-1.0099552734094269E-3</v>
      </c>
      <c r="D282" s="5">
        <f>(Cotacoes!D282-Cotacoes!D281)/Cotacoes!D281</f>
        <v>2.9976019184652703E-3</v>
      </c>
      <c r="E282" s="5">
        <f>(Cotacoes!E282-Cotacoes!E281)/Cotacoes!E281</f>
        <v>3.5317860746720449E-2</v>
      </c>
      <c r="F282" s="5">
        <f>(Cotacoes!F282-Cotacoes!F281)/Cotacoes!F281</f>
        <v>5.1282051282052011E-3</v>
      </c>
      <c r="G282" s="5">
        <f>(Cotacoes!G282-Cotacoes!G281)/Cotacoes!G281</f>
        <v>-5.4406964091392881E-4</v>
      </c>
      <c r="H282" s="5">
        <f>(Cotacoes!H282-Cotacoes!H281)/Cotacoes!H281</f>
        <v>5.477784540474733E-3</v>
      </c>
      <c r="I282" s="5">
        <f>(Cotacoes!I282-Cotacoes!I281)/Cotacoes!I281</f>
        <v>-1.048218029350109E-2</v>
      </c>
      <c r="J282" s="5">
        <f>(Cotacoes!J282-Cotacoes!J281)/Cotacoes!J281</f>
        <v>9.433962264150943E-3</v>
      </c>
      <c r="K282" s="5">
        <f>(Cotacoes!K282-Cotacoes!K281)/Cotacoes!K281</f>
        <v>3.6087369420702828E-2</v>
      </c>
      <c r="L282" s="5">
        <f>(Cotacoes!L282-Cotacoes!L281)/Cotacoes!L281</f>
        <v>1.0027347310847715E-2</v>
      </c>
      <c r="M282" s="5">
        <f>(Cotacoes!M282-Cotacoes!M281)/Cotacoes!M281</f>
        <v>2.1089630931458561E-2</v>
      </c>
      <c r="N282" s="5">
        <f>(Cotacoes!N282-Cotacoes!N281)/Cotacoes!N281</f>
        <v>2.5316455696202552E-2</v>
      </c>
      <c r="O282" s="5">
        <f>(Cotacoes!O282-Cotacoes!O281)/Cotacoes!O281</f>
        <v>2.919320594479834E-2</v>
      </c>
      <c r="P282" s="5">
        <f>(Cotacoes!P282-Cotacoes!P281)/Cotacoes!P281</f>
        <v>-7.4534161490683844E-3</v>
      </c>
      <c r="Q282" s="5">
        <f>(Cotacoes!Q282-Cotacoes!Q281)/Cotacoes!Q281</f>
        <v>6.549232158988237E-3</v>
      </c>
      <c r="R282" s="5">
        <f>(Cotacoes!R282-Cotacoes!R281)/Cotacoes!R281</f>
        <v>2.4477307496175445E-2</v>
      </c>
      <c r="S282" s="5">
        <f>(Cotacoes!S282-Cotacoes!S281)/Cotacoes!S281</f>
        <v>-5.2336448598131052E-3</v>
      </c>
      <c r="T282" s="5">
        <f>(Cotacoes!T282-Cotacoes!T281)/Cotacoes!T281</f>
        <v>-1.6635426429240881E-2</v>
      </c>
      <c r="U282" s="5">
        <f>(Cotacoes!U282-Cotacoes!U281)/Cotacoes!U281</f>
        <v>-3.6510376633358517E-3</v>
      </c>
      <c r="V282" s="5">
        <f>(Cotacoes!V282-Cotacoes!V281)/Cotacoes!V281</f>
        <v>-5.5452865064695798E-3</v>
      </c>
      <c r="W282" s="5"/>
    </row>
    <row r="283" spans="1:23" x14ac:dyDescent="0.2">
      <c r="A283" s="4">
        <v>44971</v>
      </c>
      <c r="B283" s="5">
        <f>(Cotacoes!B283-Cotacoes!B282)/Cotacoes!B282</f>
        <v>1.7080745341614977E-2</v>
      </c>
      <c r="C283" s="5">
        <f>(Cotacoes!C283-Cotacoes!C282)/Cotacoes!C282</f>
        <v>4.4771808203350992E-3</v>
      </c>
      <c r="D283" s="5">
        <f>(Cotacoes!D283-Cotacoes!D282)/Cotacoes!D282</f>
        <v>-3.5863717872085307E-3</v>
      </c>
      <c r="E283" s="5">
        <f>(Cotacoes!E283-Cotacoes!E282)/Cotacoes!E282</f>
        <v>-1.2183235867446395E-2</v>
      </c>
      <c r="F283" s="5">
        <f>(Cotacoes!F283-Cotacoes!F282)/Cotacoes!F282</f>
        <v>-6.1224489795918867E-3</v>
      </c>
      <c r="G283" s="5">
        <f>(Cotacoes!G283-Cotacoes!G282)/Cotacoes!G282</f>
        <v>-5.7158410451823858E-3</v>
      </c>
      <c r="H283" s="5">
        <f>(Cotacoes!H283-Cotacoes!H282)/Cotacoes!H282</f>
        <v>2.3607748184019405E-2</v>
      </c>
      <c r="I283" s="5">
        <f>(Cotacoes!I283-Cotacoes!I282)/Cotacoes!I282</f>
        <v>-3.6924939467312318E-2</v>
      </c>
      <c r="J283" s="5">
        <f>(Cotacoes!J283-Cotacoes!J282)/Cotacoes!J282</f>
        <v>1.8691588785046728E-2</v>
      </c>
      <c r="K283" s="5">
        <f>(Cotacoes!K283-Cotacoes!K282)/Cotacoes!K282</f>
        <v>9.1659028414298477E-3</v>
      </c>
      <c r="L283" s="5">
        <f>(Cotacoes!L283-Cotacoes!L282)/Cotacoes!L282</f>
        <v>-4.0613718411552285E-2</v>
      </c>
      <c r="M283" s="5">
        <f>(Cotacoes!M283-Cotacoes!M282)/Cotacoes!M282</f>
        <v>-1.0327022375215079E-2</v>
      </c>
      <c r="N283" s="5">
        <f>(Cotacoes!N283-Cotacoes!N282)/Cotacoes!N282</f>
        <v>-6.1728395061728444E-3</v>
      </c>
      <c r="O283" s="5">
        <f>(Cotacoes!O283-Cotacoes!O282)/Cotacoes!O282</f>
        <v>-1.0830324909747335E-2</v>
      </c>
      <c r="P283" s="5">
        <f>(Cotacoes!P283-Cotacoes!P282)/Cotacoes!P282</f>
        <v>1.5018773466833444E-2</v>
      </c>
      <c r="Q283" s="5">
        <f>(Cotacoes!Q283-Cotacoes!Q282)/Cotacoes!Q282</f>
        <v>5.1604218083912247E-3</v>
      </c>
      <c r="R283" s="5">
        <f>(Cotacoes!R283-Cotacoes!R282)/Cotacoes!R282</f>
        <v>-2.6879044300647047E-2</v>
      </c>
      <c r="S283" s="5">
        <f>(Cotacoes!S283-Cotacoes!S282)/Cotacoes!S282</f>
        <v>-9.7707628711010148E-3</v>
      </c>
      <c r="T283" s="5">
        <f>(Cotacoes!T283-Cotacoes!T282)/Cotacoes!T282</f>
        <v>-2.8115320467000233E-2</v>
      </c>
      <c r="U283" s="5">
        <f>(Cotacoes!U283-Cotacoes!U282)/Cotacoes!U282</f>
        <v>-2.02507232401158E-2</v>
      </c>
      <c r="V283" s="5">
        <f>(Cotacoes!V283-Cotacoes!V282)/Cotacoes!V282</f>
        <v>-3.6802973977695108E-2</v>
      </c>
      <c r="W283" s="5"/>
    </row>
    <row r="284" spans="1:23" x14ac:dyDescent="0.2">
      <c r="A284" s="4">
        <v>44972</v>
      </c>
      <c r="B284" s="5">
        <f>(Cotacoes!B284-Cotacoes!B283)/Cotacoes!B283</f>
        <v>6.9792802617230157E-3</v>
      </c>
      <c r="C284" s="5">
        <f>(Cotacoes!C284-Cotacoes!C283)/Cotacoes!C283</f>
        <v>2.1710999281092814E-2</v>
      </c>
      <c r="D284" s="5">
        <f>(Cotacoes!D284-Cotacoes!D283)/Cotacoes!D283</f>
        <v>1.1997600479903762E-3</v>
      </c>
      <c r="E284" s="5">
        <f>(Cotacoes!E284-Cotacoes!E283)/Cotacoes!E283</f>
        <v>1.4800197335964514E-2</v>
      </c>
      <c r="F284" s="5">
        <f>(Cotacoes!F284-Cotacoes!F283)/Cotacoes!F283</f>
        <v>4.1067761806980645E-3</v>
      </c>
      <c r="G284" s="5">
        <f>(Cotacoes!G284-Cotacoes!G283)/Cotacoes!G283</f>
        <v>1.3413632630714536E-2</v>
      </c>
      <c r="H284" s="5">
        <f>(Cotacoes!H284-Cotacoes!H283)/Cotacoes!H283</f>
        <v>8.870490833826055E-3</v>
      </c>
      <c r="I284" s="5">
        <f>(Cotacoes!I284-Cotacoes!I283)/Cotacoes!I283</f>
        <v>1.6027655562539222E-2</v>
      </c>
      <c r="J284" s="5">
        <f>(Cotacoes!J284-Cotacoes!J283)/Cotacoes!J283</f>
        <v>-1.834862385321127E-3</v>
      </c>
      <c r="K284" s="5">
        <f>(Cotacoes!K284-Cotacoes!K283)/Cotacoes!K283</f>
        <v>3.9055404178019955E-2</v>
      </c>
      <c r="L284" s="5">
        <f>(Cotacoes!L284-Cotacoes!L283)/Cotacoes!L283</f>
        <v>1.3170272812793865E-2</v>
      </c>
      <c r="M284" s="5">
        <f>(Cotacoes!M284-Cotacoes!M283)/Cotacoes!M283</f>
        <v>1.8260869565217466E-2</v>
      </c>
      <c r="N284" s="5">
        <f>(Cotacoes!N284-Cotacoes!N283)/Cotacoes!N283</f>
        <v>6.2111801242236073E-3</v>
      </c>
      <c r="O284" s="5">
        <f>(Cotacoes!O284-Cotacoes!O283)/Cotacoes!O283</f>
        <v>2.4504692387904009E-2</v>
      </c>
      <c r="P284" s="5">
        <f>(Cotacoes!P284-Cotacoes!P283)/Cotacoes!P283</f>
        <v>1.1097410604192339E-2</v>
      </c>
      <c r="Q284" s="5">
        <f>(Cotacoes!Q284-Cotacoes!Q283)/Cotacoes!Q283</f>
        <v>2.6339285714285711E-2</v>
      </c>
      <c r="R284" s="5">
        <f>(Cotacoes!R284-Cotacoes!R283)/Cotacoes!R283</f>
        <v>3.4271099744245428E-2</v>
      </c>
      <c r="S284" s="5">
        <f>(Cotacoes!S284-Cotacoes!S283)/Cotacoes!S283</f>
        <v>9.4876660341555973E-3</v>
      </c>
      <c r="T284" s="5">
        <f>(Cotacoes!T284-Cotacoes!T283)/Cotacoes!T283</f>
        <v>9.8063250796761822E-4</v>
      </c>
      <c r="U284" s="5">
        <f>(Cotacoes!U284-Cotacoes!U283)/Cotacoes!U283</f>
        <v>2.106299212598426E-2</v>
      </c>
      <c r="V284" s="5">
        <f>(Cotacoes!V284-Cotacoes!V283)/Cotacoes!V283</f>
        <v>3.9752991123118531E-2</v>
      </c>
      <c r="W284" s="5"/>
    </row>
    <row r="285" spans="1:23" x14ac:dyDescent="0.2">
      <c r="A285" s="4">
        <v>44973</v>
      </c>
      <c r="B285" s="5">
        <f>(Cotacoes!B285-Cotacoes!B284)/Cotacoes!B284</f>
        <v>-7.0392029456357551E-3</v>
      </c>
      <c r="C285" s="5">
        <f>(Cotacoes!C285-Cotacoes!C284)/Cotacoes!C284</f>
        <v>2.2516183506895099E-3</v>
      </c>
      <c r="D285" s="5">
        <f>(Cotacoes!D285-Cotacoes!D284)/Cotacoes!D284</f>
        <v>4.1941282204913293E-3</v>
      </c>
      <c r="E285" s="5">
        <f>(Cotacoes!E285-Cotacoes!E284)/Cotacoes!E284</f>
        <v>7.2921730675740678E-3</v>
      </c>
      <c r="F285" s="5">
        <f>(Cotacoes!F285-Cotacoes!F284)/Cotacoes!F284</f>
        <v>-1.0224948875255406E-3</v>
      </c>
      <c r="G285" s="5">
        <f>(Cotacoes!G285-Cotacoes!G284)/Cotacoes!G284</f>
        <v>-2.431118314424727E-3</v>
      </c>
      <c r="H285" s="5">
        <f>(Cotacoes!H285-Cotacoes!H284)/Cotacoes!H284</f>
        <v>1.1137162954279091E-2</v>
      </c>
      <c r="I285" s="5">
        <f>(Cotacoes!I285-Cotacoes!I284)/Cotacoes!I284</f>
        <v>3.4024126198576999E-3</v>
      </c>
      <c r="J285" s="5">
        <f>(Cotacoes!J285-Cotacoes!J284)/Cotacoes!J284</f>
        <v>1.1764705882352951E-2</v>
      </c>
      <c r="K285" s="5">
        <f>(Cotacoes!K285-Cotacoes!K284)/Cotacoes!K284</f>
        <v>1.9230769230769287E-2</v>
      </c>
      <c r="L285" s="5">
        <f>(Cotacoes!L285-Cotacoes!L284)/Cotacoes!L284</f>
        <v>-1.8570102135561681E-2</v>
      </c>
      <c r="M285" s="5">
        <f>(Cotacoes!M285-Cotacoes!M284)/Cotacoes!M284</f>
        <v>-1.1955593509820714E-2</v>
      </c>
      <c r="N285" s="5">
        <f>(Cotacoes!N285-Cotacoes!N284)/Cotacoes!N284</f>
        <v>3.0864197530863537E-3</v>
      </c>
      <c r="O285" s="5">
        <f>(Cotacoes!O285-Cotacoes!O284)/Cotacoes!O284</f>
        <v>-3.2569974554707233E-2</v>
      </c>
      <c r="P285" s="5">
        <f>(Cotacoes!P285-Cotacoes!P284)/Cotacoes!P284</f>
        <v>-1.0975609756097545E-2</v>
      </c>
      <c r="Q285" s="5">
        <f>(Cotacoes!Q285-Cotacoes!Q284)/Cotacoes!Q284</f>
        <v>-8.9169204001739149E-3</v>
      </c>
      <c r="R285" s="5">
        <f>(Cotacoes!R285-Cotacoes!R284)/Cotacoes!R284</f>
        <v>-4.9455984174075229E-4</v>
      </c>
      <c r="S285" s="5">
        <f>(Cotacoes!S285-Cotacoes!S284)/Cotacoes!S284</f>
        <v>-4.5112781954887594E-3</v>
      </c>
      <c r="T285" s="5">
        <f>(Cotacoes!T285-Cotacoes!T284)/Cotacoes!T284</f>
        <v>-1.5674748959098716E-2</v>
      </c>
      <c r="U285" s="5">
        <f>(Cotacoes!U285-Cotacoes!U284)/Cotacoes!U284</f>
        <v>2.5833815307499584E-2</v>
      </c>
      <c r="V285" s="5">
        <f>(Cotacoes!V285-Cotacoes!V284)/Cotacoes!V284</f>
        <v>2.932442464736448E-2</v>
      </c>
      <c r="W285" s="5"/>
    </row>
    <row r="286" spans="1:23" x14ac:dyDescent="0.2">
      <c r="A286" s="4">
        <v>44974</v>
      </c>
      <c r="B286" s="5">
        <f>(Cotacoes!B286-Cotacoes!B285)/Cotacoes!B285</f>
        <v>-2.126731377467557E-2</v>
      </c>
      <c r="C286" s="5">
        <f>(Cotacoes!C286-Cotacoes!C285)/Cotacoes!C285</f>
        <v>-1.3058129738837302E-2</v>
      </c>
      <c r="D286" s="5">
        <f>(Cotacoes!D286-Cotacoes!D285)/Cotacoes!D285</f>
        <v>-1.5513126491646869E-2</v>
      </c>
      <c r="E286" s="5">
        <f>(Cotacoes!E286-Cotacoes!E285)/Cotacoes!E285</f>
        <v>-3.3783783783783924E-3</v>
      </c>
      <c r="F286" s="5">
        <f>(Cotacoes!F286-Cotacoes!F285)/Cotacoes!F285</f>
        <v>-1.4841351074718482E-2</v>
      </c>
      <c r="G286" s="5">
        <f>(Cotacoes!G286-Cotacoes!G285)/Cotacoes!G285</f>
        <v>2.1662604928242544E-2</v>
      </c>
      <c r="H286" s="5">
        <f>(Cotacoes!H286-Cotacoes!H285)/Cotacoes!H285</f>
        <v>9.8550724637682142E-3</v>
      </c>
      <c r="I286" s="5">
        <f>(Cotacoes!I286-Cotacoes!I285)/Cotacoes!I285</f>
        <v>-2.157829839704078E-3</v>
      </c>
      <c r="J286" s="5">
        <f>(Cotacoes!J286-Cotacoes!J285)/Cotacoes!J285</f>
        <v>1.8168604651159177E-4</v>
      </c>
      <c r="K286" s="5">
        <f>(Cotacoes!K286-Cotacoes!K285)/Cotacoes!K285</f>
        <v>-6.0034305317324425E-3</v>
      </c>
      <c r="L286" s="5">
        <f>(Cotacoes!L286-Cotacoes!L285)/Cotacoes!L285</f>
        <v>-3.0274361400189242E-2</v>
      </c>
      <c r="M286" s="5">
        <f>(Cotacoes!M286-Cotacoes!M285)/Cotacoes!M285</f>
        <v>9.507346585998222E-3</v>
      </c>
      <c r="N286" s="5">
        <f>(Cotacoes!N286-Cotacoes!N285)/Cotacoes!N285</f>
        <v>-3.0769230769230114E-3</v>
      </c>
      <c r="O286" s="5">
        <f>(Cotacoes!O286-Cotacoes!O285)/Cotacoes!O285</f>
        <v>-1.5255128879537226E-2</v>
      </c>
      <c r="P286" s="5">
        <f>(Cotacoes!P286-Cotacoes!P285)/Cotacoes!P285</f>
        <v>1.9728729963008649E-2</v>
      </c>
      <c r="Q286" s="5">
        <f>(Cotacoes!Q286-Cotacoes!Q285)/Cotacoes!Q285</f>
        <v>-1.6677638797454424E-2</v>
      </c>
      <c r="R286" s="5">
        <f>(Cotacoes!R286-Cotacoes!R285)/Cotacoes!R285</f>
        <v>-2.7214250371103449E-2</v>
      </c>
      <c r="S286" s="5">
        <f>(Cotacoes!S286-Cotacoes!S285)/Cotacoes!S285</f>
        <v>-1.132930513595209E-3</v>
      </c>
      <c r="T286" s="5">
        <f>(Cotacoes!T286-Cotacoes!T285)/Cotacoes!T285</f>
        <v>-5.0758895247574008E-2</v>
      </c>
      <c r="U286" s="5">
        <f>(Cotacoes!U286-Cotacoes!U285)/Cotacoes!U285</f>
        <v>-6.7656455553467285E-3</v>
      </c>
      <c r="V286" s="5">
        <f>(Cotacoes!V286-Cotacoes!V285)/Cotacoes!V285</f>
        <v>-2.1637216011539387E-3</v>
      </c>
      <c r="W286" s="5"/>
    </row>
    <row r="287" spans="1:23" x14ac:dyDescent="0.2">
      <c r="A287" s="4">
        <v>44979</v>
      </c>
      <c r="B287" s="5">
        <f>(Cotacoes!B287-Cotacoes!B286)/Cotacoes!B286</f>
        <v>3.0086917762425923E-3</v>
      </c>
      <c r="C287" s="5">
        <f>(Cotacoes!C287-Cotacoes!C286)/Cotacoes!C286</f>
        <v>-7.682458386683827E-3</v>
      </c>
      <c r="D287" s="5">
        <f>(Cotacoes!D287-Cotacoes!D286)/Cotacoes!D286</f>
        <v>-2.5454545454545559E-2</v>
      </c>
      <c r="E287" s="5">
        <f>(Cotacoes!E287-Cotacoes!E286)/Cotacoes!E286</f>
        <v>-1.8401937046004797E-2</v>
      </c>
      <c r="F287" s="5">
        <f>(Cotacoes!F287-Cotacoes!F286)/Cotacoes!F286</f>
        <v>-2.4935064935064956E-2</v>
      </c>
      <c r="G287" s="5">
        <f>(Cotacoes!G287-Cotacoes!G286)/Cotacoes!G286</f>
        <v>-2.5178902729923028E-2</v>
      </c>
      <c r="H287" s="5">
        <f>(Cotacoes!H287-Cotacoes!H286)/Cotacoes!H286</f>
        <v>-2.4684270952927856E-2</v>
      </c>
      <c r="I287" s="5">
        <f>(Cotacoes!I287-Cotacoes!I286)/Cotacoes!I286</f>
        <v>-3.1201729996910659E-2</v>
      </c>
      <c r="J287" s="5">
        <f>(Cotacoes!J287-Cotacoes!J286)/Cotacoes!J286</f>
        <v>-3.0336058128973564E-2</v>
      </c>
      <c r="K287" s="5">
        <f>(Cotacoes!K287-Cotacoes!K286)/Cotacoes!K286</f>
        <v>-1.0353753235547819E-2</v>
      </c>
      <c r="L287" s="5">
        <f>(Cotacoes!L287-Cotacoes!L286)/Cotacoes!L286</f>
        <v>-1.658536585365853E-2</v>
      </c>
      <c r="M287" s="5">
        <f>(Cotacoes!M287-Cotacoes!M286)/Cotacoes!M286</f>
        <v>8.5616438356162557E-4</v>
      </c>
      <c r="N287" s="5">
        <f>(Cotacoes!N287-Cotacoes!N286)/Cotacoes!N286</f>
        <v>-2.0061728395061849E-2</v>
      </c>
      <c r="O287" s="5">
        <f>(Cotacoes!O287-Cotacoes!O286)/Cotacoes!O286</f>
        <v>-4.3269230769230706E-2</v>
      </c>
      <c r="P287" s="5">
        <f>(Cotacoes!P287-Cotacoes!P286)/Cotacoes!P286</f>
        <v>-2.7811366384522421E-2</v>
      </c>
      <c r="Q287" s="5">
        <f>(Cotacoes!Q287-Cotacoes!Q286)/Cotacoes!Q286</f>
        <v>-1.9638473555010097E-2</v>
      </c>
      <c r="R287" s="5">
        <f>(Cotacoes!R287-Cotacoes!R286)/Cotacoes!R286</f>
        <v>-8.6469989827060879E-3</v>
      </c>
      <c r="S287" s="5">
        <f>(Cotacoes!S287-Cotacoes!S286)/Cotacoes!S286</f>
        <v>-2.2306238185255192E-2</v>
      </c>
      <c r="T287" s="5">
        <f>(Cotacoes!T287-Cotacoes!T286)/Cotacoes!T286</f>
        <v>-1.5989515072083866E-2</v>
      </c>
      <c r="U287" s="5">
        <f>(Cotacoes!U287-Cotacoes!U286)/Cotacoes!U286</f>
        <v>-3.7275307473982951E-2</v>
      </c>
      <c r="V287" s="5">
        <f>(Cotacoes!V287-Cotacoes!V286)/Cotacoes!V286</f>
        <v>-3.28876039031442E-2</v>
      </c>
      <c r="W287" s="5"/>
    </row>
    <row r="288" spans="1:23" x14ac:dyDescent="0.2">
      <c r="A288" s="4">
        <v>44980</v>
      </c>
      <c r="B288" s="5">
        <f>(Cotacoes!B288-Cotacoes!B287)/Cotacoes!B287</f>
        <v>-1.2665259415620493E-2</v>
      </c>
      <c r="C288" s="5">
        <f>(Cotacoes!C288-Cotacoes!C287)/Cotacoes!C287</f>
        <v>-4.5878136200715866E-3</v>
      </c>
      <c r="D288" s="5">
        <f>(Cotacoes!D288-Cotacoes!D287)/Cotacoes!D287</f>
        <v>3.0472636815920526E-2</v>
      </c>
      <c r="E288" s="5">
        <f>(Cotacoes!E288-Cotacoes!E287)/Cotacoes!E287</f>
        <v>3.9467192895906193E-3</v>
      </c>
      <c r="F288" s="5">
        <f>(Cotacoes!F288-Cotacoes!F287)/Cotacoes!F287</f>
        <v>3.7293553542887548E-2</v>
      </c>
      <c r="G288" s="5">
        <f>(Cotacoes!G288-Cotacoes!G287)/Cotacoes!G287</f>
        <v>2.1750951604132603E-2</v>
      </c>
      <c r="H288" s="5">
        <f>(Cotacoes!H288-Cotacoes!H287)/Cotacoes!H287</f>
        <v>8.2401412595644839E-3</v>
      </c>
      <c r="I288" s="5">
        <f>(Cotacoes!I288-Cotacoes!I287)/Cotacoes!I287</f>
        <v>-2.8698979591836688E-3</v>
      </c>
      <c r="J288" s="5">
        <f>(Cotacoes!J288-Cotacoes!J287)/Cotacoes!J287</f>
        <v>-1.2551517422255559E-2</v>
      </c>
      <c r="K288" s="5">
        <f>(Cotacoes!K288-Cotacoes!K287)/Cotacoes!K287</f>
        <v>-4.3591979075850657E-3</v>
      </c>
      <c r="L288" s="5">
        <f>(Cotacoes!L288-Cotacoes!L287)/Cotacoes!L287</f>
        <v>-5.9523809523810015E-3</v>
      </c>
      <c r="M288" s="5">
        <f>(Cotacoes!M288-Cotacoes!M287)/Cotacoes!M287</f>
        <v>2.5662959794697294E-3</v>
      </c>
      <c r="N288" s="5">
        <f>(Cotacoes!N288-Cotacoes!N287)/Cotacoes!N287</f>
        <v>0</v>
      </c>
      <c r="O288" s="5">
        <f>(Cotacoes!O288-Cotacoes!O287)/Cotacoes!O287</f>
        <v>5.5276381909547652E-2</v>
      </c>
      <c r="P288" s="5">
        <f>(Cotacoes!P288-Cotacoes!P287)/Cotacoes!P287</f>
        <v>-1.8656716417908947E-3</v>
      </c>
      <c r="Q288" s="5">
        <f>(Cotacoes!Q288-Cotacoes!Q287)/Cotacoes!Q287</f>
        <v>2.5039836102890836E-3</v>
      </c>
      <c r="R288" s="5">
        <f>(Cotacoes!R288-Cotacoes!R287)/Cotacoes!R287</f>
        <v>-2.0523345305284327E-3</v>
      </c>
      <c r="S288" s="5">
        <f>(Cotacoes!S288-Cotacoes!S287)/Cotacoes!S287</f>
        <v>7.3472544470224782E-3</v>
      </c>
      <c r="T288" s="5">
        <f>(Cotacoes!T288-Cotacoes!T287)/Cotacoes!T287</f>
        <v>-3.4629728289824872E-3</v>
      </c>
      <c r="U288" s="5">
        <f>(Cotacoes!U288-Cotacoes!U287)/Cotacoes!U287</f>
        <v>-3.9308176100629486E-3</v>
      </c>
      <c r="V288" s="5">
        <f>(Cotacoes!V288-Cotacoes!V287)/Cotacoes!V287</f>
        <v>-1.3826606875934266E-2</v>
      </c>
      <c r="W288" s="5"/>
    </row>
    <row r="289" spans="1:23" x14ac:dyDescent="0.2">
      <c r="A289" s="4">
        <v>44981</v>
      </c>
      <c r="B289" s="5">
        <f>(Cotacoes!B289-Cotacoes!B288)/Cotacoes!B288</f>
        <v>1.5753347586362164E-3</v>
      </c>
      <c r="C289" s="5">
        <f>(Cotacoes!C289-Cotacoes!C288)/Cotacoes!C288</f>
        <v>-2.2036583609390769E-2</v>
      </c>
      <c r="D289" s="5">
        <f>(Cotacoes!D289-Cotacoes!D288)/Cotacoes!D288</f>
        <v>-2.1726010863005397E-2</v>
      </c>
      <c r="E289" s="5">
        <f>(Cotacoes!E289-Cotacoes!E288)/Cotacoes!E288</f>
        <v>-3.0958230958231081E-2</v>
      </c>
      <c r="F289" s="5">
        <f>(Cotacoes!F289-Cotacoes!F288)/Cotacoes!F288</f>
        <v>-1.540832049306611E-2</v>
      </c>
      <c r="G289" s="5">
        <f>(Cotacoes!G289-Cotacoes!G288)/Cotacoes!G288</f>
        <v>-9.5795635976583145E-3</v>
      </c>
      <c r="H289" s="5">
        <f>(Cotacoes!H289-Cotacoes!H288)/Cotacoes!H288</f>
        <v>-2.1015761821365993E-2</v>
      </c>
      <c r="I289" s="5">
        <f>(Cotacoes!I289-Cotacoes!I288)/Cotacoes!I288</f>
        <v>-4.7969299648224686E-3</v>
      </c>
      <c r="J289" s="5">
        <f>(Cotacoes!J289-Cotacoes!J288)/Cotacoes!J288</f>
        <v>-3.7943464238290886E-4</v>
      </c>
      <c r="K289" s="5">
        <f>(Cotacoes!K289-Cotacoes!K288)/Cotacoes!K288</f>
        <v>-3.1523642732048988E-2</v>
      </c>
      <c r="L289" s="5">
        <f>(Cotacoes!L289-Cotacoes!L288)/Cotacoes!L288</f>
        <v>-3.2934131736526956E-2</v>
      </c>
      <c r="M289" s="5">
        <f>(Cotacoes!M289-Cotacoes!M288)/Cotacoes!M288</f>
        <v>5.9726962457336604E-3</v>
      </c>
      <c r="N289" s="5">
        <f>(Cotacoes!N289-Cotacoes!N288)/Cotacoes!N288</f>
        <v>-2.8346456692913344E-2</v>
      </c>
      <c r="O289" s="5">
        <f>(Cotacoes!O289-Cotacoes!O288)/Cotacoes!O288</f>
        <v>-4.7619047619047545E-3</v>
      </c>
      <c r="P289" s="5">
        <f>(Cotacoes!P289-Cotacoes!P288)/Cotacoes!P288</f>
        <v>6.2305295950143363E-4</v>
      </c>
      <c r="Q289" s="5">
        <f>(Cotacoes!Q289-Cotacoes!Q288)/Cotacoes!Q288</f>
        <v>0</v>
      </c>
      <c r="R289" s="5">
        <f>(Cotacoes!R289-Cotacoes!R288)/Cotacoes!R288</f>
        <v>-1.2853470437017995E-2</v>
      </c>
      <c r="S289" s="5">
        <f>(Cotacoes!S289-Cotacoes!S288)/Cotacoes!S288</f>
        <v>-1.3435700575815793E-2</v>
      </c>
      <c r="T289" s="5">
        <f>(Cotacoes!T289-Cotacoes!T288)/Cotacoes!T288</f>
        <v>3.475006682705228E-3</v>
      </c>
      <c r="U289" s="5">
        <f>(Cotacoes!U289-Cotacoes!U288)/Cotacoes!U288</f>
        <v>-5.9194948697710572E-3</v>
      </c>
      <c r="V289" s="5">
        <f>(Cotacoes!V289-Cotacoes!V288)/Cotacoes!V288</f>
        <v>-2.917771883289123E-2</v>
      </c>
      <c r="W289" s="5"/>
    </row>
    <row r="290" spans="1:23" x14ac:dyDescent="0.2">
      <c r="A290" s="4">
        <v>44984</v>
      </c>
      <c r="B290" s="5">
        <f>(Cotacoes!B290-Cotacoes!B289)/Cotacoes!B289</f>
        <v>-1.0111223458038805E-3</v>
      </c>
      <c r="C290" s="5">
        <f>(Cotacoes!C290-Cotacoes!C289)/Cotacoes!C289</f>
        <v>0</v>
      </c>
      <c r="D290" s="5">
        <f>(Cotacoes!D290-Cotacoes!D289)/Cotacoes!D289</f>
        <v>6.7859346082664671E-3</v>
      </c>
      <c r="E290" s="5">
        <f>(Cotacoes!E290-Cotacoes!E289)/Cotacoes!E289</f>
        <v>-1.2677484787018257E-2</v>
      </c>
      <c r="F290" s="5">
        <f>(Cotacoes!F290-Cotacoes!F289)/Cotacoes!F289</f>
        <v>1.6692749087115114E-2</v>
      </c>
      <c r="G290" s="5">
        <f>(Cotacoes!G290-Cotacoes!G289)/Cotacoes!G289</f>
        <v>-1.6120365394949564E-3</v>
      </c>
      <c r="H290" s="5">
        <f>(Cotacoes!H290-Cotacoes!H289)/Cotacoes!H289</f>
        <v>-1.3714967203339323E-2</v>
      </c>
      <c r="I290" s="5">
        <f>(Cotacoes!I290-Cotacoes!I289)/Cotacoes!I289</f>
        <v>2.892030848329044E-3</v>
      </c>
      <c r="J290" s="5">
        <f>(Cotacoes!J290-Cotacoes!J289)/Cotacoes!J289</f>
        <v>1.2715885367242394E-2</v>
      </c>
      <c r="K290" s="5">
        <f>(Cotacoes!K290-Cotacoes!K289)/Cotacoes!K289</f>
        <v>-9.9457504520796755E-3</v>
      </c>
      <c r="L290" s="5">
        <f>(Cotacoes!L290-Cotacoes!L289)/Cotacoes!L289</f>
        <v>1.6511867905056776E-2</v>
      </c>
      <c r="M290" s="5">
        <f>(Cotacoes!M290-Cotacoes!M289)/Cotacoes!M289</f>
        <v>5.9372349448685571E-3</v>
      </c>
      <c r="N290" s="5">
        <f>(Cotacoes!N290-Cotacoes!N289)/Cotacoes!N289</f>
        <v>-8.1037277147487565E-3</v>
      </c>
      <c r="O290" s="5">
        <f>(Cotacoes!O290-Cotacoes!O289)/Cotacoes!O289</f>
        <v>-3.1897926634768064E-3</v>
      </c>
      <c r="P290" s="5">
        <f>(Cotacoes!P290-Cotacoes!P289)/Cotacoes!P289</f>
        <v>0</v>
      </c>
      <c r="Q290" s="5">
        <f>(Cotacoes!Q290-Cotacoes!Q289)/Cotacoes!Q289</f>
        <v>4.0871934604904568E-3</v>
      </c>
      <c r="R290" s="5">
        <f>(Cotacoes!R290-Cotacoes!R289)/Cotacoes!R289</f>
        <v>-2.0312500000000032E-2</v>
      </c>
      <c r="S290" s="5">
        <f>(Cotacoes!S290-Cotacoes!S289)/Cotacoes!S289</f>
        <v>-7.3929961089493285E-3</v>
      </c>
      <c r="T290" s="5">
        <f>(Cotacoes!T290-Cotacoes!T289)/Cotacoes!T289</f>
        <v>-1.4651038891848619E-2</v>
      </c>
      <c r="U290" s="5">
        <f>(Cotacoes!U290-Cotacoes!U289)/Cotacoes!U289</f>
        <v>-3.1758634378722447E-3</v>
      </c>
      <c r="V290" s="5">
        <f>(Cotacoes!V290-Cotacoes!V289)/Cotacoes!V289</f>
        <v>-1.3270882123341134E-2</v>
      </c>
      <c r="W290" s="5"/>
    </row>
    <row r="291" spans="1:23" x14ac:dyDescent="0.2">
      <c r="A291" s="4">
        <v>44985</v>
      </c>
      <c r="B291" s="5">
        <f>(Cotacoes!B291-Cotacoes!B290)/Cotacoes!B290</f>
        <v>-1.3945119208277046E-2</v>
      </c>
      <c r="C291" s="5">
        <f>(Cotacoes!C291-Cotacoes!C290)/Cotacoes!C290</f>
        <v>3.3873343151692159E-3</v>
      </c>
      <c r="D291" s="5">
        <f>(Cotacoes!D291-Cotacoes!D290)/Cotacoes!D290</f>
        <v>-3.4926470588235309E-2</v>
      </c>
      <c r="E291" s="5">
        <f>(Cotacoes!E291-Cotacoes!E290)/Cotacoes!E290</f>
        <v>3.5952747817154743E-3</v>
      </c>
      <c r="F291" s="5">
        <f>(Cotacoes!F291-Cotacoes!F290)/Cotacoes!F290</f>
        <v>-4.3612108773730014E-2</v>
      </c>
      <c r="G291" s="5">
        <f>(Cotacoes!G291-Cotacoes!G290)/Cotacoes!G290</f>
        <v>9.1496232508074121E-3</v>
      </c>
      <c r="H291" s="5">
        <f>(Cotacoes!H291-Cotacoes!H290)/Cotacoes!H290</f>
        <v>9.0689238210400324E-3</v>
      </c>
      <c r="I291" s="5">
        <f>(Cotacoes!I291-Cotacoes!I290)/Cotacoes!I290</f>
        <v>-8.3306632489587168E-3</v>
      </c>
      <c r="J291" s="5">
        <f>(Cotacoes!J291-Cotacoes!J290)/Cotacoes!J290</f>
        <v>-3.0172413793103439E-2</v>
      </c>
      <c r="K291" s="5">
        <f>(Cotacoes!K291-Cotacoes!K290)/Cotacoes!K290</f>
        <v>-6.3926940639268048E-3</v>
      </c>
      <c r="L291" s="5">
        <f>(Cotacoes!L291-Cotacoes!L290)/Cotacoes!L290</f>
        <v>-1.0152284263959175E-3</v>
      </c>
      <c r="M291" s="5">
        <f>(Cotacoes!M291-Cotacoes!M290)/Cotacoes!M290</f>
        <v>-8.4317032040470382E-4</v>
      </c>
      <c r="N291" s="5">
        <f>(Cotacoes!N291-Cotacoes!N290)/Cotacoes!N290</f>
        <v>-3.2679738562092259E-3</v>
      </c>
      <c r="O291" s="5">
        <f>(Cotacoes!O291-Cotacoes!O290)/Cotacoes!O290</f>
        <v>2.3466666666666736E-2</v>
      </c>
      <c r="P291" s="5">
        <f>(Cotacoes!P291-Cotacoes!P290)/Cotacoes!P290</f>
        <v>3.1755915317559252E-2</v>
      </c>
      <c r="Q291" s="5">
        <f>(Cotacoes!Q291-Cotacoes!Q290)/Cotacoes!Q290</f>
        <v>3.030303030303038E-2</v>
      </c>
      <c r="R291" s="5">
        <f>(Cotacoes!R291-Cotacoes!R290)/Cotacoes!R290</f>
        <v>1.4885699096225474E-2</v>
      </c>
      <c r="S291" s="5">
        <f>(Cotacoes!S291-Cotacoes!S290)/Cotacoes!S290</f>
        <v>-3.136025088200778E-3</v>
      </c>
      <c r="T291" s="5">
        <f>(Cotacoes!T291-Cotacoes!T290)/Cotacoes!T290</f>
        <v>-9.0294674236280167E-2</v>
      </c>
      <c r="U291" s="5">
        <f>(Cotacoes!U291-Cotacoes!U290)/Cotacoes!U290</f>
        <v>1.2146555157307835E-2</v>
      </c>
      <c r="V291" s="5">
        <f>(Cotacoes!V291-Cotacoes!V290)/Cotacoes!V290</f>
        <v>-3.5996835443037979E-2</v>
      </c>
      <c r="W291" s="5"/>
    </row>
    <row r="292" spans="1:23" x14ac:dyDescent="0.2">
      <c r="A292" s="4">
        <v>44986</v>
      </c>
      <c r="B292" s="5">
        <f>(Cotacoes!B292-Cotacoes!B291)/Cotacoes!B291</f>
        <v>-4.3339416058395261E-3</v>
      </c>
      <c r="C292" s="5">
        <f>(Cotacoes!C292-Cotacoes!C291)/Cotacoes!C291</f>
        <v>4.5354469396741579E-2</v>
      </c>
      <c r="D292" s="5">
        <f>(Cotacoes!D292-Cotacoes!D291)/Cotacoes!D291</f>
        <v>2.5396825396824855E-3</v>
      </c>
      <c r="E292" s="5">
        <f>(Cotacoes!E292-Cotacoes!E291)/Cotacoes!E291</f>
        <v>-1.6376663254861836E-2</v>
      </c>
      <c r="F292" s="5">
        <f>(Cotacoes!F292-Cotacoes!F291)/Cotacoes!F291</f>
        <v>0</v>
      </c>
      <c r="G292" s="5">
        <f>(Cotacoes!G292-Cotacoes!G291)/Cotacoes!G291</f>
        <v>5.6000000000000225E-3</v>
      </c>
      <c r="H292" s="5">
        <f>(Cotacoes!H292-Cotacoes!H291)/Cotacoes!H291</f>
        <v>-3.2354703415218851E-2</v>
      </c>
      <c r="I292" s="5">
        <f>(Cotacoes!I292-Cotacoes!I291)/Cotacoes!I291</f>
        <v>-2.3263327948303679E-2</v>
      </c>
      <c r="J292" s="5">
        <f>(Cotacoes!J292-Cotacoes!J291)/Cotacoes!J291</f>
        <v>6.3768115942028653E-3</v>
      </c>
      <c r="K292" s="5">
        <f>(Cotacoes!K292-Cotacoes!K291)/Cotacoes!K291</f>
        <v>-8.2720588235295611E-3</v>
      </c>
      <c r="L292" s="5">
        <f>(Cotacoes!L292-Cotacoes!L291)/Cotacoes!L291</f>
        <v>-5.081300813008202E-3</v>
      </c>
      <c r="M292" s="5">
        <f>(Cotacoes!M292-Cotacoes!M291)/Cotacoes!M291</f>
        <v>5.9071729957806147E-3</v>
      </c>
      <c r="N292" s="5">
        <f>(Cotacoes!N292-Cotacoes!N291)/Cotacoes!N291</f>
        <v>-6.5573770491803339E-3</v>
      </c>
      <c r="O292" s="5">
        <f>(Cotacoes!O292-Cotacoes!O291)/Cotacoes!O291</f>
        <v>5.2110474205304899E-4</v>
      </c>
      <c r="P292" s="5">
        <f>(Cotacoes!P292-Cotacoes!P291)/Cotacoes!P291</f>
        <v>1.8105009052504568E-2</v>
      </c>
      <c r="Q292" s="5">
        <f>(Cotacoes!Q292-Cotacoes!Q291)/Cotacoes!Q291</f>
        <v>-2.0412642669007896E-2</v>
      </c>
      <c r="R292" s="5">
        <f>(Cotacoes!R292-Cotacoes!R291)/Cotacoes!R291</f>
        <v>-3.4049240440020882E-2</v>
      </c>
      <c r="S292" s="5">
        <f>(Cotacoes!S292-Cotacoes!S291)/Cotacoes!S291</f>
        <v>-2.123476209201727E-2</v>
      </c>
      <c r="T292" s="5">
        <f>(Cotacoes!T292-Cotacoes!T291)/Cotacoes!T291</f>
        <v>-9.5096582466567704E-3</v>
      </c>
      <c r="U292" s="5">
        <f>(Cotacoes!U292-Cotacoes!U291)/Cotacoes!U291</f>
        <v>-3.9150108203816543E-2</v>
      </c>
      <c r="V292" s="5">
        <f>(Cotacoes!V292-Cotacoes!V291)/Cotacoes!V291</f>
        <v>-3.5699630693475627E-2</v>
      </c>
      <c r="W292" s="5"/>
    </row>
    <row r="293" spans="1:23" x14ac:dyDescent="0.2">
      <c r="A293" s="4">
        <v>44987</v>
      </c>
      <c r="B293" s="5">
        <f>(Cotacoes!B293-Cotacoes!B292)/Cotacoes!B292</f>
        <v>8.0183276059573184E-4</v>
      </c>
      <c r="C293" s="5">
        <f>(Cotacoes!C293-Cotacoes!C292)/Cotacoes!C292</f>
        <v>-2.2465599550687532E-3</v>
      </c>
      <c r="D293" s="5">
        <f>(Cotacoes!D293-Cotacoes!D292)/Cotacoes!D292</f>
        <v>-2.59658011399619E-2</v>
      </c>
      <c r="E293" s="5">
        <f>(Cotacoes!E293-Cotacoes!E292)/Cotacoes!E292</f>
        <v>-3.2778355879292356E-2</v>
      </c>
      <c r="F293" s="5">
        <f>(Cotacoes!F293-Cotacoes!F292)/Cotacoes!F292</f>
        <v>-2.7896995708154484E-2</v>
      </c>
      <c r="G293" s="5">
        <f>(Cotacoes!G293-Cotacoes!G292)/Cotacoes!G292</f>
        <v>-5.5688146380270713E-3</v>
      </c>
      <c r="H293" s="5">
        <f>(Cotacoes!H293-Cotacoes!H292)/Cotacoes!H292</f>
        <v>-4.0247678018575768E-2</v>
      </c>
      <c r="I293" s="5">
        <f>(Cotacoes!I293-Cotacoes!I292)/Cotacoes!I292</f>
        <v>-1.0585511081706923E-2</v>
      </c>
      <c r="J293" s="5">
        <f>(Cotacoes!J293-Cotacoes!J292)/Cotacoes!J292</f>
        <v>-4.0322580645161454E-3</v>
      </c>
      <c r="K293" s="5">
        <f>(Cotacoes!K293-Cotacoes!K292)/Cotacoes!K292</f>
        <v>-1.2974976830398405E-2</v>
      </c>
      <c r="L293" s="5">
        <f>(Cotacoes!L293-Cotacoes!L292)/Cotacoes!L292</f>
        <v>9.1930541368745299E-3</v>
      </c>
      <c r="M293" s="5">
        <f>(Cotacoes!M293-Cotacoes!M292)/Cotacoes!M292</f>
        <v>-2.516778523489939E-2</v>
      </c>
      <c r="N293" s="5">
        <f>(Cotacoes!N293-Cotacoes!N292)/Cotacoes!N292</f>
        <v>-2.3102310231023052E-2</v>
      </c>
      <c r="O293" s="5">
        <f>(Cotacoes!O293-Cotacoes!O292)/Cotacoes!O292</f>
        <v>7.812500000000111E-3</v>
      </c>
      <c r="P293" s="5">
        <f>(Cotacoes!P293-Cotacoes!P292)/Cotacoes!P292</f>
        <v>2.9045643153526878E-2</v>
      </c>
      <c r="Q293" s="5">
        <f>(Cotacoes!Q293-Cotacoes!Q292)/Cotacoes!Q292</f>
        <v>-1.5684517140936653E-3</v>
      </c>
      <c r="R293" s="5">
        <f>(Cotacoes!R293-Cotacoes!R292)/Cotacoes!R292</f>
        <v>-1.7895878524945869E-2</v>
      </c>
      <c r="S293" s="5">
        <f>(Cotacoes!S293-Cotacoes!S292)/Cotacoes!S292</f>
        <v>2.0088388911209606E-3</v>
      </c>
      <c r="T293" s="5">
        <f>(Cotacoes!T293-Cotacoes!T292)/Cotacoes!T292</f>
        <v>1.7401740174017351E-2</v>
      </c>
      <c r="U293" s="5">
        <f>(Cotacoes!U293-Cotacoes!U292)/Cotacoes!U292</f>
        <v>-3.2760032760033512E-3</v>
      </c>
      <c r="V293" s="5">
        <f>(Cotacoes!V293-Cotacoes!V292)/Cotacoes!V292</f>
        <v>-3.8723404255319158E-2</v>
      </c>
      <c r="W293" s="5"/>
    </row>
    <row r="294" spans="1:23" x14ac:dyDescent="0.2">
      <c r="A294" s="4">
        <v>44988</v>
      </c>
      <c r="B294" s="5">
        <f>(Cotacoes!B294-Cotacoes!B293)/Cotacoes!B293</f>
        <v>5.837243905230524E-3</v>
      </c>
      <c r="C294" s="5">
        <f>(Cotacoes!C294-Cotacoes!C293)/Cotacoes!C293</f>
        <v>3.3774275260342649E-3</v>
      </c>
      <c r="D294" s="5">
        <f>(Cotacoes!D294-Cotacoes!D293)/Cotacoes!D293</f>
        <v>4.2912873862158536E-2</v>
      </c>
      <c r="E294" s="5">
        <f>(Cotacoes!E294-Cotacoes!E293)/Cotacoes!E293</f>
        <v>1.0758472296933607E-3</v>
      </c>
      <c r="F294" s="5">
        <f>(Cotacoes!F294-Cotacoes!F293)/Cotacoes!F293</f>
        <v>3.6975717439293496E-2</v>
      </c>
      <c r="G294" s="5">
        <f>(Cotacoes!G294-Cotacoes!G293)/Cotacoes!G293</f>
        <v>-7.9999999999999238E-3</v>
      </c>
      <c r="H294" s="5">
        <f>(Cotacoes!H294-Cotacoes!H293)/Cotacoes!H293</f>
        <v>1.1612903225806433E-2</v>
      </c>
      <c r="I294" s="5">
        <f>(Cotacoes!I294-Cotacoes!I293)/Cotacoes!I293</f>
        <v>-1.2370444667335372E-2</v>
      </c>
      <c r="J294" s="5">
        <f>(Cotacoes!J294-Cotacoes!J293)/Cotacoes!J293</f>
        <v>-8.6755349913243841E-3</v>
      </c>
      <c r="K294" s="5">
        <f>(Cotacoes!K294-Cotacoes!K293)/Cotacoes!K293</f>
        <v>5.6338028169014547E-3</v>
      </c>
      <c r="L294" s="5">
        <f>(Cotacoes!L294-Cotacoes!L293)/Cotacoes!L293</f>
        <v>-7.0850202429150076E-3</v>
      </c>
      <c r="M294" s="5">
        <f>(Cotacoes!M294-Cotacoes!M293)/Cotacoes!M293</f>
        <v>-1.7211703958691545E-3</v>
      </c>
      <c r="N294" s="5">
        <f>(Cotacoes!N294-Cotacoes!N293)/Cotacoes!N293</f>
        <v>3.3783783783784566E-3</v>
      </c>
      <c r="O294" s="5">
        <f>(Cotacoes!O294-Cotacoes!O293)/Cotacoes!O293</f>
        <v>1.6020671834625255E-2</v>
      </c>
      <c r="P294" s="5">
        <f>(Cotacoes!P294-Cotacoes!P293)/Cotacoes!P293</f>
        <v>3.2834101382488497E-2</v>
      </c>
      <c r="Q294" s="5">
        <f>(Cotacoes!Q294-Cotacoes!Q293)/Cotacoes!Q293</f>
        <v>3.20915619389587E-2</v>
      </c>
      <c r="R294" s="5">
        <f>(Cotacoes!R294-Cotacoes!R293)/Cotacoes!R293</f>
        <v>6.073992269464353E-3</v>
      </c>
      <c r="S294" s="5">
        <f>(Cotacoes!S294-Cotacoes!S293)/Cotacoes!S293</f>
        <v>7.6182838813150652E-3</v>
      </c>
      <c r="T294" s="5">
        <f>(Cotacoes!T294-Cotacoes!T293)/Cotacoes!T293</f>
        <v>2.1822471247419702E-2</v>
      </c>
      <c r="U294" s="5">
        <f>(Cotacoes!U294-Cotacoes!U293)/Cotacoes!U293</f>
        <v>-3.6976170912078822E-3</v>
      </c>
      <c r="V294" s="5">
        <f>(Cotacoes!V294-Cotacoes!V293)/Cotacoes!V293</f>
        <v>-2.3904382470119483E-2</v>
      </c>
      <c r="W294" s="5"/>
    </row>
    <row r="295" spans="1:23" x14ac:dyDescent="0.2">
      <c r="A295" s="4">
        <v>44991</v>
      </c>
      <c r="B295" s="5">
        <f>(Cotacoes!B295-Cotacoes!B294)/Cotacoes!B294</f>
        <v>-7.6240327719617855E-3</v>
      </c>
      <c r="C295" s="5">
        <f>(Cotacoes!C295-Cotacoes!C294)/Cotacoes!C294</f>
        <v>-3.5203366058905908E-2</v>
      </c>
      <c r="D295" s="5">
        <f>(Cotacoes!D295-Cotacoes!D294)/Cotacoes!D294</f>
        <v>9.975062344139661E-3</v>
      </c>
      <c r="E295" s="5">
        <f>(Cotacoes!E295-Cotacoes!E294)/Cotacoes!E294</f>
        <v>2.3105857066093482E-2</v>
      </c>
      <c r="F295" s="5">
        <f>(Cotacoes!F295-Cotacoes!F294)/Cotacoes!F294</f>
        <v>1.4369345396487472E-2</v>
      </c>
      <c r="G295" s="5">
        <f>(Cotacoes!G295-Cotacoes!G294)/Cotacoes!G294</f>
        <v>1.5053763440860084E-2</v>
      </c>
      <c r="H295" s="5">
        <f>(Cotacoes!H295-Cotacoes!H294)/Cotacoes!H294</f>
        <v>2.2321428571428662E-2</v>
      </c>
      <c r="I295" s="5">
        <f>(Cotacoes!I295-Cotacoes!I294)/Cotacoes!I294</f>
        <v>7.4475287745430748E-3</v>
      </c>
      <c r="J295" s="5">
        <f>(Cotacoes!J295-Cotacoes!J294)/Cotacoes!J294</f>
        <v>2.3337222870477917E-3</v>
      </c>
      <c r="K295" s="5">
        <f>(Cotacoes!K295-Cotacoes!K294)/Cotacoes!K294</f>
        <v>3.267973856209147E-2</v>
      </c>
      <c r="L295" s="5">
        <f>(Cotacoes!L295-Cotacoes!L294)/Cotacoes!L294</f>
        <v>4.1794087665647309E-2</v>
      </c>
      <c r="M295" s="5">
        <f>(Cotacoes!M295-Cotacoes!M294)/Cotacoes!M294</f>
        <v>3.0172413793103418E-2</v>
      </c>
      <c r="N295" s="5">
        <f>(Cotacoes!N295-Cotacoes!N294)/Cotacoes!N294</f>
        <v>2.1885521885521866E-2</v>
      </c>
      <c r="O295" s="5">
        <f>(Cotacoes!O295-Cotacoes!O294)/Cotacoes!O294</f>
        <v>1.8311291963377389E-2</v>
      </c>
      <c r="P295" s="5">
        <f>(Cotacoes!P295-Cotacoes!P294)/Cotacoes!P294</f>
        <v>2.7886224205243009E-3</v>
      </c>
      <c r="Q295" s="5">
        <f>(Cotacoes!Q295-Cotacoes!Q294)/Cotacoes!Q294</f>
        <v>-8.6975429441182549E-3</v>
      </c>
      <c r="R295" s="5">
        <f>(Cotacoes!R295-Cotacoes!R294)/Cotacoes!R294</f>
        <v>1.5916575192096747E-2</v>
      </c>
      <c r="S295" s="5">
        <f>(Cotacoes!S295-Cotacoes!S294)/Cotacoes!S294</f>
        <v>1.432550736171904E-2</v>
      </c>
      <c r="T295" s="5">
        <f>(Cotacoes!T295-Cotacoes!T294)/Cotacoes!T294</f>
        <v>-2.3088023088022598E-3</v>
      </c>
      <c r="U295" s="5">
        <f>(Cotacoes!U295-Cotacoes!U294)/Cotacoes!U294</f>
        <v>7.4226804123711226E-3</v>
      </c>
      <c r="V295" s="5">
        <f>(Cotacoes!V295-Cotacoes!V294)/Cotacoes!V294</f>
        <v>2.0861678004535186E-2</v>
      </c>
      <c r="W295" s="5"/>
    </row>
    <row r="296" spans="1:23" x14ac:dyDescent="0.2">
      <c r="A296" s="4">
        <v>44992</v>
      </c>
      <c r="B296" s="5">
        <f>(Cotacoes!B296-Cotacoes!B295)/Cotacoes!B295</f>
        <v>2.075450063066165E-2</v>
      </c>
      <c r="C296" s="5">
        <f>(Cotacoes!C296-Cotacoes!C295)/Cotacoes!C295</f>
        <v>-9.5944177932840644E-3</v>
      </c>
      <c r="D296" s="5">
        <f>(Cotacoes!D296-Cotacoes!D295)/Cotacoes!D295</f>
        <v>-3.2716049382716009E-2</v>
      </c>
      <c r="E296" s="5">
        <f>(Cotacoes!E296-Cotacoes!E295)/Cotacoes!E295</f>
        <v>2.6260504201681047E-3</v>
      </c>
      <c r="F296" s="5">
        <f>(Cotacoes!F296-Cotacoes!F295)/Cotacoes!F295</f>
        <v>-2.9905561385099703E-2</v>
      </c>
      <c r="G296" s="5">
        <f>(Cotacoes!G296-Cotacoes!G295)/Cotacoes!G295</f>
        <v>3.9724576271186066E-3</v>
      </c>
      <c r="H296" s="5">
        <f>(Cotacoes!H296-Cotacoes!H295)/Cotacoes!H295</f>
        <v>2.3081721771677943E-2</v>
      </c>
      <c r="I296" s="5">
        <f>(Cotacoes!I296-Cotacoes!I295)/Cotacoes!I295</f>
        <v>-2.1841397849462436E-2</v>
      </c>
      <c r="J296" s="5">
        <f>(Cotacoes!J296-Cotacoes!J295)/Cotacoes!J295</f>
        <v>6.984866123399291E-3</v>
      </c>
      <c r="K296" s="5">
        <f>(Cotacoes!K296-Cotacoes!K295)/Cotacoes!K295</f>
        <v>2.3508137432188044E-2</v>
      </c>
      <c r="L296" s="5">
        <f>(Cotacoes!L296-Cotacoes!L295)/Cotacoes!L295</f>
        <v>7.8277886497064644E-3</v>
      </c>
      <c r="M296" s="5">
        <f>(Cotacoes!M296-Cotacoes!M295)/Cotacoes!M295</f>
        <v>-5.8577405857739339E-3</v>
      </c>
      <c r="N296" s="5">
        <f>(Cotacoes!N296-Cotacoes!N295)/Cotacoes!N295</f>
        <v>-4.9423393739703864E-3</v>
      </c>
      <c r="O296" s="5">
        <f>(Cotacoes!O296-Cotacoes!O295)/Cotacoes!O295</f>
        <v>-2.0979020979020886E-2</v>
      </c>
      <c r="P296" s="5">
        <f>(Cotacoes!P296-Cotacoes!P295)/Cotacoes!P295</f>
        <v>1.2791991101223605E-2</v>
      </c>
      <c r="Q296" s="5">
        <f>(Cotacoes!Q296-Cotacoes!Q295)/Cotacoes!Q295</f>
        <v>-4.3869269576668403E-4</v>
      </c>
      <c r="R296" s="5">
        <f>(Cotacoes!R296-Cotacoes!R295)/Cotacoes!R295</f>
        <v>-1.2425715829281491E-2</v>
      </c>
      <c r="S296" s="5">
        <f>(Cotacoes!S296-Cotacoes!S295)/Cotacoes!S295</f>
        <v>3.9231071008244661E-4</v>
      </c>
      <c r="T296" s="5">
        <f>(Cotacoes!T296-Cotacoes!T295)/Cotacoes!T295</f>
        <v>-2.979461961238071E-2</v>
      </c>
      <c r="U296" s="5">
        <f>(Cotacoes!U296-Cotacoes!U295)/Cotacoes!U295</f>
        <v>1.4326647564469972E-3</v>
      </c>
      <c r="V296" s="5">
        <f>(Cotacoes!V296-Cotacoes!V295)/Cotacoes!V295</f>
        <v>-3.9982230119946626E-3</v>
      </c>
      <c r="W296" s="5"/>
    </row>
    <row r="297" spans="1:23" x14ac:dyDescent="0.2">
      <c r="A297" s="4">
        <v>44993</v>
      </c>
      <c r="B297" s="5">
        <f>(Cotacoes!B297-Cotacoes!B296)/Cotacoes!B296</f>
        <v>8.9867445517859243E-4</v>
      </c>
      <c r="C297" s="5">
        <f>(Cotacoes!C297-Cotacoes!C296)/Cotacoes!C296</f>
        <v>9.2470277410833662E-3</v>
      </c>
      <c r="D297" s="5">
        <f>(Cotacoes!D297-Cotacoes!D296)/Cotacoes!D296</f>
        <v>1.2763241863433267E-2</v>
      </c>
      <c r="E297" s="5">
        <f>(Cotacoes!E297-Cotacoes!E296)/Cotacoes!E296</f>
        <v>1.2572027239392269E-2</v>
      </c>
      <c r="F297" s="5">
        <f>(Cotacoes!F297-Cotacoes!F296)/Cotacoes!F296</f>
        <v>1.5143320713899467E-2</v>
      </c>
      <c r="G297" s="5">
        <f>(Cotacoes!G297-Cotacoes!G296)/Cotacoes!G296</f>
        <v>1.4508045370614727E-2</v>
      </c>
      <c r="H297" s="5">
        <f>(Cotacoes!H297-Cotacoes!H296)/Cotacoes!H296</f>
        <v>1.036585365853669E-2</v>
      </c>
      <c r="I297" s="5">
        <f>(Cotacoes!I297-Cotacoes!I296)/Cotacoes!I296</f>
        <v>2.4390243902439053E-2</v>
      </c>
      <c r="J297" s="5">
        <f>(Cotacoes!J297-Cotacoes!J296)/Cotacoes!J296</f>
        <v>2.4277456647398808E-2</v>
      </c>
      <c r="K297" s="5">
        <f>(Cotacoes!K297-Cotacoes!K296)/Cotacoes!K296</f>
        <v>3.0918727915194313E-2</v>
      </c>
      <c r="L297" s="5">
        <f>(Cotacoes!L297-Cotacoes!L296)/Cotacoes!L296</f>
        <v>5.4368932038834826E-2</v>
      </c>
      <c r="M297" s="5">
        <f>(Cotacoes!M297-Cotacoes!M296)/Cotacoes!M296</f>
        <v>1.4309764309764304E-2</v>
      </c>
      <c r="N297" s="5">
        <f>(Cotacoes!N297-Cotacoes!N296)/Cotacoes!N296</f>
        <v>2.1523178807947001E-2</v>
      </c>
      <c r="O297" s="5">
        <f>(Cotacoes!O297-Cotacoes!O296)/Cotacoes!O296</f>
        <v>1.3265306122448877E-2</v>
      </c>
      <c r="P297" s="5">
        <f>(Cotacoes!P297-Cotacoes!P296)/Cotacoes!P296</f>
        <v>-4.3931905546404091E-3</v>
      </c>
      <c r="Q297" s="5">
        <f>(Cotacoes!Q297-Cotacoes!Q296)/Cotacoes!Q296</f>
        <v>-6.583278472679332E-3</v>
      </c>
      <c r="R297" s="5">
        <f>(Cotacoes!R297-Cotacoes!R296)/Cotacoes!R296</f>
        <v>7.0568927789934302E-2</v>
      </c>
      <c r="S297" s="5">
        <f>(Cotacoes!S297-Cotacoes!S296)/Cotacoes!S296</f>
        <v>2.156862745098042E-2</v>
      </c>
      <c r="T297" s="5">
        <f>(Cotacoes!T297-Cotacoes!T296)/Cotacoes!T296</f>
        <v>2.5939177101967723E-2</v>
      </c>
      <c r="U297" s="5">
        <f>(Cotacoes!U297-Cotacoes!U296)/Cotacoes!U296</f>
        <v>4.8436541998773709E-2</v>
      </c>
      <c r="V297" s="5">
        <f>(Cotacoes!V297-Cotacoes!V296)/Cotacoes!V296</f>
        <v>5.9322033898305003E-2</v>
      </c>
      <c r="W297" s="5"/>
    </row>
    <row r="298" spans="1:23" x14ac:dyDescent="0.2">
      <c r="A298" s="4">
        <v>44994</v>
      </c>
      <c r="B298" s="5">
        <f>(Cotacoes!B298-Cotacoes!B297)/Cotacoes!B297</f>
        <v>-2.345679012345667E-2</v>
      </c>
      <c r="C298" s="5">
        <f>(Cotacoes!C298-Cotacoes!C297)/Cotacoes!C297</f>
        <v>-1.3234438627108941E-2</v>
      </c>
      <c r="D298" s="5">
        <f>(Cotacoes!D298-Cotacoes!D297)/Cotacoes!D297</f>
        <v>-4.4108380592311602E-3</v>
      </c>
      <c r="E298" s="5">
        <f>(Cotacoes!E298-Cotacoes!E297)/Cotacoes!E297</f>
        <v>-1.9141231246766553E-2</v>
      </c>
      <c r="F298" s="5">
        <f>(Cotacoes!F298-Cotacoes!F297)/Cotacoes!F297</f>
        <v>-1.2253596164091659E-2</v>
      </c>
      <c r="G298" s="5">
        <f>(Cotacoes!G298-Cotacoes!G297)/Cotacoes!G297</f>
        <v>-7.54030161206446E-3</v>
      </c>
      <c r="H298" s="5">
        <f>(Cotacoes!H298-Cotacoes!H297)/Cotacoes!H297</f>
        <v>-2.1726010863005397E-2</v>
      </c>
      <c r="I298" s="5">
        <f>(Cotacoes!I298-Cotacoes!I297)/Cotacoes!I297</f>
        <v>-2.9845741113346765E-2</v>
      </c>
      <c r="J298" s="5">
        <f>(Cotacoes!J298-Cotacoes!J297)/Cotacoes!J297</f>
        <v>-1.9375470278404704E-2</v>
      </c>
      <c r="K298" s="5">
        <f>(Cotacoes!K298-Cotacoes!K297)/Cotacoes!K297</f>
        <v>-3.4275921165380589E-3</v>
      </c>
      <c r="L298" s="5">
        <f>(Cotacoes!L298-Cotacoes!L297)/Cotacoes!L297</f>
        <v>-5.5248618784529214E-3</v>
      </c>
      <c r="M298" s="5">
        <f>(Cotacoes!M298-Cotacoes!M297)/Cotacoes!M297</f>
        <v>-1.6597510373445102E-3</v>
      </c>
      <c r="N298" s="5">
        <f>(Cotacoes!N298-Cotacoes!N297)/Cotacoes!N297</f>
        <v>-1.1345218800648345E-2</v>
      </c>
      <c r="O298" s="5">
        <f>(Cotacoes!O298-Cotacoes!O297)/Cotacoes!O297</f>
        <v>-1.1581067472306165E-2</v>
      </c>
      <c r="P298" s="5">
        <f>(Cotacoes!P298-Cotacoes!P297)/Cotacoes!P297</f>
        <v>-9.3767236624378476E-3</v>
      </c>
      <c r="Q298" s="5">
        <f>(Cotacoes!Q298-Cotacoes!Q297)/Cotacoes!Q297</f>
        <v>-2.0543406229290913E-2</v>
      </c>
      <c r="R298" s="5">
        <f>(Cotacoes!R298-Cotacoes!R297)/Cotacoes!R297</f>
        <v>-3.5769034236075772E-3</v>
      </c>
      <c r="S298" s="5">
        <f>(Cotacoes!S298-Cotacoes!S297)/Cotacoes!S297</f>
        <v>2.6871401151631587E-3</v>
      </c>
      <c r="T298" s="5">
        <f>(Cotacoes!T298-Cotacoes!T297)/Cotacoes!T297</f>
        <v>-2.9933158965416859E-2</v>
      </c>
      <c r="U298" s="5">
        <f>(Cotacoes!U298-Cotacoes!U297)/Cotacoes!U297</f>
        <v>-7.7972709551655259E-4</v>
      </c>
      <c r="V298" s="5">
        <f>(Cotacoes!V298-Cotacoes!V297)/Cotacoes!V297</f>
        <v>-1.3473684210526327E-2</v>
      </c>
      <c r="W298" s="5"/>
    </row>
    <row r="299" spans="1:23" x14ac:dyDescent="0.2">
      <c r="A299" s="4">
        <v>44995</v>
      </c>
      <c r="B299" s="5">
        <f>(Cotacoes!B299-Cotacoes!B298)/Cotacoes!B298</f>
        <v>-6.8957591081487491E-4</v>
      </c>
      <c r="C299" s="5">
        <f>(Cotacoes!C299-Cotacoes!C298)/Cotacoes!C298</f>
        <v>-3.2424465733234911E-3</v>
      </c>
      <c r="D299" s="5">
        <f>(Cotacoes!D299-Cotacoes!D298)/Cotacoes!D298</f>
        <v>-1.3291139240506383E-2</v>
      </c>
      <c r="E299" s="5">
        <f>(Cotacoes!E299-Cotacoes!E298)/Cotacoes!E298</f>
        <v>-2.3734177215189833E-2</v>
      </c>
      <c r="F299" s="5">
        <f>(Cotacoes!F299-Cotacoes!F298)/Cotacoes!F298</f>
        <v>-7.0118662351671525E-3</v>
      </c>
      <c r="G299" s="5">
        <f>(Cotacoes!G299-Cotacoes!G298)/Cotacoes!G298</f>
        <v>-7.8595755829186341E-3</v>
      </c>
      <c r="H299" s="5">
        <f>(Cotacoes!H299-Cotacoes!H298)/Cotacoes!H298</f>
        <v>-1.9123997532387443E-2</v>
      </c>
      <c r="I299" s="5">
        <f>(Cotacoes!I299-Cotacoes!I298)/Cotacoes!I298</f>
        <v>-7.9502246802627182E-3</v>
      </c>
      <c r="J299" s="5">
        <f>(Cotacoes!J299-Cotacoes!J298)/Cotacoes!J298</f>
        <v>-2.5321312104354503E-2</v>
      </c>
      <c r="K299" s="5">
        <f>(Cotacoes!K299-Cotacoes!K298)/Cotacoes!K298</f>
        <v>-2.8374892519346523E-2</v>
      </c>
      <c r="L299" s="5">
        <f>(Cotacoes!L299-Cotacoes!L298)/Cotacoes!L298</f>
        <v>-2.7777777777777842E-2</v>
      </c>
      <c r="M299" s="5">
        <f>(Cotacoes!M299-Cotacoes!M298)/Cotacoes!M298</f>
        <v>-6.6500415627597734E-3</v>
      </c>
      <c r="N299" s="5">
        <f>(Cotacoes!N299-Cotacoes!N298)/Cotacoes!N298</f>
        <v>-1.6393442622950762E-2</v>
      </c>
      <c r="O299" s="5">
        <f>(Cotacoes!O299-Cotacoes!O298)/Cotacoes!O298</f>
        <v>-2.6490066225165542E-2</v>
      </c>
      <c r="P299" s="5">
        <f>(Cotacoes!P299-Cotacoes!P298)/Cotacoes!P298</f>
        <v>5.6792873051224921E-2</v>
      </c>
      <c r="Q299" s="5">
        <f>(Cotacoes!Q299-Cotacoes!Q298)/Cotacoes!Q298</f>
        <v>-2.9995489400090333E-2</v>
      </c>
      <c r="R299" s="5">
        <f>(Cotacoes!R299-Cotacoes!R298)/Cotacoes!R298</f>
        <v>-3.1282051282051256E-2</v>
      </c>
      <c r="S299" s="5">
        <f>(Cotacoes!S299-Cotacoes!S298)/Cotacoes!S298</f>
        <v>1.5313935681469811E-3</v>
      </c>
      <c r="T299" s="5">
        <f>(Cotacoes!T299-Cotacoes!T298)/Cotacoes!T298</f>
        <v>-6.5907729179150972E-3</v>
      </c>
      <c r="U299" s="5">
        <f>(Cotacoes!U299-Cotacoes!U298)/Cotacoes!U298</f>
        <v>-1.8728053062817027E-2</v>
      </c>
      <c r="V299" s="5">
        <f>(Cotacoes!V299-Cotacoes!V298)/Cotacoes!V298</f>
        <v>-4.9935979513444223E-2</v>
      </c>
      <c r="W299" s="5"/>
    </row>
    <row r="300" spans="1:23" x14ac:dyDescent="0.2">
      <c r="A300" s="4">
        <v>44998</v>
      </c>
      <c r="B300" s="5">
        <f>(Cotacoes!B300-Cotacoes!B299)/Cotacoes!B299</f>
        <v>-5.0603795284646083E-3</v>
      </c>
      <c r="C300" s="5">
        <f>(Cotacoes!C300-Cotacoes!C299)/Cotacoes!C299</f>
        <v>4.1401744787816228E-3</v>
      </c>
      <c r="D300" s="5">
        <f>(Cotacoes!D300-Cotacoes!D299)/Cotacoes!D299</f>
        <v>-3.1430404105195653E-2</v>
      </c>
      <c r="E300" s="5">
        <f>(Cotacoes!E300-Cotacoes!E299)/Cotacoes!E299</f>
        <v>-1.2425715829281491E-2</v>
      </c>
      <c r="F300" s="5">
        <f>(Cotacoes!F300-Cotacoes!F299)/Cotacoes!F299</f>
        <v>-3.1504617055947953E-2</v>
      </c>
      <c r="G300" s="5">
        <f>(Cotacoes!G300-Cotacoes!G299)/Cotacoes!G299</f>
        <v>6.3374702931080539E-3</v>
      </c>
      <c r="H300" s="5">
        <f>(Cotacoes!H300-Cotacoes!H299)/Cotacoes!H299</f>
        <v>-6.2893081761006067E-3</v>
      </c>
      <c r="I300" s="5">
        <f>(Cotacoes!I300-Cotacoes!I299)/Cotacoes!I299</f>
        <v>2.0905923344948529E-3</v>
      </c>
      <c r="J300" s="5">
        <f>(Cotacoes!J300-Cotacoes!J299)/Cotacoes!J299</f>
        <v>1.9090730171226113E-2</v>
      </c>
      <c r="K300" s="5">
        <f>(Cotacoes!K300-Cotacoes!K299)/Cotacoes!K299</f>
        <v>-1.1504424778761131E-2</v>
      </c>
      <c r="L300" s="5">
        <f>(Cotacoes!L300-Cotacoes!L299)/Cotacoes!L299</f>
        <v>7.619047619047626E-3</v>
      </c>
      <c r="M300" s="5">
        <f>(Cotacoes!M300-Cotacoes!M299)/Cotacoes!M299</f>
        <v>7.5313807531380639E-3</v>
      </c>
      <c r="N300" s="5">
        <f>(Cotacoes!N300-Cotacoes!N299)/Cotacoes!N299</f>
        <v>-1.4999999999999977E-2</v>
      </c>
      <c r="O300" s="5">
        <f>(Cotacoes!O300-Cotacoes!O299)/Cotacoes!O299</f>
        <v>-1.6745159602302474E-2</v>
      </c>
      <c r="P300" s="5">
        <f>(Cotacoes!P300-Cotacoes!P299)/Cotacoes!P299</f>
        <v>-1.0537407797681732E-2</v>
      </c>
      <c r="Q300" s="5">
        <f>(Cotacoes!Q300-Cotacoes!Q299)/Cotacoes!Q299</f>
        <v>-1.092769123459658E-2</v>
      </c>
      <c r="R300" s="5">
        <f>(Cotacoes!R300-Cotacoes!R299)/Cotacoes!R299</f>
        <v>-2.3292747485442099E-2</v>
      </c>
      <c r="S300" s="5">
        <f>(Cotacoes!S300-Cotacoes!S299)/Cotacoes!S299</f>
        <v>4.2048929663608342E-3</v>
      </c>
      <c r="T300" s="5">
        <f>(Cotacoes!T300-Cotacoes!T299)/Cotacoes!T299</f>
        <v>-4.3425814234016827E-2</v>
      </c>
      <c r="U300" s="5">
        <f>(Cotacoes!U300-Cotacoes!U299)/Cotacoes!U299</f>
        <v>-3.1809145129223977E-3</v>
      </c>
      <c r="V300" s="5">
        <f>(Cotacoes!V300-Cotacoes!V299)/Cotacoes!V299</f>
        <v>1.3477088948786933E-2</v>
      </c>
      <c r="W300" s="5"/>
    </row>
    <row r="301" spans="1:23" x14ac:dyDescent="0.2">
      <c r="A301" s="4">
        <v>44999</v>
      </c>
      <c r="B301" s="5">
        <f>(Cotacoes!B301-Cotacoes!B300)/Cotacoes!B300</f>
        <v>-5.3173043578777935E-3</v>
      </c>
      <c r="C301" s="5">
        <f>(Cotacoes!C301-Cotacoes!C300)/Cotacoes!C300</f>
        <v>9.1297305256958419E-3</v>
      </c>
      <c r="D301" s="5">
        <f>(Cotacoes!D301-Cotacoes!D300)/Cotacoes!D300</f>
        <v>-1.7880794701986728E-2</v>
      </c>
      <c r="E301" s="5">
        <f>(Cotacoes!E301-Cotacoes!E300)/Cotacoes!E300</f>
        <v>-3.2822757111598618E-3</v>
      </c>
      <c r="F301" s="5">
        <f>(Cotacoes!F301-Cotacoes!F300)/Cotacoes!F300</f>
        <v>-1.7947279865395221E-2</v>
      </c>
      <c r="G301" s="5">
        <f>(Cotacoes!G301-Cotacoes!G300)/Cotacoes!G300</f>
        <v>1.1807924429283728E-2</v>
      </c>
      <c r="H301" s="5">
        <f>(Cotacoes!H301-Cotacoes!H300)/Cotacoes!H300</f>
        <v>-8.8607594936709212E-3</v>
      </c>
      <c r="I301" s="5">
        <f>(Cotacoes!I301-Cotacoes!I300)/Cotacoes!I300</f>
        <v>1.2169680111265572E-2</v>
      </c>
      <c r="J301" s="5">
        <f>(Cotacoes!J301-Cotacoes!J300)/Cotacoes!J300</f>
        <v>1.351873310158354E-2</v>
      </c>
      <c r="K301" s="5">
        <f>(Cotacoes!K301-Cotacoes!K300)/Cotacoes!K300</f>
        <v>-5.3715308863026409E-3</v>
      </c>
      <c r="L301" s="5">
        <f>(Cotacoes!L301-Cotacoes!L300)/Cotacoes!L300</f>
        <v>8.5066162570888327E-3</v>
      </c>
      <c r="M301" s="5">
        <f>(Cotacoes!M301-Cotacoes!M300)/Cotacoes!M300</f>
        <v>2.4916943521594744E-2</v>
      </c>
      <c r="N301" s="5">
        <f>(Cotacoes!N301-Cotacoes!N300)/Cotacoes!N300</f>
        <v>0</v>
      </c>
      <c r="O301" s="5">
        <f>(Cotacoes!O301-Cotacoes!O300)/Cotacoes!O300</f>
        <v>1.1708355508249198E-2</v>
      </c>
      <c r="P301" s="5">
        <f>(Cotacoes!P301-Cotacoes!P300)/Cotacoes!P300</f>
        <v>3.8871139510117163E-2</v>
      </c>
      <c r="Q301" s="5">
        <f>(Cotacoes!Q301-Cotacoes!Q300)/Cotacoes!Q300</f>
        <v>8.6976962858485527E-3</v>
      </c>
      <c r="R301" s="5">
        <f>(Cotacoes!R301-Cotacoes!R300)/Cotacoes!R300</f>
        <v>-1.6260162601624707E-3</v>
      </c>
      <c r="S301" s="5">
        <f>(Cotacoes!S301-Cotacoes!S300)/Cotacoes!S300</f>
        <v>-7.2325846973734786E-3</v>
      </c>
      <c r="T301" s="5">
        <f>(Cotacoes!T301-Cotacoes!T300)/Cotacoes!T300</f>
        <v>1.387137452711216E-2</v>
      </c>
      <c r="U301" s="5">
        <f>(Cotacoes!U301-Cotacoes!U300)/Cotacoes!U300</f>
        <v>-4.0686078978859175E-2</v>
      </c>
      <c r="V301" s="5">
        <f>(Cotacoes!V301-Cotacoes!V300)/Cotacoes!V300</f>
        <v>-5.0531914893616893E-2</v>
      </c>
      <c r="W301" s="5"/>
    </row>
    <row r="302" spans="1:23" x14ac:dyDescent="0.2">
      <c r="A302" s="4">
        <v>45000</v>
      </c>
      <c r="B302" s="5">
        <f>(Cotacoes!B302-Cotacoes!B301)/Cotacoes!B301</f>
        <v>5.2295177222545361E-3</v>
      </c>
      <c r="C302" s="5">
        <f>(Cotacoes!C302-Cotacoes!C301)/Cotacoes!C301</f>
        <v>-3.020574930687301E-2</v>
      </c>
      <c r="D302" s="5">
        <f>(Cotacoes!D302-Cotacoes!D301)/Cotacoes!D301</f>
        <v>-1.7532029669588656E-2</v>
      </c>
      <c r="E302" s="5">
        <f>(Cotacoes!E302-Cotacoes!E301)/Cotacoes!E301</f>
        <v>-2.1953896816684494E-3</v>
      </c>
      <c r="F302" s="5">
        <f>(Cotacoes!F302-Cotacoes!F301)/Cotacoes!F301</f>
        <v>-2.4557395773843704E-2</v>
      </c>
      <c r="G302" s="5">
        <f>(Cotacoes!G302-Cotacoes!G301)/Cotacoes!G301</f>
        <v>-4.9273858921163073E-3</v>
      </c>
      <c r="H302" s="5">
        <f>(Cotacoes!H302-Cotacoes!H301)/Cotacoes!H301</f>
        <v>1.2771392081736637E-3</v>
      </c>
      <c r="I302" s="5">
        <f>(Cotacoes!I302-Cotacoes!I301)/Cotacoes!I301</f>
        <v>4.9124012366884226E-2</v>
      </c>
      <c r="J302" s="5">
        <f>(Cotacoes!J302-Cotacoes!J301)/Cotacoes!J301</f>
        <v>1.6958841463414646E-2</v>
      </c>
      <c r="K302" s="5">
        <f>(Cotacoes!K302-Cotacoes!K301)/Cotacoes!K301</f>
        <v>1.3501350135013534E-2</v>
      </c>
      <c r="L302" s="5">
        <f>(Cotacoes!L302-Cotacoes!L301)/Cotacoes!L301</f>
        <v>8.4348641049671845E-3</v>
      </c>
      <c r="M302" s="5">
        <f>(Cotacoes!M302-Cotacoes!M301)/Cotacoes!M301</f>
        <v>5.6726094003241726E-3</v>
      </c>
      <c r="N302" s="5">
        <f>(Cotacoes!N302-Cotacoes!N301)/Cotacoes!N301</f>
        <v>3.3840947546530582E-3</v>
      </c>
      <c r="O302" s="5">
        <f>(Cotacoes!O302-Cotacoes!O301)/Cotacoes!O301</f>
        <v>1.2624934245134056E-2</v>
      </c>
      <c r="P302" s="5">
        <f>(Cotacoes!P302-Cotacoes!P301)/Cotacoes!P301</f>
        <v>-1.0251153254742761E-3</v>
      </c>
      <c r="Q302" s="5">
        <f>(Cotacoes!Q302-Cotacoes!Q301)/Cotacoes!Q301</f>
        <v>-1.6546259613143644E-2</v>
      </c>
      <c r="R302" s="5">
        <f>(Cotacoes!R302-Cotacoes!R301)/Cotacoes!R301</f>
        <v>4.3431053203039248E-3</v>
      </c>
      <c r="S302" s="5">
        <f>(Cotacoes!S302-Cotacoes!S301)/Cotacoes!S301</f>
        <v>3.6809815950920283E-2</v>
      </c>
      <c r="T302" s="5">
        <f>(Cotacoes!T302-Cotacoes!T301)/Cotacoes!T301</f>
        <v>-3.2960199004974974E-2</v>
      </c>
      <c r="U302" s="5">
        <f>(Cotacoes!U302-Cotacoes!U301)/Cotacoes!U301</f>
        <v>7.4844074844074727E-3</v>
      </c>
      <c r="V302" s="5">
        <f>(Cotacoes!V302-Cotacoes!V301)/Cotacoes!V301</f>
        <v>5.8356676003734821E-2</v>
      </c>
      <c r="W302" s="5"/>
    </row>
    <row r="303" spans="1:23" x14ac:dyDescent="0.2">
      <c r="A303" s="4">
        <v>45001</v>
      </c>
      <c r="B303" s="5">
        <f>(Cotacoes!B303-Cotacoes!B302)/Cotacoes!B302</f>
        <v>-9.7109826589595778E-3</v>
      </c>
      <c r="C303" s="5">
        <f>(Cotacoes!C303-Cotacoes!C302)/Cotacoes!C302</f>
        <v>3.7616611495636478E-3</v>
      </c>
      <c r="D303" s="5">
        <f>(Cotacoes!D303-Cotacoes!D302)/Cotacoes!D302</f>
        <v>-3.4317089910776053E-3</v>
      </c>
      <c r="E303" s="5">
        <f>(Cotacoes!E303-Cotacoes!E302)/Cotacoes!E302</f>
        <v>1.5951595159515906E-2</v>
      </c>
      <c r="F303" s="5">
        <f>(Cotacoes!F303-Cotacoes!F302)/Cotacoes!F302</f>
        <v>-3.5128805620608153E-3</v>
      </c>
      <c r="G303" s="5">
        <f>(Cotacoes!G303-Cotacoes!G302)/Cotacoes!G302</f>
        <v>5.7336460776649979E-3</v>
      </c>
      <c r="H303" s="5">
        <f>(Cotacoes!H303-Cotacoes!H302)/Cotacoes!H302</f>
        <v>1.0204081632653071E-2</v>
      </c>
      <c r="I303" s="5">
        <f>(Cotacoes!I303-Cotacoes!I302)/Cotacoes!I302</f>
        <v>-4.911591355599168E-3</v>
      </c>
      <c r="J303" s="5">
        <f>(Cotacoes!J303-Cotacoes!J302)/Cotacoes!J302</f>
        <v>2.435825370058133E-3</v>
      </c>
      <c r="K303" s="5">
        <f>(Cotacoes!K303-Cotacoes!K302)/Cotacoes!K302</f>
        <v>2.8419182948490256E-2</v>
      </c>
      <c r="L303" s="5">
        <f>(Cotacoes!L303-Cotacoes!L302)/Cotacoes!L302</f>
        <v>2.7881040892193374E-2</v>
      </c>
      <c r="M303" s="5">
        <f>(Cotacoes!M303-Cotacoes!M302)/Cotacoes!M302</f>
        <v>1.6921837228041827E-2</v>
      </c>
      <c r="N303" s="5">
        <f>(Cotacoes!N303-Cotacoes!N302)/Cotacoes!N302</f>
        <v>8.4317032040473385E-3</v>
      </c>
      <c r="O303" s="5">
        <f>(Cotacoes!O303-Cotacoes!O302)/Cotacoes!O302</f>
        <v>3.7922077922077947E-2</v>
      </c>
      <c r="P303" s="5">
        <f>(Cotacoes!P303-Cotacoes!P302)/Cotacoes!P302</f>
        <v>2.4628014366341738E-2</v>
      </c>
      <c r="Q303" s="5">
        <f>(Cotacoes!Q303-Cotacoes!Q302)/Cotacoes!Q302</f>
        <v>-5.2132701421802362E-3</v>
      </c>
      <c r="R303" s="5">
        <f>(Cotacoes!R303-Cotacoes!R302)/Cotacoes!R302</f>
        <v>3.8918918918918854E-2</v>
      </c>
      <c r="S303" s="5">
        <f>(Cotacoes!S303-Cotacoes!S302)/Cotacoes!S302</f>
        <v>-1.0355029585798727E-2</v>
      </c>
      <c r="T303" s="5">
        <f>(Cotacoes!T303-Cotacoes!T302)/Cotacoes!T302</f>
        <v>1.7684887459806981E-2</v>
      </c>
      <c r="U303" s="5">
        <f>(Cotacoes!U303-Cotacoes!U302)/Cotacoes!U302</f>
        <v>5.4684275691291757E-2</v>
      </c>
      <c r="V303" s="5">
        <f>(Cotacoes!V303-Cotacoes!V302)/Cotacoes!V302</f>
        <v>-2.1614468460520599E-2</v>
      </c>
      <c r="W303" s="5"/>
    </row>
    <row r="304" spans="1:23" x14ac:dyDescent="0.2">
      <c r="A304" s="4">
        <v>45002</v>
      </c>
      <c r="B304" s="5">
        <f>(Cotacoes!B304-Cotacoes!B303)/Cotacoes!B303</f>
        <v>-1.0856876021480185E-2</v>
      </c>
      <c r="C304" s="5">
        <f>(Cotacoes!C304-Cotacoes!C303)/Cotacoes!C303</f>
        <v>1.1992205066706813E-2</v>
      </c>
      <c r="D304" s="5">
        <f>(Cotacoes!D304-Cotacoes!D303)/Cotacoes!D303</f>
        <v>1.0330578512396719E-2</v>
      </c>
      <c r="E304" s="5">
        <f>(Cotacoes!E304-Cotacoes!E303)/Cotacoes!E303</f>
        <v>-2.8695181375202904E-2</v>
      </c>
      <c r="F304" s="5">
        <f>(Cotacoes!F304-Cotacoes!F303)/Cotacoes!F303</f>
        <v>4.1128084606345643E-3</v>
      </c>
      <c r="G304" s="5">
        <f>(Cotacoes!G304-Cotacoes!G303)/Cotacoes!G303</f>
        <v>-1.0624514122829843E-2</v>
      </c>
      <c r="H304" s="5">
        <f>(Cotacoes!H304-Cotacoes!H303)/Cotacoes!H303</f>
        <v>-1.704545454545452E-2</v>
      </c>
      <c r="I304" s="5">
        <f>(Cotacoes!I304-Cotacoes!I303)/Cotacoes!I303</f>
        <v>-4.3106284962158681E-2</v>
      </c>
      <c r="J304" s="5">
        <f>(Cotacoes!J304-Cotacoes!J303)/Cotacoes!J303</f>
        <v>-3.2710280373831772E-2</v>
      </c>
      <c r="K304" s="5">
        <f>(Cotacoes!K304-Cotacoes!K303)/Cotacoes!K303</f>
        <v>-4.1450777202072575E-2</v>
      </c>
      <c r="L304" s="5">
        <f>(Cotacoes!L304-Cotacoes!L303)/Cotacoes!L303</f>
        <v>-4.7016274864376248E-2</v>
      </c>
      <c r="M304" s="5">
        <f>(Cotacoes!M304-Cotacoes!M303)/Cotacoes!M303</f>
        <v>-3.1695721077653841E-3</v>
      </c>
      <c r="N304" s="5">
        <f>(Cotacoes!N304-Cotacoes!N303)/Cotacoes!N303</f>
        <v>-2.3411371237458286E-2</v>
      </c>
      <c r="O304" s="5">
        <f>(Cotacoes!O304-Cotacoes!O303)/Cotacoes!O303</f>
        <v>2.5525525525525426E-2</v>
      </c>
      <c r="P304" s="5">
        <f>(Cotacoes!P304-Cotacoes!P303)/Cotacoes!P303</f>
        <v>9.0135202804206178E-3</v>
      </c>
      <c r="Q304" s="5">
        <f>(Cotacoes!Q304-Cotacoes!Q303)/Cotacoes!Q303</f>
        <v>-9.0519294902333368E-3</v>
      </c>
      <c r="R304" s="5">
        <f>(Cotacoes!R304-Cotacoes!R303)/Cotacoes!R303</f>
        <v>-2.1852237252861506E-2</v>
      </c>
      <c r="S304" s="5">
        <f>(Cotacoes!S304-Cotacoes!S303)/Cotacoes!S303</f>
        <v>-5.0074738415545585E-2</v>
      </c>
      <c r="T304" s="5">
        <f>(Cotacoes!T304-Cotacoes!T303)/Cotacoes!T303</f>
        <v>-1.0426540284360136E-2</v>
      </c>
      <c r="U304" s="5">
        <f>(Cotacoes!U304-Cotacoes!U303)/Cotacoes!U303</f>
        <v>-3.6783408334963852E-2</v>
      </c>
      <c r="V304" s="5">
        <f>(Cotacoes!V304-Cotacoes!V303)/Cotacoes!V303</f>
        <v>-5.4553651938683535E-2</v>
      </c>
      <c r="W304" s="5"/>
    </row>
    <row r="305" spans="1:23" x14ac:dyDescent="0.2">
      <c r="A305" s="4">
        <v>45005</v>
      </c>
      <c r="B305" s="5">
        <f>(Cotacoes!B305-Cotacoes!B304)/Cotacoes!B304</f>
        <v>-9.441756166646795E-4</v>
      </c>
      <c r="C305" s="5">
        <f>(Cotacoes!C305-Cotacoes!C304)/Cotacoes!C304</f>
        <v>8.1469411938971583E-3</v>
      </c>
      <c r="D305" s="5">
        <f>(Cotacoes!D305-Cotacoes!D304)/Cotacoes!D304</f>
        <v>-2.4539877300613459E-2</v>
      </c>
      <c r="E305" s="5">
        <f>(Cotacoes!E305-Cotacoes!E304)/Cotacoes!E304</f>
        <v>2.7870680044591502E-3</v>
      </c>
      <c r="F305" s="5">
        <f>(Cotacoes!F305-Cotacoes!F304)/Cotacoes!F304</f>
        <v>-2.340550029256867E-2</v>
      </c>
      <c r="G305" s="5">
        <f>(Cotacoes!G305-Cotacoes!G304)/Cotacoes!G304</f>
        <v>-3.1430068098480209E-3</v>
      </c>
      <c r="H305" s="5">
        <f>(Cotacoes!H305-Cotacoes!H304)/Cotacoes!H304</f>
        <v>-5.7803468208092396E-3</v>
      </c>
      <c r="I305" s="5">
        <f>(Cotacoes!I305-Cotacoes!I304)/Cotacoes!I304</f>
        <v>-9.628610729023301E-3</v>
      </c>
      <c r="J305" s="5">
        <f>(Cotacoes!J305-Cotacoes!J304)/Cotacoes!J304</f>
        <v>-2.4541062801932429E-2</v>
      </c>
      <c r="K305" s="5">
        <f>(Cotacoes!K305-Cotacoes!K304)/Cotacoes!K304</f>
        <v>-1.7117117117117074E-2</v>
      </c>
      <c r="L305" s="5">
        <f>(Cotacoes!L305-Cotacoes!L304)/Cotacoes!L304</f>
        <v>-1.0436432637571104E-2</v>
      </c>
      <c r="M305" s="5">
        <f>(Cotacoes!M305-Cotacoes!M304)/Cotacoes!M304</f>
        <v>-7.1542130365659668E-3</v>
      </c>
      <c r="N305" s="5">
        <f>(Cotacoes!N305-Cotacoes!N304)/Cotacoes!N304</f>
        <v>6.8493150684931572E-3</v>
      </c>
      <c r="O305" s="5">
        <f>(Cotacoes!O305-Cotacoes!O304)/Cotacoes!O304</f>
        <v>-7.2718399219131216E-2</v>
      </c>
      <c r="P305" s="5">
        <f>(Cotacoes!P305-Cotacoes!P304)/Cotacoes!P304</f>
        <v>-1.091811414392054E-2</v>
      </c>
      <c r="Q305" s="5">
        <f>(Cotacoes!Q305-Cotacoes!Q304)/Cotacoes!Q304</f>
        <v>-8.4134615384615728E-3</v>
      </c>
      <c r="R305" s="5">
        <f>(Cotacoes!R305-Cotacoes!R304)/Cotacoes!R304</f>
        <v>-2.6063829787234146E-2</v>
      </c>
      <c r="S305" s="5">
        <f>(Cotacoes!S305-Cotacoes!S304)/Cotacoes!S304</f>
        <v>-9.0479937057435251E-3</v>
      </c>
      <c r="T305" s="5">
        <f>(Cotacoes!T305-Cotacoes!T304)/Cotacoes!T304</f>
        <v>-1.2132822477650032E-2</v>
      </c>
      <c r="U305" s="5">
        <f>(Cotacoes!U305-Cotacoes!U304)/Cotacoes!U304</f>
        <v>-1.279707495429607E-2</v>
      </c>
      <c r="V305" s="5">
        <f>(Cotacoes!V305-Cotacoes!V304)/Cotacoes!V304</f>
        <v>-2.0028612303290328E-2</v>
      </c>
      <c r="W305" s="5"/>
    </row>
    <row r="306" spans="1:23" x14ac:dyDescent="0.2">
      <c r="A306" s="4">
        <v>45006</v>
      </c>
      <c r="B306" s="5">
        <f>(Cotacoes!B306-Cotacoes!B305)/Cotacoes!B305</f>
        <v>-4.1346721795630067E-3</v>
      </c>
      <c r="C306" s="5">
        <f>(Cotacoes!C306-Cotacoes!C305)/Cotacoes!C305</f>
        <v>-8.3749632677050743E-3</v>
      </c>
      <c r="D306" s="5">
        <f>(Cotacoes!D306-Cotacoes!D305)/Cotacoes!D305</f>
        <v>2.0964360587002021E-2</v>
      </c>
      <c r="E306" s="5">
        <f>(Cotacoes!E306-Cotacoes!E305)/Cotacoes!E305</f>
        <v>2.0566981656475879E-2</v>
      </c>
      <c r="F306" s="5">
        <f>(Cotacoes!F306-Cotacoes!F305)/Cotacoes!F305</f>
        <v>2.1569802276812426E-2</v>
      </c>
      <c r="G306" s="5">
        <f>(Cotacoes!G306-Cotacoes!G305)/Cotacoes!G305</f>
        <v>6.5685759327377821E-3</v>
      </c>
      <c r="H306" s="5">
        <f>(Cotacoes!H306-Cotacoes!H305)/Cotacoes!H305</f>
        <v>1.2273901808785497E-2</v>
      </c>
      <c r="I306" s="5">
        <f>(Cotacoes!I306-Cotacoes!I305)/Cotacoes!I305</f>
        <v>-3.4722222222222224E-2</v>
      </c>
      <c r="J306" s="5">
        <f>(Cotacoes!J306-Cotacoes!J305)/Cotacoes!J305</f>
        <v>-2.0602218700475419E-2</v>
      </c>
      <c r="K306" s="5">
        <f>(Cotacoes!K306-Cotacoes!K305)/Cotacoes!K305</f>
        <v>2.7497708524289056E-3</v>
      </c>
      <c r="L306" s="5">
        <f>(Cotacoes!L306-Cotacoes!L305)/Cotacoes!L305</f>
        <v>-9.5877277085328733E-4</v>
      </c>
      <c r="M306" s="5">
        <f>(Cotacoes!M306-Cotacoes!M305)/Cotacoes!M305</f>
        <v>-1.2009607686148947E-2</v>
      </c>
      <c r="N306" s="5">
        <f>(Cotacoes!N306-Cotacoes!N305)/Cotacoes!N305</f>
        <v>1.1904761904761953E-2</v>
      </c>
      <c r="O306" s="5">
        <f>(Cotacoes!O306-Cotacoes!O305)/Cotacoes!O305</f>
        <v>7.3684210526316091E-3</v>
      </c>
      <c r="P306" s="5">
        <f>(Cotacoes!P306-Cotacoes!P305)/Cotacoes!P305</f>
        <v>1.655795283492232E-2</v>
      </c>
      <c r="Q306" s="5">
        <f>(Cotacoes!Q306-Cotacoes!Q305)/Cotacoes!Q305</f>
        <v>-6.3030303030302548E-3</v>
      </c>
      <c r="R306" s="5">
        <f>(Cotacoes!R306-Cotacoes!R305)/Cotacoes!R305</f>
        <v>-2.7307482250134986E-3</v>
      </c>
      <c r="S306" s="5">
        <f>(Cotacoes!S306-Cotacoes!S305)/Cotacoes!S305</f>
        <v>-4.7637951568082967E-3</v>
      </c>
      <c r="T306" s="5">
        <f>(Cotacoes!T306-Cotacoes!T305)/Cotacoes!T305</f>
        <v>2.3594053005817725E-2</v>
      </c>
      <c r="U306" s="5">
        <f>(Cotacoes!U306-Cotacoes!U305)/Cotacoes!U305</f>
        <v>-1.851851851851849E-2</v>
      </c>
      <c r="V306" s="5">
        <f>(Cotacoes!V306-Cotacoes!V305)/Cotacoes!V305</f>
        <v>2.9197080291970181E-3</v>
      </c>
      <c r="W306" s="5"/>
    </row>
    <row r="307" spans="1:23" x14ac:dyDescent="0.2">
      <c r="A307" s="4">
        <v>45007</v>
      </c>
      <c r="B307" s="5">
        <f>(Cotacoes!B307-Cotacoes!B306)/Cotacoes!B306</f>
        <v>-3.2147093712929939E-2</v>
      </c>
      <c r="C307" s="5">
        <f>(Cotacoes!C307-Cotacoes!C306)/Cotacoes!C306</f>
        <v>-1.2446288339013028E-2</v>
      </c>
      <c r="D307" s="5">
        <f>(Cotacoes!D307-Cotacoes!D306)/Cotacoes!D306</f>
        <v>-3.4223134839150536E-3</v>
      </c>
      <c r="E307" s="5">
        <f>(Cotacoes!E307-Cotacoes!E306)/Cotacoes!E306</f>
        <v>-5.9912854030500784E-3</v>
      </c>
      <c r="F307" s="5">
        <f>(Cotacoes!F307-Cotacoes!F306)/Cotacoes!F306</f>
        <v>-8.2111436950146957E-3</v>
      </c>
      <c r="G307" s="5">
        <f>(Cotacoes!G307-Cotacoes!G306)/Cotacoes!G306</f>
        <v>-1.0963194988253764E-2</v>
      </c>
      <c r="H307" s="5">
        <f>(Cotacoes!H307-Cotacoes!H306)/Cotacoes!H306</f>
        <v>2.5526483726867216E-3</v>
      </c>
      <c r="I307" s="5">
        <f>(Cotacoes!I307-Cotacoes!I306)/Cotacoes!I306</f>
        <v>-3.2374100719424407E-3</v>
      </c>
      <c r="J307" s="5">
        <f>(Cotacoes!J307-Cotacoes!J306)/Cotacoes!J306</f>
        <v>3.2362459546926314E-3</v>
      </c>
      <c r="K307" s="5">
        <f>(Cotacoes!K307-Cotacoes!K306)/Cotacoes!K306</f>
        <v>-9.140767824497225E-3</v>
      </c>
      <c r="L307" s="5">
        <f>(Cotacoes!L307-Cotacoes!L306)/Cotacoes!L306</f>
        <v>-1.1516314779270559E-2</v>
      </c>
      <c r="M307" s="5">
        <f>(Cotacoes!M307-Cotacoes!M306)/Cotacoes!M306</f>
        <v>0</v>
      </c>
      <c r="N307" s="5">
        <f>(Cotacoes!N307-Cotacoes!N306)/Cotacoes!N306</f>
        <v>-1.3445378151260515E-2</v>
      </c>
      <c r="O307" s="5">
        <f>(Cotacoes!O307-Cotacoes!O306)/Cotacoes!O306</f>
        <v>-3.2392894461860028E-2</v>
      </c>
      <c r="P307" s="5">
        <f>(Cotacoes!P307-Cotacoes!P306)/Cotacoes!P306</f>
        <v>-4.9358341559724295E-3</v>
      </c>
      <c r="Q307" s="5">
        <f>(Cotacoes!Q307-Cotacoes!Q306)/Cotacoes!Q306</f>
        <v>-1.7077335935594116E-3</v>
      </c>
      <c r="R307" s="5">
        <f>(Cotacoes!R307-Cotacoes!R306)/Cotacoes!R306</f>
        <v>-1.5334063526834672E-2</v>
      </c>
      <c r="S307" s="5">
        <f>(Cotacoes!S307-Cotacoes!S306)/Cotacoes!S306</f>
        <v>3.5899481451934527E-3</v>
      </c>
      <c r="T307" s="5">
        <f>(Cotacoes!T307-Cotacoes!T306)/Cotacoes!T306</f>
        <v>-1.1682980738869624E-2</v>
      </c>
      <c r="U307" s="5">
        <f>(Cotacoes!U307-Cotacoes!U306)/Cotacoes!U306</f>
        <v>-1.4675052410901526E-3</v>
      </c>
      <c r="V307" s="5">
        <f>(Cotacoes!V307-Cotacoes!V306)/Cotacoes!V306</f>
        <v>-1.6011644832605448E-2</v>
      </c>
      <c r="W307" s="5"/>
    </row>
    <row r="308" spans="1:23" x14ac:dyDescent="0.2">
      <c r="A308" s="4">
        <v>45008</v>
      </c>
      <c r="B308" s="5">
        <f>(Cotacoes!B308-Cotacoes!B307)/Cotacoes!B307</f>
        <v>1.2378968010785524E-2</v>
      </c>
      <c r="C308" s="5">
        <f>(Cotacoes!C308-Cotacoes!C307)/Cotacoes!C307</f>
        <v>-2.5656414103525999E-2</v>
      </c>
      <c r="D308" s="5">
        <f>(Cotacoes!D308-Cotacoes!D307)/Cotacoes!D307</f>
        <v>-2.2664835164835168E-2</v>
      </c>
      <c r="E308" s="5">
        <f>(Cotacoes!E308-Cotacoes!E307)/Cotacoes!E307</f>
        <v>-2.4657534246575304E-2</v>
      </c>
      <c r="F308" s="5">
        <f>(Cotacoes!F308-Cotacoes!F307)/Cotacoes!F307</f>
        <v>-2.0106445890005906E-2</v>
      </c>
      <c r="G308" s="5">
        <f>(Cotacoes!G308-Cotacoes!G307)/Cotacoes!G307</f>
        <v>9.5011876484560418E-3</v>
      </c>
      <c r="H308" s="5">
        <f>(Cotacoes!H308-Cotacoes!H307)/Cotacoes!H307</f>
        <v>-1.1457670273711107E-2</v>
      </c>
      <c r="I308" s="5">
        <f>(Cotacoes!I308-Cotacoes!I307)/Cotacoes!I307</f>
        <v>-6.4958498736917974E-3</v>
      </c>
      <c r="J308" s="5">
        <f>(Cotacoes!J308-Cotacoes!J307)/Cotacoes!J307</f>
        <v>-2.8024193548387106E-2</v>
      </c>
      <c r="K308" s="5">
        <f>(Cotacoes!K308-Cotacoes!K307)/Cotacoes!K307</f>
        <v>-3.5055350553505442E-2</v>
      </c>
      <c r="L308" s="5">
        <f>(Cotacoes!L308-Cotacoes!L307)/Cotacoes!L307</f>
        <v>-5.631067961165049E-2</v>
      </c>
      <c r="M308" s="5">
        <f>(Cotacoes!M308-Cotacoes!M307)/Cotacoes!M307</f>
        <v>-1.2155591572123205E-2</v>
      </c>
      <c r="N308" s="5">
        <f>(Cotacoes!N308-Cotacoes!N307)/Cotacoes!N307</f>
        <v>-1.5332197614991458E-2</v>
      </c>
      <c r="O308" s="5">
        <f>(Cotacoes!O308-Cotacoes!O307)/Cotacoes!O307</f>
        <v>-1.5658747300215936E-2</v>
      </c>
      <c r="P308" s="5">
        <f>(Cotacoes!P308-Cotacoes!P307)/Cotacoes!P307</f>
        <v>1.7857142857142828E-2</v>
      </c>
      <c r="Q308" s="5">
        <f>(Cotacoes!Q308-Cotacoes!Q307)/Cotacoes!Q307</f>
        <v>-1.4907135874877795E-2</v>
      </c>
      <c r="R308" s="5">
        <f>(Cotacoes!R308-Cotacoes!R307)/Cotacoes!R307</f>
        <v>-3.893214682981086E-2</v>
      </c>
      <c r="S308" s="5">
        <f>(Cotacoes!S308-Cotacoes!S307)/Cotacoes!S307</f>
        <v>-2.5039745627980881E-2</v>
      </c>
      <c r="T308" s="5">
        <f>(Cotacoes!T308-Cotacoes!T307)/Cotacoes!T307</f>
        <v>-4.5367412140575131E-2</v>
      </c>
      <c r="U308" s="5">
        <f>(Cotacoes!U308-Cotacoes!U307)/Cotacoes!U307</f>
        <v>-3.7161452865840917E-2</v>
      </c>
      <c r="V308" s="5">
        <f>(Cotacoes!V308-Cotacoes!V307)/Cotacoes!V307</f>
        <v>-2.4161735700197334E-2</v>
      </c>
      <c r="W308" s="5"/>
    </row>
    <row r="309" spans="1:23" x14ac:dyDescent="0.2">
      <c r="A309" s="4">
        <v>45009</v>
      </c>
      <c r="B309" s="5">
        <f>(Cotacoes!B309-Cotacoes!B308)/Cotacoes!B308</f>
        <v>1.2832929782082354E-2</v>
      </c>
      <c r="C309" s="5">
        <f>(Cotacoes!C309-Cotacoes!C308)/Cotacoes!C308</f>
        <v>-1.1395133969818215E-2</v>
      </c>
      <c r="D309" s="5">
        <f>(Cotacoes!D309-Cotacoes!D308)/Cotacoes!D308</f>
        <v>0</v>
      </c>
      <c r="E309" s="5">
        <f>(Cotacoes!E309-Cotacoes!E308)/Cotacoes!E308</f>
        <v>1.2921348314606765E-2</v>
      </c>
      <c r="F309" s="5">
        <f>(Cotacoes!F309-Cotacoes!F308)/Cotacoes!F308</f>
        <v>3.6210018105008279E-3</v>
      </c>
      <c r="G309" s="5">
        <f>(Cotacoes!G309-Cotacoes!G308)/Cotacoes!G308</f>
        <v>1.5424836601307279E-2</v>
      </c>
      <c r="H309" s="5">
        <f>(Cotacoes!H309-Cotacoes!H308)/Cotacoes!H308</f>
        <v>1.030264005151321E-2</v>
      </c>
      <c r="I309" s="5">
        <f>(Cotacoes!I309-Cotacoes!I308)/Cotacoes!I308</f>
        <v>1.5256084271703529E-2</v>
      </c>
      <c r="J309" s="5">
        <f>(Cotacoes!J309-Cotacoes!J308)/Cotacoes!J308</f>
        <v>-1.8460900228168441E-2</v>
      </c>
      <c r="K309" s="5">
        <f>(Cotacoes!K309-Cotacoes!K308)/Cotacoes!K308</f>
        <v>1.1472275334607955E-2</v>
      </c>
      <c r="L309" s="5">
        <f>(Cotacoes!L309-Cotacoes!L308)/Cotacoes!L308</f>
        <v>1.3374485596707716E-2</v>
      </c>
      <c r="M309" s="5">
        <f>(Cotacoes!M309-Cotacoes!M308)/Cotacoes!M308</f>
        <v>8.2034454470877472E-3</v>
      </c>
      <c r="N309" s="5">
        <f>(Cotacoes!N309-Cotacoes!N308)/Cotacoes!N308</f>
        <v>1.7301038062283676E-2</v>
      </c>
      <c r="O309" s="5">
        <f>(Cotacoes!O309-Cotacoes!O308)/Cotacoes!O308</f>
        <v>-6.5825562260011516E-3</v>
      </c>
      <c r="P309" s="5">
        <f>(Cotacoes!P309-Cotacoes!P308)/Cotacoes!P308</f>
        <v>-1.9493177387913815E-3</v>
      </c>
      <c r="Q309" s="5">
        <f>(Cotacoes!Q309-Cotacoes!Q308)/Cotacoes!Q308</f>
        <v>9.1788638055072536E-3</v>
      </c>
      <c r="R309" s="5">
        <f>(Cotacoes!R309-Cotacoes!R308)/Cotacoes!R308</f>
        <v>1.6203703703703564E-2</v>
      </c>
      <c r="S309" s="5">
        <f>(Cotacoes!S309-Cotacoes!S308)/Cotacoes!S308</f>
        <v>3.4243783122706879E-2</v>
      </c>
      <c r="T309" s="5">
        <f>(Cotacoes!T309-Cotacoes!T308)/Cotacoes!T308</f>
        <v>1.1713520749665376E-2</v>
      </c>
      <c r="U309" s="5">
        <f>(Cotacoes!U309-Cotacoes!U308)/Cotacoes!U308</f>
        <v>2.4422154382904435E-2</v>
      </c>
      <c r="V309" s="5">
        <f>(Cotacoes!V309-Cotacoes!V308)/Cotacoes!V308</f>
        <v>1.7180394138453757E-2</v>
      </c>
      <c r="W309" s="5"/>
    </row>
    <row r="310" spans="1:23" x14ac:dyDescent="0.2">
      <c r="A310" s="4">
        <v>45012</v>
      </c>
      <c r="B310" s="5">
        <f>(Cotacoes!B310-Cotacoes!B309)/Cotacoes!B309</f>
        <v>1.4343772412144429E-2</v>
      </c>
      <c r="C310" s="5">
        <f>(Cotacoes!C310-Cotacoes!C309)/Cotacoes!C309</f>
        <v>-1.7133956386292746E-3</v>
      </c>
      <c r="D310" s="5">
        <f>(Cotacoes!D310-Cotacoes!D309)/Cotacoes!D309</f>
        <v>1.6865776528461014E-2</v>
      </c>
      <c r="E310" s="5">
        <f>(Cotacoes!E310-Cotacoes!E309)/Cotacoes!E309</f>
        <v>1.7193566278424777E-2</v>
      </c>
      <c r="F310" s="5">
        <f>(Cotacoes!F310-Cotacoes!F309)/Cotacoes!F309</f>
        <v>1.563439567047514E-2</v>
      </c>
      <c r="G310" s="5">
        <f>(Cotacoes!G310-Cotacoes!G309)/Cotacoes!G309</f>
        <v>1.6735324407826945E-2</v>
      </c>
      <c r="H310" s="5">
        <f>(Cotacoes!H310-Cotacoes!H309)/Cotacoes!H309</f>
        <v>6.3734862970043257E-4</v>
      </c>
      <c r="I310" s="5">
        <f>(Cotacoes!I310-Cotacoes!I309)/Cotacoes!I309</f>
        <v>2.9338103756708419E-2</v>
      </c>
      <c r="J310" s="5">
        <f>(Cotacoes!J310-Cotacoes!J309)/Cotacoes!J309</f>
        <v>2.7895181741335592E-2</v>
      </c>
      <c r="K310" s="5">
        <f>(Cotacoes!K310-Cotacoes!K309)/Cotacoes!K309</f>
        <v>1.795841209829863E-2</v>
      </c>
      <c r="L310" s="5">
        <f>(Cotacoes!L310-Cotacoes!L309)/Cotacoes!L309</f>
        <v>3.045685279187933E-3</v>
      </c>
      <c r="M310" s="5">
        <f>(Cotacoes!M310-Cotacoes!M309)/Cotacoes!M309</f>
        <v>3.2546786004882772E-3</v>
      </c>
      <c r="N310" s="5">
        <f>(Cotacoes!N310-Cotacoes!N309)/Cotacoes!N309</f>
        <v>1.1904761904761953E-2</v>
      </c>
      <c r="O310" s="5">
        <f>(Cotacoes!O310-Cotacoes!O309)/Cotacoes!O309</f>
        <v>9.3870789618995983E-3</v>
      </c>
      <c r="P310" s="5">
        <f>(Cotacoes!P310-Cotacoes!P309)/Cotacoes!P309</f>
        <v>-2.4414062500000347E-3</v>
      </c>
      <c r="Q310" s="5">
        <f>(Cotacoes!Q310-Cotacoes!Q309)/Cotacoes!Q309</f>
        <v>-1.4995083579154361E-2</v>
      </c>
      <c r="R310" s="5">
        <f>(Cotacoes!R310-Cotacoes!R309)/Cotacoes!R309</f>
        <v>1.2528473804100366E-2</v>
      </c>
      <c r="S310" s="5">
        <f>(Cotacoes!S310-Cotacoes!S309)/Cotacoes!S309</f>
        <v>2.4438312968072425E-2</v>
      </c>
      <c r="T310" s="5">
        <f>(Cotacoes!T310-Cotacoes!T309)/Cotacoes!T309</f>
        <v>4.4326827654647696E-2</v>
      </c>
      <c r="U310" s="5">
        <f>(Cotacoes!U310-Cotacoes!U309)/Cotacoes!U309</f>
        <v>1.1281396338867627E-2</v>
      </c>
      <c r="V310" s="5">
        <f>(Cotacoes!V310-Cotacoes!V309)/Cotacoes!V309</f>
        <v>-3.974167908594054E-3</v>
      </c>
      <c r="W310" s="5"/>
    </row>
    <row r="311" spans="1:23" x14ac:dyDescent="0.2">
      <c r="A311" s="4">
        <v>45013</v>
      </c>
      <c r="B311" s="5">
        <f>(Cotacoes!B311-Cotacoes!B310)/Cotacoes!B310</f>
        <v>-1.1784115012961856E-3</v>
      </c>
      <c r="C311" s="5">
        <f>(Cotacoes!C311-Cotacoes!C310)/Cotacoes!C310</f>
        <v>1.0610079575596702E-2</v>
      </c>
      <c r="D311" s="5">
        <f>(Cotacoes!D311-Cotacoes!D310)/Cotacoes!D310</f>
        <v>1.7277125086385625E-2</v>
      </c>
      <c r="E311" s="5">
        <f>(Cotacoes!E311-Cotacoes!E310)/Cotacoes!E310</f>
        <v>4.3620501635769819E-3</v>
      </c>
      <c r="F311" s="5">
        <f>(Cotacoes!F311-Cotacoes!F310)/Cotacoes!F310</f>
        <v>1.7169923031379465E-2</v>
      </c>
      <c r="G311" s="5">
        <f>(Cotacoes!G311-Cotacoes!G310)/Cotacoes!G310</f>
        <v>4.3048873132437221E-3</v>
      </c>
      <c r="H311" s="5">
        <f>(Cotacoes!H311-Cotacoes!H310)/Cotacoes!H310</f>
        <v>7.0063694267516697E-3</v>
      </c>
      <c r="I311" s="5">
        <f>(Cotacoes!I311-Cotacoes!I310)/Cotacoes!I310</f>
        <v>4.9704553354188379E-2</v>
      </c>
      <c r="J311" s="5">
        <f>(Cotacoes!J311-Cotacoes!J310)/Cotacoes!J310</f>
        <v>2.1175986842105286E-2</v>
      </c>
      <c r="K311" s="5">
        <f>(Cotacoes!K311-Cotacoes!K310)/Cotacoes!K310</f>
        <v>-9.2850510677806755E-4</v>
      </c>
      <c r="L311" s="5">
        <f>(Cotacoes!L311-Cotacoes!L310)/Cotacoes!L310</f>
        <v>8.097165991902841E-3</v>
      </c>
      <c r="M311" s="5">
        <f>(Cotacoes!M311-Cotacoes!M310)/Cotacoes!M310</f>
        <v>4.7039740470397412E-2</v>
      </c>
      <c r="N311" s="5">
        <f>(Cotacoes!N311-Cotacoes!N310)/Cotacoes!N310</f>
        <v>-3.3613445378152034E-3</v>
      </c>
      <c r="O311" s="5">
        <f>(Cotacoes!O311-Cotacoes!O310)/Cotacoes!O310</f>
        <v>-2.0240700218818432E-2</v>
      </c>
      <c r="P311" s="5">
        <f>(Cotacoes!P311-Cotacoes!P310)/Cotacoes!P310</f>
        <v>6.852667645619215E-3</v>
      </c>
      <c r="Q311" s="5">
        <f>(Cotacoes!Q311-Cotacoes!Q310)/Cotacoes!Q310</f>
        <v>6.9877714000499414E-3</v>
      </c>
      <c r="R311" s="5">
        <f>(Cotacoes!R311-Cotacoes!R310)/Cotacoes!R310</f>
        <v>2.0809898762654523E-2</v>
      </c>
      <c r="S311" s="5">
        <f>(Cotacoes!S311-Cotacoes!S310)/Cotacoes!S310</f>
        <v>2.6548672566371733E-2</v>
      </c>
      <c r="T311" s="5">
        <f>(Cotacoes!T311-Cotacoes!T310)/Cotacoes!T310</f>
        <v>8.2356667722520756E-3</v>
      </c>
      <c r="U311" s="5">
        <f>(Cotacoes!U311-Cotacoes!U310)/Cotacoes!U310</f>
        <v>3.0519890549358091E-2</v>
      </c>
      <c r="V311" s="5">
        <f>(Cotacoes!V311-Cotacoes!V310)/Cotacoes!V310</f>
        <v>-4.8379052369077427E-2</v>
      </c>
      <c r="W311" s="5"/>
    </row>
    <row r="312" spans="1:23" x14ac:dyDescent="0.2">
      <c r="A312" s="4">
        <v>45014</v>
      </c>
      <c r="B312" s="5">
        <f>(Cotacoes!B312-Cotacoes!B311)/Cotacoes!B311</f>
        <v>2.3831996224634212E-2</v>
      </c>
      <c r="C312" s="5">
        <f>(Cotacoes!C312-Cotacoes!C311)/Cotacoes!C311</f>
        <v>1.435849930523401E-2</v>
      </c>
      <c r="D312" s="5">
        <f>(Cotacoes!D312-Cotacoes!D311)/Cotacoes!D311</f>
        <v>1.3586956521739081E-2</v>
      </c>
      <c r="E312" s="5">
        <f>(Cotacoes!E312-Cotacoes!E311)/Cotacoes!E311</f>
        <v>9.7719869706840226E-3</v>
      </c>
      <c r="F312" s="5">
        <f>(Cotacoes!F312-Cotacoes!F311)/Cotacoes!F311</f>
        <v>1.0477299185098935E-2</v>
      </c>
      <c r="G312" s="5">
        <f>(Cotacoes!G312-Cotacoes!G311)/Cotacoes!G311</f>
        <v>8.8250126071609033E-3</v>
      </c>
      <c r="H312" s="5">
        <f>(Cotacoes!H312-Cotacoes!H311)/Cotacoes!H311</f>
        <v>1.13851992409867E-2</v>
      </c>
      <c r="I312" s="5">
        <f>(Cotacoes!I312-Cotacoes!I311)/Cotacoes!I311</f>
        <v>-8.9403973509933638E-3</v>
      </c>
      <c r="J312" s="5">
        <f>(Cotacoes!J312-Cotacoes!J311)/Cotacoes!J311</f>
        <v>4.4292329373867298E-3</v>
      </c>
      <c r="K312" s="5">
        <f>(Cotacoes!K312-Cotacoes!K311)/Cotacoes!K311</f>
        <v>4.6468401486989509E-3</v>
      </c>
      <c r="L312" s="5">
        <f>(Cotacoes!L312-Cotacoes!L311)/Cotacoes!L311</f>
        <v>-9.0361445783134157E-3</v>
      </c>
      <c r="M312" s="5">
        <f>(Cotacoes!M312-Cotacoes!M311)/Cotacoes!M311</f>
        <v>1.4717273431448451E-2</v>
      </c>
      <c r="N312" s="5">
        <f>(Cotacoes!N312-Cotacoes!N311)/Cotacoes!N311</f>
        <v>1.0118043844856746E-2</v>
      </c>
      <c r="O312" s="5">
        <f>(Cotacoes!O312-Cotacoes!O311)/Cotacoes!O311</f>
        <v>2.2333891680624872E-3</v>
      </c>
      <c r="P312" s="5">
        <f>(Cotacoes!P312-Cotacoes!P311)/Cotacoes!P311</f>
        <v>2.2362664073894062E-2</v>
      </c>
      <c r="Q312" s="5">
        <f>(Cotacoes!Q312-Cotacoes!Q311)/Cotacoes!Q311</f>
        <v>1.858736059479554E-2</v>
      </c>
      <c r="R312" s="5">
        <f>(Cotacoes!R312-Cotacoes!R311)/Cotacoes!R311</f>
        <v>-8.2644628099172775E-3</v>
      </c>
      <c r="S312" s="5">
        <f>(Cotacoes!S312-Cotacoes!S311)/Cotacoes!S311</f>
        <v>-3.7481259370315376E-3</v>
      </c>
      <c r="T312" s="5">
        <f>(Cotacoes!T312-Cotacoes!T311)/Cotacoes!T311</f>
        <v>1.8850141376061036E-3</v>
      </c>
      <c r="U312" s="5">
        <f>(Cotacoes!U312-Cotacoes!U311)/Cotacoes!U311</f>
        <v>-2.0424836601303124E-4</v>
      </c>
      <c r="V312" s="5">
        <f>(Cotacoes!V312-Cotacoes!V311)/Cotacoes!V311</f>
        <v>2.0964360587002209E-2</v>
      </c>
      <c r="W312" s="5"/>
    </row>
    <row r="313" spans="1:23" x14ac:dyDescent="0.2">
      <c r="A313" s="4">
        <v>45015</v>
      </c>
      <c r="B313" s="5">
        <f>(Cotacoes!B313-Cotacoes!B312)/Cotacoes!B312</f>
        <v>-1.8206960129061978E-2</v>
      </c>
      <c r="C313" s="5">
        <f>(Cotacoes!C313-Cotacoes!C312)/Cotacoes!C312</f>
        <v>1.6286149162861387E-2</v>
      </c>
      <c r="D313" s="5">
        <f>(Cotacoes!D313-Cotacoes!D312)/Cotacoes!D312</f>
        <v>2.6809651474531452E-3</v>
      </c>
      <c r="E313" s="5">
        <f>(Cotacoes!E313-Cotacoes!E312)/Cotacoes!E312</f>
        <v>2.7419354838709567E-2</v>
      </c>
      <c r="F313" s="5">
        <f>(Cotacoes!F313-Cotacoes!F312)/Cotacoes!F312</f>
        <v>1.0944700460829567E-2</v>
      </c>
      <c r="G313" s="5">
        <f>(Cotacoes!G313-Cotacoes!G312)/Cotacoes!G312</f>
        <v>2.9992501874532506E-3</v>
      </c>
      <c r="H313" s="5">
        <f>(Cotacoes!H313-Cotacoes!H312)/Cotacoes!H312</f>
        <v>1.8761726078799182E-2</v>
      </c>
      <c r="I313" s="5">
        <f>(Cotacoes!I313-Cotacoes!I312)/Cotacoes!I312</f>
        <v>2.1383227530905467E-2</v>
      </c>
      <c r="J313" s="5">
        <f>(Cotacoes!J313-Cotacoes!J312)/Cotacoes!J312</f>
        <v>2.1046301864100964E-2</v>
      </c>
      <c r="K313" s="5">
        <f>(Cotacoes!K313-Cotacoes!K312)/Cotacoes!K312</f>
        <v>3.0527289546716008E-2</v>
      </c>
      <c r="L313" s="5">
        <f>(Cotacoes!L313-Cotacoes!L312)/Cotacoes!L312</f>
        <v>2.5329280648429587E-2</v>
      </c>
      <c r="M313" s="5">
        <f>(Cotacoes!M313-Cotacoes!M312)/Cotacoes!M312</f>
        <v>7.6335877862593793E-4</v>
      </c>
      <c r="N313" s="5">
        <f>(Cotacoes!N313-Cotacoes!N312)/Cotacoes!N312</f>
        <v>2.1702838063439048E-2</v>
      </c>
      <c r="O313" s="5">
        <f>(Cotacoes!O313-Cotacoes!O312)/Cotacoes!O312</f>
        <v>1.448467966573825E-2</v>
      </c>
      <c r="P313" s="5">
        <f>(Cotacoes!P313-Cotacoes!P312)/Cotacoes!P312</f>
        <v>-3.3285782215882209E-3</v>
      </c>
      <c r="Q313" s="5">
        <f>(Cotacoes!Q313-Cotacoes!Q312)/Cotacoes!Q312</f>
        <v>-4.8661800486625607E-4</v>
      </c>
      <c r="R313" s="5">
        <f>(Cotacoes!R313-Cotacoes!R312)/Cotacoes!R312</f>
        <v>4.2222222222222307E-2</v>
      </c>
      <c r="S313" s="5">
        <f>(Cotacoes!S313-Cotacoes!S312)/Cotacoes!S312</f>
        <v>1.843491346877359E-2</v>
      </c>
      <c r="T313" s="5">
        <f>(Cotacoes!T313-Cotacoes!T312)/Cotacoes!T312</f>
        <v>1.2856694888679731E-2</v>
      </c>
      <c r="U313" s="5">
        <f>(Cotacoes!U313-Cotacoes!U312)/Cotacoes!U312</f>
        <v>3.5750766087844735E-2</v>
      </c>
      <c r="V313" s="5">
        <f>(Cotacoes!V313-Cotacoes!V312)/Cotacoes!V312</f>
        <v>8.9322381930184727E-2</v>
      </c>
      <c r="W313" s="5"/>
    </row>
    <row r="314" spans="1:23" x14ac:dyDescent="0.2">
      <c r="A314" s="4">
        <v>45016</v>
      </c>
      <c r="B314" s="5">
        <f>(Cotacoes!B314-Cotacoes!B313)/Cotacoes!B313</f>
        <v>-3.7558685446010256E-3</v>
      </c>
      <c r="C314" s="5">
        <f>(Cotacoes!C314-Cotacoes!C313)/Cotacoes!C313</f>
        <v>-1.8720982477160402E-2</v>
      </c>
      <c r="D314" s="5">
        <f>(Cotacoes!D314-Cotacoes!D313)/Cotacoes!D313</f>
        <v>-2.1390374331550818E-2</v>
      </c>
      <c r="E314" s="5">
        <f>(Cotacoes!E314-Cotacoes!E313)/Cotacoes!E313</f>
        <v>5.232862375719593E-3</v>
      </c>
      <c r="F314" s="5">
        <f>(Cotacoes!F314-Cotacoes!F313)/Cotacoes!F313</f>
        <v>-2.1652421652421594E-2</v>
      </c>
      <c r="G314" s="5">
        <f>(Cotacoes!G314-Cotacoes!G313)/Cotacoes!G313</f>
        <v>-3.1148766508846248E-2</v>
      </c>
      <c r="H314" s="5">
        <f>(Cotacoes!H314-Cotacoes!H313)/Cotacoes!H313</f>
        <v>2.4554941682012983E-3</v>
      </c>
      <c r="I314" s="5">
        <f>(Cotacoes!I314-Cotacoes!I313)/Cotacoes!I313</f>
        <v>-1.8318613019299924E-2</v>
      </c>
      <c r="J314" s="5">
        <f>(Cotacoes!J314-Cotacoes!J313)/Cotacoes!J313</f>
        <v>-6.4782096584216397E-3</v>
      </c>
      <c r="K314" s="5">
        <f>(Cotacoes!K314-Cotacoes!K313)/Cotacoes!K313</f>
        <v>-1.6157989228007156E-2</v>
      </c>
      <c r="L314" s="5">
        <f>(Cotacoes!L314-Cotacoes!L313)/Cotacoes!L313</f>
        <v>-4.1501976284584977E-2</v>
      </c>
      <c r="M314" s="5">
        <f>(Cotacoes!M314-Cotacoes!M313)/Cotacoes!M313</f>
        <v>-3.2799389778794791E-2</v>
      </c>
      <c r="N314" s="5">
        <f>(Cotacoes!N314-Cotacoes!N313)/Cotacoes!N313</f>
        <v>6.5359477124183061E-3</v>
      </c>
      <c r="O314" s="5">
        <f>(Cotacoes!O314-Cotacoes!O313)/Cotacoes!O313</f>
        <v>-1.9769357495881351E-2</v>
      </c>
      <c r="P314" s="5">
        <f>(Cotacoes!P314-Cotacoes!P313)/Cotacoes!P313</f>
        <v>-9.0648854961832663E-3</v>
      </c>
      <c r="Q314" s="5">
        <f>(Cotacoes!Q314-Cotacoes!Q313)/Cotacoes!Q313</f>
        <v>-3.3592989289191709E-2</v>
      </c>
      <c r="R314" s="5">
        <f>(Cotacoes!R314-Cotacoes!R313)/Cotacoes!R313</f>
        <v>-1.0127931769722882E-2</v>
      </c>
      <c r="S314" s="5">
        <f>(Cotacoes!S314-Cotacoes!S313)/Cotacoes!S313</f>
        <v>-4.0635389730328568E-3</v>
      </c>
      <c r="T314" s="5">
        <f>(Cotacoes!T314-Cotacoes!T313)/Cotacoes!T313</f>
        <v>-3.5913312693498352E-2</v>
      </c>
      <c r="U314" s="5">
        <f>(Cotacoes!U314-Cotacoes!U313)/Cotacoes!U313</f>
        <v>-2.9585798816568046E-2</v>
      </c>
      <c r="V314" s="5">
        <f>(Cotacoes!V314-Cotacoes!V313)/Cotacoes!V313</f>
        <v>-4.5240339302544647E-2</v>
      </c>
      <c r="W314" s="5"/>
    </row>
    <row r="315" spans="1:23" x14ac:dyDescent="0.2">
      <c r="A315" s="4">
        <v>45019</v>
      </c>
      <c r="B315" s="5">
        <f>(Cotacoes!B315-Cotacoes!B314)/Cotacoes!B314</f>
        <v>4.9481621112158541E-3</v>
      </c>
      <c r="C315" s="5">
        <f>(Cotacoes!C315-Cotacoes!C314)/Cotacoes!C314</f>
        <v>1.5262515262523071E-4</v>
      </c>
      <c r="D315" s="5">
        <f>(Cotacoes!D315-Cotacoes!D314)/Cotacoes!D314</f>
        <v>4.439890710382504E-2</v>
      </c>
      <c r="E315" s="5">
        <f>(Cotacoes!E315-Cotacoes!E314)/Cotacoes!E314</f>
        <v>-2.8110359187922911E-2</v>
      </c>
      <c r="F315" s="5">
        <f>(Cotacoes!F315-Cotacoes!F314)/Cotacoes!F314</f>
        <v>4.7757716948165212E-2</v>
      </c>
      <c r="G315" s="5">
        <f>(Cotacoes!G315-Cotacoes!G314)/Cotacoes!G314</f>
        <v>-2.366255144032926E-2</v>
      </c>
      <c r="H315" s="5">
        <f>(Cotacoes!H315-Cotacoes!H314)/Cotacoes!H314</f>
        <v>-1.1635027556644075E-2</v>
      </c>
      <c r="I315" s="5">
        <f>(Cotacoes!I315-Cotacoes!I314)/Cotacoes!I314</f>
        <v>-1.432855714761757E-2</v>
      </c>
      <c r="J315" s="5">
        <f>(Cotacoes!J315-Cotacoes!J314)/Cotacoes!J314</f>
        <v>-4.1493775933610123E-3</v>
      </c>
      <c r="K315" s="5">
        <f>(Cotacoes!K315-Cotacoes!K314)/Cotacoes!K314</f>
        <v>-2.4635036496350488E-2</v>
      </c>
      <c r="L315" s="5">
        <f>(Cotacoes!L315-Cotacoes!L314)/Cotacoes!L314</f>
        <v>2.1649484536082564E-2</v>
      </c>
      <c r="M315" s="5">
        <f>(Cotacoes!M315-Cotacoes!M314)/Cotacoes!M314</f>
        <v>0</v>
      </c>
      <c r="N315" s="5">
        <f>(Cotacoes!N315-Cotacoes!N314)/Cotacoes!N314</f>
        <v>-1.6233766233766319E-2</v>
      </c>
      <c r="O315" s="5">
        <f>(Cotacoes!O315-Cotacoes!O314)/Cotacoes!O314</f>
        <v>-3.0812324929972025E-2</v>
      </c>
      <c r="P315" s="5">
        <f>(Cotacoes!P315-Cotacoes!P314)/Cotacoes!P314</f>
        <v>-6.2590274434279735E-3</v>
      </c>
      <c r="Q315" s="5">
        <f>(Cotacoes!Q315-Cotacoes!Q314)/Cotacoes!Q314</f>
        <v>2.7204030226700208E-2</v>
      </c>
      <c r="R315" s="5">
        <f>(Cotacoes!R315-Cotacoes!R314)/Cotacoes!R314</f>
        <v>-5.3850296176637385E-4</v>
      </c>
      <c r="S315" s="5">
        <f>(Cotacoes!S315-Cotacoes!S314)/Cotacoes!S314</f>
        <v>-2.9673590504451725E-3</v>
      </c>
      <c r="T315" s="5">
        <f>(Cotacoes!T315-Cotacoes!T314)/Cotacoes!T314</f>
        <v>3.8856775850995534E-2</v>
      </c>
      <c r="U315" s="5">
        <f>(Cotacoes!U315-Cotacoes!U314)/Cotacoes!U314</f>
        <v>-2.4186991869918795E-2</v>
      </c>
      <c r="V315" s="5">
        <f>(Cotacoes!V315-Cotacoes!V314)/Cotacoes!V314</f>
        <v>-1.7769002961500639E-2</v>
      </c>
      <c r="W315" s="5"/>
    </row>
    <row r="316" spans="1:23" x14ac:dyDescent="0.2">
      <c r="A316" s="4">
        <v>45020</v>
      </c>
      <c r="B316" s="5">
        <f>(Cotacoes!B316-Cotacoes!B315)/Cotacoes!B315</f>
        <v>-3.5169988276670242E-3</v>
      </c>
      <c r="C316" s="5">
        <f>(Cotacoes!C316-Cotacoes!C315)/Cotacoes!C315</f>
        <v>-2.8231344422401973E-2</v>
      </c>
      <c r="D316" s="5">
        <f>(Cotacoes!D316-Cotacoes!D315)/Cotacoes!D315</f>
        <v>-9.1563113145846173E-3</v>
      </c>
      <c r="E316" s="5">
        <f>(Cotacoes!E316-Cotacoes!E315)/Cotacoes!E315</f>
        <v>1.981788966256012E-2</v>
      </c>
      <c r="F316" s="5">
        <f>(Cotacoes!F316-Cotacoes!F315)/Cotacoes!F315</f>
        <v>-1.3896609227348528E-2</v>
      </c>
      <c r="G316" s="5">
        <f>(Cotacoes!G316-Cotacoes!G315)/Cotacoes!G315</f>
        <v>1.0537407797681546E-3</v>
      </c>
      <c r="H316" s="5">
        <f>(Cotacoes!H316-Cotacoes!H315)/Cotacoes!H315</f>
        <v>1.6109045848822678E-2</v>
      </c>
      <c r="I316" s="5">
        <f>(Cotacoes!I316-Cotacoes!I315)/Cotacoes!I315</f>
        <v>1.656524678837059E-2</v>
      </c>
      <c r="J316" s="5">
        <f>(Cotacoes!J316-Cotacoes!J315)/Cotacoes!J315</f>
        <v>7.7380952380952496E-3</v>
      </c>
      <c r="K316" s="5">
        <f>(Cotacoes!K316-Cotacoes!K315)/Cotacoes!K315</f>
        <v>2.2450888681010309E-2</v>
      </c>
      <c r="L316" s="5">
        <f>(Cotacoes!L316-Cotacoes!L315)/Cotacoes!L315</f>
        <v>2.4217961654894069E-2</v>
      </c>
      <c r="M316" s="5">
        <f>(Cotacoes!M316-Cotacoes!M315)/Cotacoes!M315</f>
        <v>7.0977917981072444E-3</v>
      </c>
      <c r="N316" s="5">
        <f>(Cotacoes!N316-Cotacoes!N315)/Cotacoes!N315</f>
        <v>8.250825082508368E-3</v>
      </c>
      <c r="O316" s="5">
        <f>(Cotacoes!O316-Cotacoes!O315)/Cotacoes!O315</f>
        <v>8.6705202312137904E-3</v>
      </c>
      <c r="P316" s="5">
        <f>(Cotacoes!P316-Cotacoes!P315)/Cotacoes!P315</f>
        <v>7.2674418604650477E-3</v>
      </c>
      <c r="Q316" s="5">
        <f>(Cotacoes!Q316-Cotacoes!Q315)/Cotacoes!Q315</f>
        <v>-9.0730750367828475E-3</v>
      </c>
      <c r="R316" s="5">
        <f>(Cotacoes!R316-Cotacoes!R315)/Cotacoes!R315</f>
        <v>2.9094827586207045E-2</v>
      </c>
      <c r="S316" s="5">
        <f>(Cotacoes!S316-Cotacoes!S315)/Cotacoes!S315</f>
        <v>2.6785714285714378E-2</v>
      </c>
      <c r="T316" s="5">
        <f>(Cotacoes!T316-Cotacoes!T315)/Cotacoes!T315</f>
        <v>4.4822256568778848E-2</v>
      </c>
      <c r="U316" s="5">
        <f>(Cotacoes!U316-Cotacoes!U315)/Cotacoes!U315</f>
        <v>2.0828993959591754E-2</v>
      </c>
      <c r="V316" s="5">
        <f>(Cotacoes!V316-Cotacoes!V315)/Cotacoes!V315</f>
        <v>4.5226130653266444E-2</v>
      </c>
      <c r="W316" s="5"/>
    </row>
    <row r="317" spans="1:23" x14ac:dyDescent="0.2">
      <c r="A317" s="4">
        <v>45021</v>
      </c>
      <c r="B317" s="5">
        <f>(Cotacoes!B317-Cotacoes!B316)/Cotacoes!B316</f>
        <v>-9.6470588235293316E-3</v>
      </c>
      <c r="C317" s="5">
        <f>(Cotacoes!C317-Cotacoes!C316)/Cotacoes!C316</f>
        <v>-1.4761306532663282E-2</v>
      </c>
      <c r="D317" s="5">
        <f>(Cotacoes!D317-Cotacoes!D316)/Cotacoes!D316</f>
        <v>3.3003300330032301E-3</v>
      </c>
      <c r="E317" s="5">
        <f>(Cotacoes!E317-Cotacoes!E316)/Cotacoes!E316</f>
        <v>-1.0504201680672045E-3</v>
      </c>
      <c r="F317" s="5">
        <f>(Cotacoes!F317-Cotacoes!F316)/Cotacoes!F316</f>
        <v>1.1273957158964558E-3</v>
      </c>
      <c r="G317" s="5">
        <f>(Cotacoes!G317-Cotacoes!G316)/Cotacoes!G316</f>
        <v>-2.2368421052631617E-2</v>
      </c>
      <c r="H317" s="5">
        <f>(Cotacoes!H317-Cotacoes!H316)/Cotacoes!H316</f>
        <v>-3.6585365853657758E-3</v>
      </c>
      <c r="I317" s="5">
        <f>(Cotacoes!I317-Cotacoes!I316)/Cotacoes!I316</f>
        <v>-1.4965081476554683E-2</v>
      </c>
      <c r="J317" s="5">
        <f>(Cotacoes!J317-Cotacoes!J316)/Cotacoes!J316</f>
        <v>-1.8113801929513718E-2</v>
      </c>
      <c r="K317" s="5">
        <f>(Cotacoes!K317-Cotacoes!K316)/Cotacoes!K316</f>
        <v>8.2342177493138023E-3</v>
      </c>
      <c r="L317" s="5">
        <f>(Cotacoes!L317-Cotacoes!L316)/Cotacoes!L316</f>
        <v>-3.9408866995074799E-3</v>
      </c>
      <c r="M317" s="5">
        <f>(Cotacoes!M317-Cotacoes!M316)/Cotacoes!M316</f>
        <v>-2.3492560689114613E-3</v>
      </c>
      <c r="N317" s="5">
        <f>(Cotacoes!N317-Cotacoes!N316)/Cotacoes!N316</f>
        <v>-3.2733224222586681E-3</v>
      </c>
      <c r="O317" s="5">
        <f>(Cotacoes!O317-Cotacoes!O316)/Cotacoes!O316</f>
        <v>-1.3180515759312346E-2</v>
      </c>
      <c r="P317" s="5">
        <f>(Cotacoes!P317-Cotacoes!P316)/Cotacoes!P316</f>
        <v>-5.2429052429052422E-2</v>
      </c>
      <c r="Q317" s="5">
        <f>(Cotacoes!Q317-Cotacoes!Q316)/Cotacoes!Q316</f>
        <v>-3.2170254887404041E-2</v>
      </c>
      <c r="R317" s="5">
        <f>(Cotacoes!R317-Cotacoes!R316)/Cotacoes!R316</f>
        <v>1.7801047120418838E-2</v>
      </c>
      <c r="S317" s="5">
        <f>(Cotacoes!S317-Cotacoes!S316)/Cotacoes!S316</f>
        <v>-1.1956521739130501E-2</v>
      </c>
      <c r="T317" s="5">
        <f>(Cotacoes!T317-Cotacoes!T316)/Cotacoes!T316</f>
        <v>-1.0355029585798649E-2</v>
      </c>
      <c r="U317" s="5">
        <f>(Cotacoes!U317-Cotacoes!U316)/Cotacoes!U316</f>
        <v>-7.141399714344041E-3</v>
      </c>
      <c r="V317" s="5">
        <f>(Cotacoes!V317-Cotacoes!V316)/Cotacoes!V316</f>
        <v>-9.6153846153845812E-3</v>
      </c>
      <c r="W317" s="5"/>
    </row>
    <row r="318" spans="1:23" x14ac:dyDescent="0.2">
      <c r="A318" s="4">
        <v>45022</v>
      </c>
      <c r="B318" s="5">
        <f>(Cotacoes!B318-Cotacoes!B317)/Cotacoes!B317</f>
        <v>1.1404133998574408E-2</v>
      </c>
      <c r="C318" s="5">
        <f>(Cotacoes!C318-Cotacoes!C317)/Cotacoes!C317</f>
        <v>-1.7532674529805456E-3</v>
      </c>
      <c r="D318" s="5">
        <f>(Cotacoes!D318-Cotacoes!D317)/Cotacoes!D317</f>
        <v>-1.4473684210526241E-2</v>
      </c>
      <c r="E318" s="5">
        <f>(Cotacoes!E318-Cotacoes!E317)/Cotacoes!E317</f>
        <v>-3.1545741324920462E-3</v>
      </c>
      <c r="F318" s="5">
        <f>(Cotacoes!F318-Cotacoes!F317)/Cotacoes!F317</f>
        <v>-1.1824324324324372E-2</v>
      </c>
      <c r="G318" s="5">
        <f>(Cotacoes!G318-Cotacoes!G317)/Cotacoes!G317</f>
        <v>-3.4993270524897833E-3</v>
      </c>
      <c r="H318" s="5">
        <f>(Cotacoes!H318-Cotacoes!H317)/Cotacoes!H317</f>
        <v>-3.059975520195882E-3</v>
      </c>
      <c r="I318" s="5">
        <f>(Cotacoes!I318-Cotacoes!I317)/Cotacoes!I317</f>
        <v>-3.713706954760278E-3</v>
      </c>
      <c r="J318" s="5">
        <f>(Cotacoes!J318-Cotacoes!J317)/Cotacoes!J317</f>
        <v>6.6172047323040991E-3</v>
      </c>
      <c r="K318" s="5">
        <f>(Cotacoes!K318-Cotacoes!K317)/Cotacoes!K317</f>
        <v>-1.4519056261343026E-2</v>
      </c>
      <c r="L318" s="5">
        <f>(Cotacoes!L318-Cotacoes!L317)/Cotacoes!L317</f>
        <v>-7.9129574678536169E-3</v>
      </c>
      <c r="M318" s="5">
        <f>(Cotacoes!M318-Cotacoes!M317)/Cotacoes!M317</f>
        <v>2.3547880690737333E-3</v>
      </c>
      <c r="N318" s="5">
        <f>(Cotacoes!N318-Cotacoes!N317)/Cotacoes!N317</f>
        <v>0</v>
      </c>
      <c r="O318" s="5">
        <f>(Cotacoes!O318-Cotacoes!O317)/Cotacoes!O317</f>
        <v>-2.4970963995354225E-2</v>
      </c>
      <c r="P318" s="5">
        <f>(Cotacoes!P318-Cotacoes!P317)/Cotacoes!P317</f>
        <v>-3.5532994923858012E-3</v>
      </c>
      <c r="Q318" s="5">
        <f>(Cotacoes!Q318-Cotacoes!Q317)/Cotacoes!Q317</f>
        <v>-1.5341344924571758E-2</v>
      </c>
      <c r="R318" s="5">
        <f>(Cotacoes!R318-Cotacoes!R317)/Cotacoes!R317</f>
        <v>-6.1728395061728903E-3</v>
      </c>
      <c r="S318" s="5">
        <f>(Cotacoes!S318-Cotacoes!S317)/Cotacoes!S317</f>
        <v>1.503483681701504E-2</v>
      </c>
      <c r="T318" s="5">
        <f>(Cotacoes!T318-Cotacoes!T317)/Cotacoes!T317</f>
        <v>4.0358744394618659E-2</v>
      </c>
      <c r="U318" s="5">
        <f>(Cotacoes!U318-Cotacoes!U317)/Cotacoes!U317</f>
        <v>-1.0686395396629595E-2</v>
      </c>
      <c r="V318" s="5">
        <f>(Cotacoes!V318-Cotacoes!V317)/Cotacoes!V317</f>
        <v>1.359223300970862E-2</v>
      </c>
      <c r="W318" s="5"/>
    </row>
    <row r="319" spans="1:23" x14ac:dyDescent="0.2">
      <c r="A319" s="4">
        <v>45026</v>
      </c>
      <c r="B319" s="5">
        <f>(Cotacoes!B319-Cotacoes!B318)/Cotacoes!B318</f>
        <v>4.3222926943857091E-2</v>
      </c>
      <c r="C319" s="5">
        <f>(Cotacoes!C319-Cotacoes!C318)/Cotacoes!C318</f>
        <v>1.9319814785246699E-2</v>
      </c>
      <c r="D319" s="5">
        <f>(Cotacoes!D319-Cotacoes!D318)/Cotacoes!D318</f>
        <v>2.1361815754339136E-2</v>
      </c>
      <c r="E319" s="5">
        <f>(Cotacoes!E319-Cotacoes!E318)/Cotacoes!E318</f>
        <v>1.0548523206751016E-2</v>
      </c>
      <c r="F319" s="5">
        <f>(Cotacoes!F319-Cotacoes!F318)/Cotacoes!F318</f>
        <v>2.6780626780626714E-2</v>
      </c>
      <c r="G319" s="5">
        <f>(Cotacoes!G319-Cotacoes!G318)/Cotacoes!G318</f>
        <v>-5.6726094003241717E-3</v>
      </c>
      <c r="H319" s="5">
        <f>(Cotacoes!H319-Cotacoes!H318)/Cotacoes!H318</f>
        <v>6.1387354205043364E-4</v>
      </c>
      <c r="I319" s="5">
        <f>(Cotacoes!I319-Cotacoes!I318)/Cotacoes!I318</f>
        <v>1.7621145374449323E-2</v>
      </c>
      <c r="J319" s="5">
        <f>(Cotacoes!J319-Cotacoes!J318)/Cotacoes!J318</f>
        <v>-1.8525896414342623E-2</v>
      </c>
      <c r="K319" s="5">
        <f>(Cotacoes!K319-Cotacoes!K318)/Cotacoes!K318</f>
        <v>1.1970534069981656E-2</v>
      </c>
      <c r="L319" s="5">
        <f>(Cotacoes!L319-Cotacoes!L318)/Cotacoes!L318</f>
        <v>1.8943170488534524E-2</v>
      </c>
      <c r="M319" s="5">
        <f>(Cotacoes!M319-Cotacoes!M318)/Cotacoes!M318</f>
        <v>1.5661707126076408E-3</v>
      </c>
      <c r="N319" s="5">
        <f>(Cotacoes!N319-Cotacoes!N318)/Cotacoes!N318</f>
        <v>3.2840722495895668E-3</v>
      </c>
      <c r="O319" s="5">
        <f>(Cotacoes!O319-Cotacoes!O318)/Cotacoes!O318</f>
        <v>2.2632519356760129E-2</v>
      </c>
      <c r="P319" s="5">
        <f>(Cotacoes!P319-Cotacoes!P318)/Cotacoes!P318</f>
        <v>1.1716760061130944E-2</v>
      </c>
      <c r="Q319" s="5">
        <f>(Cotacoes!Q319-Cotacoes!Q318)/Cotacoes!Q318</f>
        <v>1.9475460919241756E-2</v>
      </c>
      <c r="R319" s="5">
        <f>(Cotacoes!R319-Cotacoes!R318)/Cotacoes!R318</f>
        <v>1.9668737060041356E-2</v>
      </c>
      <c r="S319" s="5">
        <f>(Cotacoes!S319-Cotacoes!S318)/Cotacoes!S318</f>
        <v>3.6127167630058319E-3</v>
      </c>
      <c r="T319" s="5">
        <f>(Cotacoes!T319-Cotacoes!T318)/Cotacoes!T318</f>
        <v>1.7241379310345482E-3</v>
      </c>
      <c r="U319" s="5">
        <f>(Cotacoes!U319-Cotacoes!U318)/Cotacoes!U318</f>
        <v>-4.154549231408451E-3</v>
      </c>
      <c r="V319" s="5">
        <f>(Cotacoes!V319-Cotacoes!V318)/Cotacoes!V318</f>
        <v>-2.3467432950191498E-2</v>
      </c>
      <c r="W319" s="5"/>
    </row>
    <row r="320" spans="1:23" x14ac:dyDescent="0.2">
      <c r="A320" s="4">
        <v>45027</v>
      </c>
      <c r="B320" s="5">
        <f>(Cotacoes!B320-Cotacoes!B319)/Cotacoes!B319</f>
        <v>9.2321549200631327E-3</v>
      </c>
      <c r="C320" s="5">
        <f>(Cotacoes!C320-Cotacoes!C319)/Cotacoes!C319</f>
        <v>5.2788220551378294E-2</v>
      </c>
      <c r="D320" s="5">
        <f>(Cotacoes!D320-Cotacoes!D319)/Cotacoes!D319</f>
        <v>4.7058823529411688E-2</v>
      </c>
      <c r="E320" s="5">
        <f>(Cotacoes!E320-Cotacoes!E319)/Cotacoes!E319</f>
        <v>3.2359081419624271E-2</v>
      </c>
      <c r="F320" s="5">
        <f>(Cotacoes!F320-Cotacoes!F319)/Cotacoes!F319</f>
        <v>4.38401775804661E-2</v>
      </c>
      <c r="G320" s="5">
        <f>(Cotacoes!G320-Cotacoes!G319)/Cotacoes!G319</f>
        <v>1.8201575658788226E-2</v>
      </c>
      <c r="H320" s="5">
        <f>(Cotacoes!H320-Cotacoes!H319)/Cotacoes!H319</f>
        <v>2.2699386503067544E-2</v>
      </c>
      <c r="I320" s="5">
        <f>(Cotacoes!I320-Cotacoes!I319)/Cotacoes!I319</f>
        <v>2.8638028638028619E-2</v>
      </c>
      <c r="J320" s="5">
        <f>(Cotacoes!J320-Cotacoes!J319)/Cotacoes!J319</f>
        <v>3.5112644611325287E-2</v>
      </c>
      <c r="K320" s="5">
        <f>(Cotacoes!K320-Cotacoes!K319)/Cotacoes!K319</f>
        <v>5.1865332120109214E-2</v>
      </c>
      <c r="L320" s="5">
        <f>(Cotacoes!L320-Cotacoes!L319)/Cotacoes!L319</f>
        <v>6.6536203522504861E-2</v>
      </c>
      <c r="M320" s="5">
        <f>(Cotacoes!M320-Cotacoes!M319)/Cotacoes!M319</f>
        <v>2.2673964034401951E-2</v>
      </c>
      <c r="N320" s="5">
        <f>(Cotacoes!N320-Cotacoes!N319)/Cotacoes!N319</f>
        <v>3.2733224222585809E-2</v>
      </c>
      <c r="O320" s="5">
        <f>(Cotacoes!O320-Cotacoes!O319)/Cotacoes!O319</f>
        <v>1.9219569015725E-2</v>
      </c>
      <c r="P320" s="5">
        <f>(Cotacoes!P320-Cotacoes!P319)/Cotacoes!P319</f>
        <v>3.1218529707955741E-2</v>
      </c>
      <c r="Q320" s="5">
        <f>(Cotacoes!Q320-Cotacoes!Q319)/Cotacoes!Q319</f>
        <v>3.4131431482424951E-2</v>
      </c>
      <c r="R320" s="5">
        <f>(Cotacoes!R320-Cotacoes!R319)/Cotacoes!R319</f>
        <v>8.3756345177665087E-2</v>
      </c>
      <c r="S320" s="5">
        <f>(Cotacoes!S320-Cotacoes!S319)/Cotacoes!S319</f>
        <v>1.0079193664506752E-2</v>
      </c>
      <c r="T320" s="5">
        <f>(Cotacoes!T320-Cotacoes!T319)/Cotacoes!T319</f>
        <v>2.3235800344234146E-2</v>
      </c>
      <c r="U320" s="5">
        <f>(Cotacoes!U320-Cotacoes!U319)/Cotacoes!U319</f>
        <v>9.1781393408427323E-2</v>
      </c>
      <c r="V320" s="5">
        <f>(Cotacoes!V320-Cotacoes!V319)/Cotacoes!V319</f>
        <v>9.2692496321726367E-2</v>
      </c>
      <c r="W320" s="5"/>
    </row>
    <row r="321" spans="1:23" x14ac:dyDescent="0.2">
      <c r="A321" s="4">
        <v>45028</v>
      </c>
      <c r="B321" s="5">
        <f>(Cotacoes!B321-Cotacoes!B320)/Cotacoes!B320</f>
        <v>-6.9165551093262447E-3</v>
      </c>
      <c r="C321" s="5">
        <f>(Cotacoes!C321-Cotacoes!C320)/Cotacoes!C320</f>
        <v>-2.1425383127510755E-2</v>
      </c>
      <c r="D321" s="5">
        <f>(Cotacoes!D321-Cotacoes!D320)/Cotacoes!D320</f>
        <v>7.4906367041199127E-3</v>
      </c>
      <c r="E321" s="5">
        <f>(Cotacoes!E321-Cotacoes!E320)/Cotacoes!E320</f>
        <v>7.0778564206269243E-3</v>
      </c>
      <c r="F321" s="5">
        <f>(Cotacoes!F321-Cotacoes!F320)/Cotacoes!F320</f>
        <v>5.3163211057956209E-4</v>
      </c>
      <c r="G321" s="5">
        <f>(Cotacoes!G321-Cotacoes!G320)/Cotacoes!G320</f>
        <v>1.6542155816435554E-2</v>
      </c>
      <c r="H321" s="5">
        <f>(Cotacoes!H321-Cotacoes!H320)/Cotacoes!H320</f>
        <v>6.9586082783443096E-2</v>
      </c>
      <c r="I321" s="5">
        <f>(Cotacoes!I321-Cotacoes!I320)/Cotacoes!I320</f>
        <v>2.589834898025253E-2</v>
      </c>
      <c r="J321" s="5">
        <f>(Cotacoes!J321-Cotacoes!J320)/Cotacoes!J320</f>
        <v>7.2549019607842631E-3</v>
      </c>
      <c r="K321" s="5">
        <f>(Cotacoes!K321-Cotacoes!K320)/Cotacoes!K320</f>
        <v>-5.1903114186851642E-3</v>
      </c>
      <c r="L321" s="5">
        <f>(Cotacoes!L321-Cotacoes!L320)/Cotacoes!L320</f>
        <v>1.9266055045871474E-2</v>
      </c>
      <c r="M321" s="5">
        <f>(Cotacoes!M321-Cotacoes!M320)/Cotacoes!M320</f>
        <v>-1.5290519877675516E-3</v>
      </c>
      <c r="N321" s="5">
        <f>(Cotacoes!N321-Cotacoes!N320)/Cotacoes!N320</f>
        <v>2.0602218700475562E-2</v>
      </c>
      <c r="O321" s="5">
        <f>(Cotacoes!O321-Cotacoes!O320)/Cotacoes!O320</f>
        <v>-4.5714285714284738E-3</v>
      </c>
      <c r="P321" s="5">
        <f>(Cotacoes!P321-Cotacoes!P320)/Cotacoes!P320</f>
        <v>-1.4160156249999958E-2</v>
      </c>
      <c r="Q321" s="5">
        <f>(Cotacoes!Q321-Cotacoes!Q320)/Cotacoes!Q320</f>
        <v>-8.1280788177339486E-3</v>
      </c>
      <c r="R321" s="5">
        <f>(Cotacoes!R321-Cotacoes!R320)/Cotacoes!R320</f>
        <v>2.482435597189684E-2</v>
      </c>
      <c r="S321" s="5">
        <f>(Cotacoes!S321-Cotacoes!S320)/Cotacoes!S320</f>
        <v>1.6749821810406358E-2</v>
      </c>
      <c r="T321" s="5">
        <f>(Cotacoes!T321-Cotacoes!T320)/Cotacoes!T320</f>
        <v>1.9624334174376108E-2</v>
      </c>
      <c r="U321" s="5">
        <f>(Cotacoes!U321-Cotacoes!U320)/Cotacoes!U320</f>
        <v>1.2227741688956696E-2</v>
      </c>
      <c r="V321" s="5">
        <f>(Cotacoes!V321-Cotacoes!V320)/Cotacoes!V320</f>
        <v>1.4811490125673172E-2</v>
      </c>
      <c r="W321" s="5"/>
    </row>
    <row r="322" spans="1:23" x14ac:dyDescent="0.2">
      <c r="A322" s="4">
        <v>45029</v>
      </c>
      <c r="B322" s="5">
        <f>(Cotacoes!B322-Cotacoes!B321)/Cotacoes!B321</f>
        <v>-2.6960233655357775E-3</v>
      </c>
      <c r="C322" s="5">
        <f>(Cotacoes!C322-Cotacoes!C321)/Cotacoes!C321</f>
        <v>-1.3532005473620202E-2</v>
      </c>
      <c r="D322" s="5">
        <f>(Cotacoes!D322-Cotacoes!D321)/Cotacoes!D321</f>
        <v>6.8153655514249954E-3</v>
      </c>
      <c r="E322" s="5">
        <f>(Cotacoes!E322-Cotacoes!E321)/Cotacoes!E321</f>
        <v>0</v>
      </c>
      <c r="F322" s="5">
        <f>(Cotacoes!F322-Cotacoes!F321)/Cotacoes!F321</f>
        <v>1.1689691817215667E-2</v>
      </c>
      <c r="G322" s="5">
        <f>(Cotacoes!G322-Cotacoes!G321)/Cotacoes!G321</f>
        <v>-9.1863517060367817E-3</v>
      </c>
      <c r="H322" s="5">
        <f>(Cotacoes!H322-Cotacoes!H321)/Cotacoes!H321</f>
        <v>0</v>
      </c>
      <c r="I322" s="5">
        <f>(Cotacoes!I322-Cotacoes!I321)/Cotacoes!I321</f>
        <v>-3.1555695803097387E-4</v>
      </c>
      <c r="J322" s="5">
        <f>(Cotacoes!J322-Cotacoes!J321)/Cotacoes!J321</f>
        <v>-7.7866459022774286E-4</v>
      </c>
      <c r="K322" s="5">
        <f>(Cotacoes!K322-Cotacoes!K321)/Cotacoes!K321</f>
        <v>8.6956521739128584E-4</v>
      </c>
      <c r="L322" s="5">
        <f>(Cotacoes!L322-Cotacoes!L321)/Cotacoes!L321</f>
        <v>-9.9009900990098508E-3</v>
      </c>
      <c r="M322" s="5">
        <f>(Cotacoes!M322-Cotacoes!M321)/Cotacoes!M321</f>
        <v>-1.148545176110263E-2</v>
      </c>
      <c r="N322" s="5">
        <f>(Cotacoes!N322-Cotacoes!N321)/Cotacoes!N321</f>
        <v>1.5527950310558673E-3</v>
      </c>
      <c r="O322" s="5">
        <f>(Cotacoes!O322-Cotacoes!O321)/Cotacoes!O321</f>
        <v>-2.927669345579802E-2</v>
      </c>
      <c r="P322" s="5">
        <f>(Cotacoes!P322-Cotacoes!P321)/Cotacoes!P321</f>
        <v>2.9717682020801743E-3</v>
      </c>
      <c r="Q322" s="5">
        <f>(Cotacoes!Q322-Cotacoes!Q321)/Cotacoes!Q321</f>
        <v>-2.1107524211571922E-2</v>
      </c>
      <c r="R322" s="5">
        <f>(Cotacoes!R322-Cotacoes!R321)/Cotacoes!R321</f>
        <v>-6.3985374771481068E-3</v>
      </c>
      <c r="S322" s="5">
        <f>(Cotacoes!S322-Cotacoes!S321)/Cotacoes!S321</f>
        <v>8.0616894497020832E-3</v>
      </c>
      <c r="T322" s="5">
        <f>(Cotacoes!T322-Cotacoes!T321)/Cotacoes!T321</f>
        <v>2.1996150673633599E-3</v>
      </c>
      <c r="U322" s="5">
        <f>(Cotacoes!U322-Cotacoes!U321)/Cotacoes!U321</f>
        <v>7.9275198187995794E-3</v>
      </c>
      <c r="V322" s="5">
        <f>(Cotacoes!V322-Cotacoes!V321)/Cotacoes!V321</f>
        <v>-4.4228217602829663E-3</v>
      </c>
      <c r="W322" s="5"/>
    </row>
    <row r="323" spans="1:23" x14ac:dyDescent="0.2">
      <c r="A323" s="4">
        <v>45030</v>
      </c>
      <c r="B323" s="5">
        <f>(Cotacoes!B323-Cotacoes!B322)/Cotacoes!B322</f>
        <v>-4.5055192610949047E-3</v>
      </c>
      <c r="C323" s="5">
        <f>(Cotacoes!C323-Cotacoes!C322)/Cotacoes!C322</f>
        <v>-8.7854500616521766E-3</v>
      </c>
      <c r="D323" s="5">
        <f>(Cotacoes!D323-Cotacoes!D322)/Cotacoes!D322</f>
        <v>1.0461538461538567E-2</v>
      </c>
      <c r="E323" s="5">
        <f>(Cotacoes!E323-Cotacoes!E322)/Cotacoes!E322</f>
        <v>1.4056224899598272E-2</v>
      </c>
      <c r="F323" s="5">
        <f>(Cotacoes!F323-Cotacoes!F322)/Cotacoes!F322</f>
        <v>1.5231092436974746E-2</v>
      </c>
      <c r="G323" s="5">
        <f>(Cotacoes!G323-Cotacoes!G322)/Cotacoes!G322</f>
        <v>-1.5629139072847773E-2</v>
      </c>
      <c r="H323" s="5">
        <f>(Cotacoes!H323-Cotacoes!H322)/Cotacoes!H322</f>
        <v>1.682557487380823E-2</v>
      </c>
      <c r="I323" s="5">
        <f>(Cotacoes!I323-Cotacoes!I322)/Cotacoes!I322</f>
        <v>-5.0505050505050553E-3</v>
      </c>
      <c r="J323" s="5">
        <f>(Cotacoes!J323-Cotacoes!J322)/Cotacoes!J322</f>
        <v>-3.3119033703487157E-2</v>
      </c>
      <c r="K323" s="5">
        <f>(Cotacoes!K323-Cotacoes!K322)/Cotacoes!K322</f>
        <v>-1.73761946133793E-3</v>
      </c>
      <c r="L323" s="5">
        <f>(Cotacoes!L323-Cotacoes!L322)/Cotacoes!L322</f>
        <v>2.0000000000000059E-2</v>
      </c>
      <c r="M323" s="5">
        <f>(Cotacoes!M323-Cotacoes!M322)/Cotacoes!M322</f>
        <v>3.8729666924864998E-3</v>
      </c>
      <c r="N323" s="5">
        <f>(Cotacoes!N323-Cotacoes!N322)/Cotacoes!N322</f>
        <v>7.7519379844960962E-3</v>
      </c>
      <c r="O323" s="5">
        <f>(Cotacoes!O323-Cotacoes!O322)/Cotacoes!O322</f>
        <v>-1.8923713778829111E-2</v>
      </c>
      <c r="P323" s="5">
        <f>(Cotacoes!P323-Cotacoes!P322)/Cotacoes!P322</f>
        <v>9.8765432098765083E-3</v>
      </c>
      <c r="Q323" s="5">
        <f>(Cotacoes!Q323-Cotacoes!Q322)/Cotacoes!Q322</f>
        <v>-1.9786910197869129E-2</v>
      </c>
      <c r="R323" s="5">
        <f>(Cotacoes!R323-Cotacoes!R322)/Cotacoes!R322</f>
        <v>-2.7598896044157646E-3</v>
      </c>
      <c r="S323" s="5">
        <f>(Cotacoes!S323-Cotacoes!S322)/Cotacoes!S322</f>
        <v>3.4770514603609215E-4</v>
      </c>
      <c r="T323" s="5">
        <f>(Cotacoes!T323-Cotacoes!T322)/Cotacoes!T322</f>
        <v>4.6639231824415527E-3</v>
      </c>
      <c r="U323" s="5">
        <f>(Cotacoes!U323-Cotacoes!U322)/Cotacoes!U322</f>
        <v>-8.988764044943762E-3</v>
      </c>
      <c r="V323" s="5">
        <f>(Cotacoes!V323-Cotacoes!V322)/Cotacoes!V322</f>
        <v>-5.9973345179920097E-2</v>
      </c>
      <c r="W323" s="5"/>
    </row>
    <row r="324" spans="1:23" x14ac:dyDescent="0.2">
      <c r="A324" s="4">
        <v>45033</v>
      </c>
      <c r="B324" s="5">
        <f>(Cotacoes!B324-Cotacoes!B323)/Cotacoes!B323</f>
        <v>2.4892509617560408E-3</v>
      </c>
      <c r="C324" s="5">
        <f>(Cotacoes!C324-Cotacoes!C323)/Cotacoes!C323</f>
        <v>-1.1973254548281808E-2</v>
      </c>
      <c r="D324" s="5">
        <f>(Cotacoes!D324-Cotacoes!D323)/Cotacoes!D323</f>
        <v>1.5225334957369061E-2</v>
      </c>
      <c r="E324" s="5">
        <f>(Cotacoes!E324-Cotacoes!E323)/Cotacoes!E323</f>
        <v>-1.9801980198019382E-3</v>
      </c>
      <c r="F324" s="5">
        <f>(Cotacoes!F324-Cotacoes!F323)/Cotacoes!F323</f>
        <v>4.1386445938955954E-3</v>
      </c>
      <c r="G324" s="5">
        <f>(Cotacoes!G324-Cotacoes!G323)/Cotacoes!G323</f>
        <v>1.8568353067814986E-2</v>
      </c>
      <c r="H324" s="5">
        <f>(Cotacoes!H324-Cotacoes!H323)/Cotacoes!H323</f>
        <v>2.2062879205737838E-3</v>
      </c>
      <c r="I324" s="5">
        <f>(Cotacoes!I324-Cotacoes!I323)/Cotacoes!I323</f>
        <v>-3.7436548223350248E-2</v>
      </c>
      <c r="J324" s="5">
        <f>(Cotacoes!J324-Cotacoes!J323)/Cotacoes!J323</f>
        <v>-1.349989925448321E-2</v>
      </c>
      <c r="K324" s="5">
        <f>(Cotacoes!K324-Cotacoes!K323)/Cotacoes!K323</f>
        <v>-4.3516100957354835E-3</v>
      </c>
      <c r="L324" s="5">
        <f>(Cotacoes!L324-Cotacoes!L323)/Cotacoes!L323</f>
        <v>3.5650623885917243E-3</v>
      </c>
      <c r="M324" s="5">
        <f>(Cotacoes!M324-Cotacoes!M323)/Cotacoes!M323</f>
        <v>6.9444444444444328E-3</v>
      </c>
      <c r="N324" s="5">
        <f>(Cotacoes!N324-Cotacoes!N323)/Cotacoes!N323</f>
        <v>-4.615384615384654E-3</v>
      </c>
      <c r="O324" s="5">
        <f>(Cotacoes!O324-Cotacoes!O323)/Cotacoes!O323</f>
        <v>2.7124773960216956E-2</v>
      </c>
      <c r="P324" s="5">
        <f>(Cotacoes!P324-Cotacoes!P323)/Cotacoes!P323</f>
        <v>-1.9559902200488579E-3</v>
      </c>
      <c r="Q324" s="5">
        <f>(Cotacoes!Q324-Cotacoes!Q323)/Cotacoes!Q323</f>
        <v>-7.7639751552797975E-4</v>
      </c>
      <c r="R324" s="5">
        <f>(Cotacoes!R324-Cotacoes!R323)/Cotacoes!R323</f>
        <v>-6.4575645756457826E-3</v>
      </c>
      <c r="S324" s="5">
        <f>(Cotacoes!S324-Cotacoes!S323)/Cotacoes!S323</f>
        <v>-1.1470281543274185E-2</v>
      </c>
      <c r="T324" s="5">
        <f>(Cotacoes!T324-Cotacoes!T323)/Cotacoes!T323</f>
        <v>-1.4472965592572202E-2</v>
      </c>
      <c r="U324" s="5">
        <f>(Cotacoes!U324-Cotacoes!U323)/Cotacoes!U323</f>
        <v>7.7475434618291114E-3</v>
      </c>
      <c r="V324" s="5">
        <f>(Cotacoes!V324-Cotacoes!V323)/Cotacoes!V323</f>
        <v>-8.0340264650284356E-3</v>
      </c>
      <c r="W324" s="5"/>
    </row>
    <row r="325" spans="1:23" x14ac:dyDescent="0.2">
      <c r="A325" s="4">
        <v>45034</v>
      </c>
      <c r="B325" s="5">
        <f>(Cotacoes!B325-Cotacoes!B324)/Cotacoes!B324</f>
        <v>-2.0428893905191741E-2</v>
      </c>
      <c r="C325" s="5">
        <f>(Cotacoes!C325-Cotacoes!C324)/Cotacoes!C324</f>
        <v>8.6559647466163715E-3</v>
      </c>
      <c r="D325" s="5">
        <f>(Cotacoes!D325-Cotacoes!D324)/Cotacoes!D324</f>
        <v>2.5794841031793622E-2</v>
      </c>
      <c r="E325" s="5">
        <f>(Cotacoes!E325-Cotacoes!E324)/Cotacoes!E324</f>
        <v>-4.9603174603182352E-4</v>
      </c>
      <c r="F325" s="5">
        <f>(Cotacoes!F325-Cotacoes!F324)/Cotacoes!F324</f>
        <v>2.575991756826378E-2</v>
      </c>
      <c r="G325" s="5">
        <f>(Cotacoes!G325-Cotacoes!G324)/Cotacoes!G324</f>
        <v>-5.2840158520476308E-3</v>
      </c>
      <c r="H325" s="5">
        <f>(Cotacoes!H325-Cotacoes!H324)/Cotacoes!H324</f>
        <v>2.2014309301045206E-3</v>
      </c>
      <c r="I325" s="5">
        <f>(Cotacoes!I325-Cotacoes!I324)/Cotacoes!I324</f>
        <v>2.3731048121291988E-2</v>
      </c>
      <c r="J325" s="5">
        <f>(Cotacoes!J325-Cotacoes!J324)/Cotacoes!J324</f>
        <v>-2.8594771241830037E-2</v>
      </c>
      <c r="K325" s="5">
        <f>(Cotacoes!K325-Cotacoes!K324)/Cotacoes!K324</f>
        <v>-6.1188811188811441E-3</v>
      </c>
      <c r="L325" s="5">
        <f>(Cotacoes!L325-Cotacoes!L324)/Cotacoes!L324</f>
        <v>-1.0657193605683768E-2</v>
      </c>
      <c r="M325" s="5">
        <f>(Cotacoes!M325-Cotacoes!M324)/Cotacoes!M324</f>
        <v>-8.4291187739464514E-3</v>
      </c>
      <c r="N325" s="5">
        <f>(Cotacoes!N325-Cotacoes!N324)/Cotacoes!N324</f>
        <v>0</v>
      </c>
      <c r="O325" s="5">
        <f>(Cotacoes!O325-Cotacoes!O324)/Cotacoes!O324</f>
        <v>1.7018779342722955E-2</v>
      </c>
      <c r="P325" s="5">
        <f>(Cotacoes!P325-Cotacoes!P324)/Cotacoes!P324</f>
        <v>7.839294463498292E-3</v>
      </c>
      <c r="Q325" s="5">
        <f>(Cotacoes!Q325-Cotacoes!Q324)/Cotacoes!Q324</f>
        <v>1.7612017612017604E-2</v>
      </c>
      <c r="R325" s="5">
        <f>(Cotacoes!R325-Cotacoes!R324)/Cotacoes!R324</f>
        <v>1.485608170844941E-2</v>
      </c>
      <c r="S325" s="5">
        <f>(Cotacoes!S325-Cotacoes!S324)/Cotacoes!S324</f>
        <v>-1.406469760900148E-2</v>
      </c>
      <c r="T325" s="5">
        <f>(Cotacoes!T325-Cotacoes!T324)/Cotacoes!T324</f>
        <v>-2.3552230534774211E-2</v>
      </c>
      <c r="U325" s="5">
        <f>(Cotacoes!U325-Cotacoes!U324)/Cotacoes!U324</f>
        <v>-1.7438589911869487E-2</v>
      </c>
      <c r="V325" s="5">
        <f>(Cotacoes!V325-Cotacoes!V324)/Cotacoes!V324</f>
        <v>3.4778465936160102E-2</v>
      </c>
      <c r="W325" s="5"/>
    </row>
    <row r="326" spans="1:23" x14ac:dyDescent="0.2">
      <c r="A326" s="4">
        <v>45035</v>
      </c>
      <c r="B326" s="5">
        <f>(Cotacoes!B326-Cotacoes!B325)/Cotacoes!B325</f>
        <v>1.2674271229404243E-3</v>
      </c>
      <c r="C326" s="5">
        <f>(Cotacoes!C326-Cotacoes!C325)/Cotacoes!C325</f>
        <v>-2.9177718832891317E-2</v>
      </c>
      <c r="D326" s="5">
        <f>(Cotacoes!D326-Cotacoes!D325)/Cotacoes!D325</f>
        <v>-3.2163742690058519E-2</v>
      </c>
      <c r="E326" s="5">
        <f>(Cotacoes!E326-Cotacoes!E325)/Cotacoes!E325</f>
        <v>-1.5880893300248153E-2</v>
      </c>
      <c r="F326" s="5">
        <f>(Cotacoes!F326-Cotacoes!F325)/Cotacoes!F325</f>
        <v>-3.2144650929181347E-2</v>
      </c>
      <c r="G326" s="5">
        <f>(Cotacoes!G326-Cotacoes!G325)/Cotacoes!G325</f>
        <v>-3.984063745019883E-3</v>
      </c>
      <c r="H326" s="5">
        <f>(Cotacoes!H326-Cotacoes!H325)/Cotacoes!H325</f>
        <v>-1.2081274025260979E-2</v>
      </c>
      <c r="I326" s="5">
        <f>(Cotacoes!I326-Cotacoes!I325)/Cotacoes!I325</f>
        <v>-2.0927237604636145E-2</v>
      </c>
      <c r="J326" s="5">
        <f>(Cotacoes!J326-Cotacoes!J325)/Cotacoes!J325</f>
        <v>1.1564339781328788E-2</v>
      </c>
      <c r="K326" s="5">
        <f>(Cotacoes!K326-Cotacoes!K325)/Cotacoes!K325</f>
        <v>-1.8469656992084353E-2</v>
      </c>
      <c r="L326" s="5">
        <f>(Cotacoes!L326-Cotacoes!L325)/Cotacoes!L325</f>
        <v>-2.5134649910233495E-2</v>
      </c>
      <c r="M326" s="5">
        <f>(Cotacoes!M326-Cotacoes!M325)/Cotacoes!M325</f>
        <v>-3.0911901081915878E-3</v>
      </c>
      <c r="N326" s="5">
        <f>(Cotacoes!N326-Cotacoes!N325)/Cotacoes!N325</f>
        <v>-1.0819165378670696E-2</v>
      </c>
      <c r="O326" s="5">
        <f>(Cotacoes!O326-Cotacoes!O325)/Cotacoes!O325</f>
        <v>-1.6733987305250962E-2</v>
      </c>
      <c r="P326" s="5">
        <f>(Cotacoes!P326-Cotacoes!P325)/Cotacoes!P325</f>
        <v>8.2644628099172654E-3</v>
      </c>
      <c r="Q326" s="5">
        <f>(Cotacoes!Q326-Cotacoes!Q325)/Cotacoes!Q325</f>
        <v>5.0903537795884773E-4</v>
      </c>
      <c r="R326" s="5">
        <f>(Cotacoes!R326-Cotacoes!R325)/Cotacoes!R325</f>
        <v>-3.0649588289112451E-2</v>
      </c>
      <c r="S326" s="5">
        <f>(Cotacoes!S326-Cotacoes!S325)/Cotacoes!S325</f>
        <v>-2.3537803138373756E-2</v>
      </c>
      <c r="T326" s="5">
        <f>(Cotacoes!T326-Cotacoes!T325)/Cotacoes!T325</f>
        <v>-2.8376844494892167E-2</v>
      </c>
      <c r="U326" s="5">
        <f>(Cotacoes!U326-Cotacoes!U325)/Cotacoes!U325</f>
        <v>-3.5496183206106861E-2</v>
      </c>
      <c r="V326" s="5">
        <f>(Cotacoes!V326-Cotacoes!V325)/Cotacoes!V325</f>
        <v>-2.5322283609576297E-2</v>
      </c>
      <c r="W326" s="5"/>
    </row>
    <row r="327" spans="1:23" x14ac:dyDescent="0.2">
      <c r="A327" s="4">
        <v>45036</v>
      </c>
      <c r="B327" s="5">
        <f>(Cotacoes!B327-Cotacoes!B326)/Cotacoes!B326</f>
        <v>-4.3728423475260028E-3</v>
      </c>
      <c r="C327" s="5">
        <f>(Cotacoes!C327-Cotacoes!C326)/Cotacoes!C326</f>
        <v>-2.0893603342976491E-2</v>
      </c>
      <c r="D327" s="5">
        <f>(Cotacoes!D327-Cotacoes!D326)/Cotacoes!D326</f>
        <v>6.6465256797582735E-3</v>
      </c>
      <c r="E327" s="5">
        <f>(Cotacoes!E327-Cotacoes!E326)/Cotacoes!E326</f>
        <v>3.0257186081695552E-3</v>
      </c>
      <c r="F327" s="5">
        <f>(Cotacoes!F327-Cotacoes!F326)/Cotacoes!F326</f>
        <v>3.113648157758107E-3</v>
      </c>
      <c r="G327" s="5">
        <f>(Cotacoes!G327-Cotacoes!G326)/Cotacoes!G326</f>
        <v>2.9066666666666758E-2</v>
      </c>
      <c r="H327" s="5">
        <f>(Cotacoes!H327-Cotacoes!H326)/Cotacoes!H326</f>
        <v>9.4496942745970931E-3</v>
      </c>
      <c r="I327" s="5">
        <f>(Cotacoes!I327-Cotacoes!I326)/Cotacoes!I326</f>
        <v>9.8651759289711065E-4</v>
      </c>
      <c r="J327" s="5">
        <f>(Cotacoes!J327-Cotacoes!J326)/Cotacoes!J326</f>
        <v>9.1457077530658435E-3</v>
      </c>
      <c r="K327" s="5">
        <f>(Cotacoes!K327-Cotacoes!K326)/Cotacoes!K326</f>
        <v>8.9605734767024773E-3</v>
      </c>
      <c r="L327" s="5">
        <f>(Cotacoes!L327-Cotacoes!L326)/Cotacoes!L326</f>
        <v>6.445672191528572E-3</v>
      </c>
      <c r="M327" s="5">
        <f>(Cotacoes!M327-Cotacoes!M326)/Cotacoes!M326</f>
        <v>1.5503875968991916E-3</v>
      </c>
      <c r="N327" s="5">
        <f>(Cotacoes!N327-Cotacoes!N326)/Cotacoes!N326</f>
        <v>-1.5625000000001055E-3</v>
      </c>
      <c r="O327" s="5">
        <f>(Cotacoes!O327-Cotacoes!O326)/Cotacoes!O326</f>
        <v>6.4553990610328304E-3</v>
      </c>
      <c r="P327" s="5">
        <f>(Cotacoes!P327-Cotacoes!P326)/Cotacoes!P326</f>
        <v>-2.4590163934426135E-2</v>
      </c>
      <c r="Q327" s="5">
        <f>(Cotacoes!Q327-Cotacoes!Q326)/Cotacoes!Q326</f>
        <v>-2.1622996692953481E-2</v>
      </c>
      <c r="R327" s="5">
        <f>(Cotacoes!R327-Cotacoes!R326)/Cotacoes!R326</f>
        <v>1.4629542236904139E-2</v>
      </c>
      <c r="S327" s="5">
        <f>(Cotacoes!S327-Cotacoes!S326)/Cotacoes!S326</f>
        <v>2.5931336742147586E-2</v>
      </c>
      <c r="T327" s="5">
        <f>(Cotacoes!T327-Cotacoes!T326)/Cotacoes!T326</f>
        <v>-8.469626168224274E-3</v>
      </c>
      <c r="U327" s="5">
        <f>(Cotacoes!U327-Cotacoes!U326)/Cotacoes!U326</f>
        <v>3.0470914127423806E-2</v>
      </c>
      <c r="V327" s="5">
        <f>(Cotacoes!V327-Cotacoes!V326)/Cotacoes!V326</f>
        <v>3.6372224846480845E-2</v>
      </c>
      <c r="W327" s="5"/>
    </row>
    <row r="328" spans="1:23" x14ac:dyDescent="0.2">
      <c r="A328" s="4">
        <v>45040</v>
      </c>
      <c r="B328" s="5">
        <f>(Cotacoes!B328-Cotacoes!B327)/Cotacoes!B327</f>
        <v>-9.9398982894128469E-3</v>
      </c>
      <c r="C328" s="5">
        <f>(Cotacoes!C328-Cotacoes!C327)/Cotacoes!C327</f>
        <v>-3.6112934996717048E-2</v>
      </c>
      <c r="D328" s="5">
        <f>(Cotacoes!D328-Cotacoes!D327)/Cotacoes!D327</f>
        <v>1.9207683073229308E-2</v>
      </c>
      <c r="E328" s="5">
        <f>(Cotacoes!E328-Cotacoes!E327)/Cotacoes!E327</f>
        <v>-9.0497737556560938E-3</v>
      </c>
      <c r="F328" s="5">
        <f>(Cotacoes!F328-Cotacoes!F327)/Cotacoes!F327</f>
        <v>1.551991722710816E-2</v>
      </c>
      <c r="G328" s="5">
        <f>(Cotacoes!G328-Cotacoes!G327)/Cotacoes!G327</f>
        <v>2.5913449080071081E-3</v>
      </c>
      <c r="H328" s="5">
        <f>(Cotacoes!H328-Cotacoes!H327)/Cotacoes!H327</f>
        <v>-1.651982378854688E-3</v>
      </c>
      <c r="I328" s="5">
        <f>(Cotacoes!I328-Cotacoes!I327)/Cotacoes!I327</f>
        <v>1.8396846254927685E-2</v>
      </c>
      <c r="J328" s="5">
        <f>(Cotacoes!J328-Cotacoes!J327)/Cotacoes!J327</f>
        <v>2.4716786817714637E-3</v>
      </c>
      <c r="K328" s="5">
        <f>(Cotacoes!K328-Cotacoes!K327)/Cotacoes!K327</f>
        <v>-7.9928952042628652E-3</v>
      </c>
      <c r="L328" s="5">
        <f>(Cotacoes!L328-Cotacoes!L327)/Cotacoes!L327</f>
        <v>8.2342177493138023E-3</v>
      </c>
      <c r="M328" s="5">
        <f>(Cotacoes!M328-Cotacoes!M327)/Cotacoes!M327</f>
        <v>-1.7801857585139351E-2</v>
      </c>
      <c r="N328" s="5">
        <f>(Cotacoes!N328-Cotacoes!N327)/Cotacoes!N327</f>
        <v>4.6948356807512128E-3</v>
      </c>
      <c r="O328" s="5">
        <f>(Cotacoes!O328-Cotacoes!O327)/Cotacoes!O327</f>
        <v>-2.9154518950435665E-3</v>
      </c>
      <c r="P328" s="5">
        <f>(Cotacoes!P328-Cotacoes!P327)/Cotacoes!P327</f>
        <v>-2.9658922392485775E-3</v>
      </c>
      <c r="Q328" s="5">
        <f>(Cotacoes!Q328-Cotacoes!Q327)/Cotacoes!Q327</f>
        <v>-1.5600624024961035E-2</v>
      </c>
      <c r="R328" s="5">
        <f>(Cotacoes!R328-Cotacoes!R327)/Cotacoes!R327</f>
        <v>-1.4418604651162731E-2</v>
      </c>
      <c r="S328" s="5">
        <f>(Cotacoes!S328-Cotacoes!S327)/Cotacoes!S327</f>
        <v>-1.1747953008187907E-2</v>
      </c>
      <c r="T328" s="5">
        <f>(Cotacoes!T328-Cotacoes!T327)/Cotacoes!T327</f>
        <v>3.0044182621502089E-2</v>
      </c>
      <c r="U328" s="5">
        <f>(Cotacoes!U328-Cotacoes!U327)/Cotacoes!U327</f>
        <v>-3.8402457757288829E-4</v>
      </c>
      <c r="V328" s="5">
        <f>(Cotacoes!V328-Cotacoes!V327)/Cotacoes!V327</f>
        <v>2.2789425706470899E-3</v>
      </c>
      <c r="W328" s="5"/>
    </row>
    <row r="329" spans="1:23" x14ac:dyDescent="0.2">
      <c r="A329" s="4">
        <v>45041</v>
      </c>
      <c r="B329" s="5">
        <f>(Cotacoes!B329-Cotacoes!B328)/Cotacoes!B328</f>
        <v>-4.2026616857342922E-3</v>
      </c>
      <c r="C329" s="5">
        <f>(Cotacoes!C329-Cotacoes!C328)/Cotacoes!C328</f>
        <v>-2.7247956403269779E-2</v>
      </c>
      <c r="D329" s="5">
        <f>(Cotacoes!D329-Cotacoes!D328)/Cotacoes!D328</f>
        <v>-4.1224970553592625E-3</v>
      </c>
      <c r="E329" s="5">
        <f>(Cotacoes!E329-Cotacoes!E328)/Cotacoes!E328</f>
        <v>9.1324200913241865E-3</v>
      </c>
      <c r="F329" s="5">
        <f>(Cotacoes!F329-Cotacoes!F328)/Cotacoes!F328</f>
        <v>-5.6036678553234558E-3</v>
      </c>
      <c r="G329" s="5">
        <f>(Cotacoes!G329-Cotacoes!G328)/Cotacoes!G328</f>
        <v>4.65236495218402E-3</v>
      </c>
      <c r="H329" s="5">
        <f>(Cotacoes!H329-Cotacoes!H328)/Cotacoes!H328</f>
        <v>-9.3767236624378476E-3</v>
      </c>
      <c r="I329" s="5">
        <f>(Cotacoes!I329-Cotacoes!I328)/Cotacoes!I328</f>
        <v>-4.5161290322580832E-3</v>
      </c>
      <c r="J329" s="5">
        <f>(Cotacoes!J329-Cotacoes!J328)/Cotacoes!J328</f>
        <v>2.4655845490034402E-3</v>
      </c>
      <c r="K329" s="5">
        <f>(Cotacoes!K329-Cotacoes!K328)/Cotacoes!K328</f>
        <v>2.2381378692927483E-2</v>
      </c>
      <c r="L329" s="5">
        <f>(Cotacoes!L329-Cotacoes!L328)/Cotacoes!L328</f>
        <v>3.6297640653358372E-3</v>
      </c>
      <c r="M329" s="5">
        <f>(Cotacoes!M329-Cotacoes!M328)/Cotacoes!M328</f>
        <v>-3.9401103230889628E-3</v>
      </c>
      <c r="N329" s="5">
        <f>(Cotacoes!N329-Cotacoes!N328)/Cotacoes!N328</f>
        <v>3.1152647975078601E-3</v>
      </c>
      <c r="O329" s="5">
        <f>(Cotacoes!O329-Cotacoes!O328)/Cotacoes!O328</f>
        <v>-1.4619883040935672E-2</v>
      </c>
      <c r="P329" s="5">
        <f>(Cotacoes!P329-Cotacoes!P328)/Cotacoes!P328</f>
        <v>-1.8344075359444767E-2</v>
      </c>
      <c r="Q329" s="5">
        <f>(Cotacoes!Q329-Cotacoes!Q328)/Cotacoes!Q328</f>
        <v>-2.2187004754358065E-2</v>
      </c>
      <c r="R329" s="5">
        <f>(Cotacoes!R329-Cotacoes!R328)/Cotacoes!R328</f>
        <v>1.2269938650306653E-2</v>
      </c>
      <c r="S329" s="5">
        <f>(Cotacoes!S329-Cotacoes!S328)/Cotacoes!S328</f>
        <v>-5.4034582132565607E-3</v>
      </c>
      <c r="T329" s="5">
        <f>(Cotacoes!T329-Cotacoes!T328)/Cotacoes!T328</f>
        <v>-1.0866456963111108E-2</v>
      </c>
      <c r="U329" s="5">
        <f>(Cotacoes!U329-Cotacoes!U328)/Cotacoes!U328</f>
        <v>-5.3784095274683275E-3</v>
      </c>
      <c r="V329" s="5">
        <f>(Cotacoes!V329-Cotacoes!V328)/Cotacoes!V328</f>
        <v>-1.0004547521600677E-2</v>
      </c>
      <c r="W329" s="5"/>
    </row>
    <row r="330" spans="1:23" x14ac:dyDescent="0.2">
      <c r="A330" s="4">
        <v>45042</v>
      </c>
      <c r="B330" s="5">
        <f>(Cotacoes!B330-Cotacoes!B329)/Cotacoes!B329</f>
        <v>1.7584994138335954E-3</v>
      </c>
      <c r="C330" s="5">
        <f>(Cotacoes!C330-Cotacoes!C329)/Cotacoes!C329</f>
        <v>3.8515406162466033E-3</v>
      </c>
      <c r="D330" s="5">
        <f>(Cotacoes!D330-Cotacoes!D329)/Cotacoes!D329</f>
        <v>-1.2418687167356644E-2</v>
      </c>
      <c r="E330" s="5">
        <f>(Cotacoes!E330-Cotacoes!E329)/Cotacoes!E329</f>
        <v>-1.0558069381598836E-2</v>
      </c>
      <c r="F330" s="5">
        <f>(Cotacoes!F330-Cotacoes!F329)/Cotacoes!F329</f>
        <v>-1.3831967213114733E-2</v>
      </c>
      <c r="G330" s="5">
        <f>(Cotacoes!G330-Cotacoes!G329)/Cotacoes!G329</f>
        <v>-1.0547980447645912E-2</v>
      </c>
      <c r="H330" s="5">
        <f>(Cotacoes!H330-Cotacoes!H329)/Cotacoes!H329</f>
        <v>-8.351893095768493E-3</v>
      </c>
      <c r="I330" s="5">
        <f>(Cotacoes!I330-Cotacoes!I329)/Cotacoes!I329</f>
        <v>-5.8327932598833346E-3</v>
      </c>
      <c r="J330" s="5">
        <f>(Cotacoes!J330-Cotacoes!J329)/Cotacoes!J329</f>
        <v>-1.762656282025004E-2</v>
      </c>
      <c r="K330" s="5">
        <f>(Cotacoes!K330-Cotacoes!K329)/Cotacoes!K329</f>
        <v>-1.4886164623467594E-2</v>
      </c>
      <c r="L330" s="5">
        <f>(Cotacoes!L330-Cotacoes!L329)/Cotacoes!L329</f>
        <v>-4.7016274864376248E-2</v>
      </c>
      <c r="M330" s="5">
        <f>(Cotacoes!M330-Cotacoes!M329)/Cotacoes!M329</f>
        <v>-5.5379746835443264E-3</v>
      </c>
      <c r="N330" s="5">
        <f>(Cotacoes!N330-Cotacoes!N329)/Cotacoes!N329</f>
        <v>-1.2422360248447215E-2</v>
      </c>
      <c r="O330" s="5">
        <f>(Cotacoes!O330-Cotacoes!O329)/Cotacoes!O329</f>
        <v>-1.4243323442136616E-2</v>
      </c>
      <c r="P330" s="5">
        <f>(Cotacoes!P330-Cotacoes!P329)/Cotacoes!P329</f>
        <v>-8.0808080808080877E-3</v>
      </c>
      <c r="Q330" s="5">
        <f>(Cotacoes!Q330-Cotacoes!Q329)/Cotacoes!Q329</f>
        <v>-1.377633711507307E-2</v>
      </c>
      <c r="R330" s="5">
        <f>(Cotacoes!R330-Cotacoes!R329)/Cotacoes!R329</f>
        <v>-1.3519813519813481E-2</v>
      </c>
      <c r="S330" s="5">
        <f>(Cotacoes!S330-Cotacoes!S329)/Cotacoes!S329</f>
        <v>-1.0141253169141657E-2</v>
      </c>
      <c r="T330" s="5">
        <f>(Cotacoes!T330-Cotacoes!T329)/Cotacoes!T329</f>
        <v>-3.2957502168256735E-2</v>
      </c>
      <c r="U330" s="5">
        <f>(Cotacoes!U330-Cotacoes!U329)/Cotacoes!U329</f>
        <v>7.1456160679798653E-3</v>
      </c>
      <c r="V330" s="5">
        <f>(Cotacoes!V330-Cotacoes!V329)/Cotacoes!V329</f>
        <v>-9.1869545245749072E-4</v>
      </c>
      <c r="W330" s="5"/>
    </row>
    <row r="331" spans="1:23" x14ac:dyDescent="0.2">
      <c r="A331" s="4">
        <v>45043</v>
      </c>
      <c r="B331" s="5">
        <f>(Cotacoes!B331-Cotacoes!B330)/Cotacoes!B330</f>
        <v>1.6032767700409484E-2</v>
      </c>
      <c r="C331" s="5">
        <f>(Cotacoes!C331-Cotacoes!C330)/Cotacoes!C330</f>
        <v>2.127659574468083E-2</v>
      </c>
      <c r="D331" s="5">
        <f>(Cotacoes!D331-Cotacoes!D330)/Cotacoes!D330</f>
        <v>-2.4550898203592825E-2</v>
      </c>
      <c r="E331" s="5">
        <f>(Cotacoes!E331-Cotacoes!E330)/Cotacoes!E330</f>
        <v>1.7784552845528528E-2</v>
      </c>
      <c r="F331" s="5">
        <f>(Cotacoes!F331-Cotacoes!F330)/Cotacoes!F330</f>
        <v>-2.7012987012986992E-2</v>
      </c>
      <c r="G331" s="5">
        <f>(Cotacoes!G331-Cotacoes!G330)/Cotacoes!G330</f>
        <v>5.9802392095683011E-3</v>
      </c>
      <c r="H331" s="5">
        <f>(Cotacoes!H331-Cotacoes!H330)/Cotacoes!H330</f>
        <v>1.1229646266142379E-3</v>
      </c>
      <c r="I331" s="5">
        <f>(Cotacoes!I331-Cotacoes!I330)/Cotacoes!I330</f>
        <v>3.5853976531942449E-3</v>
      </c>
      <c r="J331" s="5">
        <f>(Cotacoes!J331-Cotacoes!J330)/Cotacoes!J330</f>
        <v>-3.1295639474233257E-2</v>
      </c>
      <c r="K331" s="5">
        <f>(Cotacoes!K331-Cotacoes!K330)/Cotacoes!K330</f>
        <v>1.9555555555555611E-2</v>
      </c>
      <c r="L331" s="5">
        <f>(Cotacoes!L331-Cotacoes!L330)/Cotacoes!L330</f>
        <v>2.0872865275142378E-2</v>
      </c>
      <c r="M331" s="5">
        <f>(Cotacoes!M331-Cotacoes!M330)/Cotacoes!M330</f>
        <v>-3.1821797931583869E-3</v>
      </c>
      <c r="N331" s="5">
        <f>(Cotacoes!N331-Cotacoes!N330)/Cotacoes!N330</f>
        <v>1.2578616352201269E-2</v>
      </c>
      <c r="O331" s="5">
        <f>(Cotacoes!O331-Cotacoes!O330)/Cotacoes!O330</f>
        <v>2.468392534617701E-2</v>
      </c>
      <c r="P331" s="5">
        <f>(Cotacoes!P331-Cotacoes!P330)/Cotacoes!P330</f>
        <v>-2.3930753564154729E-2</v>
      </c>
      <c r="Q331" s="5">
        <f>(Cotacoes!Q331-Cotacoes!Q330)/Cotacoes!Q330</f>
        <v>-6.8474390577923858E-3</v>
      </c>
      <c r="R331" s="5">
        <f>(Cotacoes!R331-Cotacoes!R330)/Cotacoes!R330</f>
        <v>3.3553875236294939E-2</v>
      </c>
      <c r="S331" s="5">
        <f>(Cotacoes!S331-Cotacoes!S330)/Cotacoes!S330</f>
        <v>-4.7566776436150388E-3</v>
      </c>
      <c r="T331" s="5">
        <f>(Cotacoes!T331-Cotacoes!T330)/Cotacoes!T330</f>
        <v>4.1853512705530812E-3</v>
      </c>
      <c r="U331" s="5">
        <f>(Cotacoes!U331-Cotacoes!U330)/Cotacoes!U330</f>
        <v>1.8408437200383525E-2</v>
      </c>
      <c r="V331" s="5">
        <f>(Cotacoes!V331-Cotacoes!V330)/Cotacoes!V330</f>
        <v>-1.3333333333333294E-2</v>
      </c>
      <c r="W331" s="5"/>
    </row>
    <row r="332" spans="1:23" x14ac:dyDescent="0.2">
      <c r="A332" s="4">
        <v>45044</v>
      </c>
      <c r="B332" s="5">
        <f>(Cotacoes!B332-Cotacoes!B331)/Cotacoes!B331</f>
        <v>-2.1078092605390446E-2</v>
      </c>
      <c r="C332" s="5">
        <f>(Cotacoes!C332-Cotacoes!C331)/Cotacoes!C331</f>
        <v>8.8797814207649591E-3</v>
      </c>
      <c r="D332" s="5">
        <f>(Cotacoes!D332-Cotacoes!D331)/Cotacoes!D331</f>
        <v>2.2713321055862556E-2</v>
      </c>
      <c r="E332" s="5">
        <f>(Cotacoes!E332-Cotacoes!E331)/Cotacoes!E331</f>
        <v>4.9925112331501683E-3</v>
      </c>
      <c r="F332" s="5">
        <f>(Cotacoes!F332-Cotacoes!F331)/Cotacoes!F331</f>
        <v>2.7229044313934758E-2</v>
      </c>
      <c r="G332" s="5">
        <f>(Cotacoes!G332-Cotacoes!G331)/Cotacoes!G331</f>
        <v>1.886792452830199E-2</v>
      </c>
      <c r="H332" s="5">
        <f>(Cotacoes!H332-Cotacoes!H331)/Cotacoes!H331</f>
        <v>3.3651149747617654E-3</v>
      </c>
      <c r="I332" s="5">
        <f>(Cotacoes!I332-Cotacoes!I331)/Cotacoes!I331</f>
        <v>-2.2734654108476872E-3</v>
      </c>
      <c r="J332" s="5">
        <f>(Cotacoes!J332-Cotacoes!J331)/Cotacoes!J331</f>
        <v>-6.4613396510875979E-3</v>
      </c>
      <c r="K332" s="5">
        <f>(Cotacoes!K332-Cotacoes!K331)/Cotacoes!K331</f>
        <v>6.1028770706188758E-3</v>
      </c>
      <c r="L332" s="5">
        <f>(Cotacoes!L332-Cotacoes!L331)/Cotacoes!L331</f>
        <v>1.6728624535315959E-2</v>
      </c>
      <c r="M332" s="5">
        <f>(Cotacoes!M332-Cotacoes!M331)/Cotacoes!M331</f>
        <v>0</v>
      </c>
      <c r="N332" s="5">
        <f>(Cotacoes!N332-Cotacoes!N331)/Cotacoes!N331</f>
        <v>1.086956521739121E-2</v>
      </c>
      <c r="O332" s="5">
        <f>(Cotacoes!O332-Cotacoes!O331)/Cotacoes!O331</f>
        <v>5.1703877790834255E-2</v>
      </c>
      <c r="P332" s="5">
        <f>(Cotacoes!P332-Cotacoes!P331)/Cotacoes!P331</f>
        <v>1.1997913406363947E-2</v>
      </c>
      <c r="Q332" s="5">
        <f>(Cotacoes!Q332-Cotacoes!Q331)/Cotacoes!Q331</f>
        <v>4.7435190292333118E-2</v>
      </c>
      <c r="R332" s="5">
        <f>(Cotacoes!R332-Cotacoes!R331)/Cotacoes!R331</f>
        <v>1.188843164151797E-2</v>
      </c>
      <c r="S332" s="5">
        <f>(Cotacoes!S332-Cotacoes!S331)/Cotacoes!S331</f>
        <v>5.1470588235294325E-3</v>
      </c>
      <c r="T332" s="5">
        <f>(Cotacoes!T332-Cotacoes!T331)/Cotacoes!T331</f>
        <v>3.2747841619529448E-2</v>
      </c>
      <c r="U332" s="5">
        <f>(Cotacoes!U332-Cotacoes!U331)/Cotacoes!U331</f>
        <v>6.4018075691960729E-3</v>
      </c>
      <c r="V332" s="5">
        <f>(Cotacoes!V332-Cotacoes!V331)/Cotacoes!V331</f>
        <v>1.6775396085740885E-2</v>
      </c>
      <c r="W332" s="5"/>
    </row>
    <row r="333" spans="1:23" x14ac:dyDescent="0.2">
      <c r="A333" s="4">
        <v>45048</v>
      </c>
      <c r="B333" s="5">
        <f>(Cotacoes!B333-Cotacoes!B332)/Cotacoes!B332</f>
        <v>-4.7064360512992168E-4</v>
      </c>
      <c r="C333" s="5">
        <f>(Cotacoes!C333-Cotacoes!C332)/Cotacoes!C332</f>
        <v>-3.9438050101557182E-2</v>
      </c>
      <c r="D333" s="5">
        <f>(Cotacoes!D333-Cotacoes!D332)/Cotacoes!D332</f>
        <v>-4.0216086434573826E-2</v>
      </c>
      <c r="E333" s="5">
        <f>(Cotacoes!E333-Cotacoes!E332)/Cotacoes!E332</f>
        <v>-3.8748137108792727E-2</v>
      </c>
      <c r="F333" s="5">
        <f>(Cotacoes!F333-Cotacoes!F332)/Cotacoes!F332</f>
        <v>-4.4698544698544673E-2</v>
      </c>
      <c r="G333" s="5">
        <f>(Cotacoes!G333-Cotacoes!G332)/Cotacoes!G332</f>
        <v>-7.1029934043632956E-3</v>
      </c>
      <c r="H333" s="5">
        <f>(Cotacoes!H333-Cotacoes!H332)/Cotacoes!H332</f>
        <v>-2.3476802683063257E-2</v>
      </c>
      <c r="I333" s="5">
        <f>(Cotacoes!I333-Cotacoes!I332)/Cotacoes!I332</f>
        <v>-9.4401041666666401E-3</v>
      </c>
      <c r="J333" s="5">
        <f>(Cotacoes!J333-Cotacoes!J332)/Cotacoes!J332</f>
        <v>-3.5768480381530576E-2</v>
      </c>
      <c r="K333" s="5">
        <f>(Cotacoes!K333-Cotacoes!K332)/Cotacoes!K332</f>
        <v>-1.386481802426329E-2</v>
      </c>
      <c r="L333" s="5">
        <f>(Cotacoes!L333-Cotacoes!L332)/Cotacoes!L332</f>
        <v>-2.9250457038391253E-2</v>
      </c>
      <c r="M333" s="5">
        <f>(Cotacoes!M333-Cotacoes!M332)/Cotacoes!M332</f>
        <v>7.182761372705496E-3</v>
      </c>
      <c r="N333" s="5">
        <f>(Cotacoes!N333-Cotacoes!N332)/Cotacoes!N332</f>
        <v>-3.5330261136712678E-2</v>
      </c>
      <c r="O333" s="5">
        <f>(Cotacoes!O333-Cotacoes!O332)/Cotacoes!O332</f>
        <v>-2.8491620111731734E-2</v>
      </c>
      <c r="P333" s="5">
        <f>(Cotacoes!P333-Cotacoes!P332)/Cotacoes!P332</f>
        <v>-1.0309278350515427E-2</v>
      </c>
      <c r="Q333" s="5">
        <f>(Cotacoes!Q333-Cotacoes!Q332)/Cotacoes!Q332</f>
        <v>2.2116903633491402E-2</v>
      </c>
      <c r="R333" s="5">
        <f>(Cotacoes!R333-Cotacoes!R332)/Cotacoes!R332</f>
        <v>-3.6150022593764153E-2</v>
      </c>
      <c r="S333" s="5">
        <f>(Cotacoes!S333-Cotacoes!S332)/Cotacoes!S332</f>
        <v>-2.3408924652523797E-2</v>
      </c>
      <c r="T333" s="5">
        <f>(Cotacoes!T333-Cotacoes!T332)/Cotacoes!T332</f>
        <v>-3.5168636494667019E-2</v>
      </c>
      <c r="U333" s="5">
        <f>(Cotacoes!U333-Cotacoes!U332)/Cotacoes!U332</f>
        <v>-3.4050514499532274E-2</v>
      </c>
      <c r="V333" s="5">
        <f>(Cotacoes!V333-Cotacoes!V332)/Cotacoes!V332</f>
        <v>-2.3373052245646269E-2</v>
      </c>
      <c r="W333" s="5"/>
    </row>
    <row r="334" spans="1:23" x14ac:dyDescent="0.2">
      <c r="A334" s="4">
        <v>45049</v>
      </c>
      <c r="B334" s="5">
        <f>(Cotacoes!B334-Cotacoes!B333)/Cotacoes!B333</f>
        <v>4.8263684520305659E-3</v>
      </c>
      <c r="C334" s="5">
        <f>(Cotacoes!C334-Cotacoes!C333)/Cotacoes!C333</f>
        <v>-7.9295154185022535E-3</v>
      </c>
      <c r="D334" s="5">
        <f>(Cotacoes!D334-Cotacoes!D333)/Cotacoes!D333</f>
        <v>-3.7523452157598811E-3</v>
      </c>
      <c r="E334" s="5">
        <f>(Cotacoes!E334-Cotacoes!E333)/Cotacoes!E333</f>
        <v>-1.5503875968992835E-3</v>
      </c>
      <c r="F334" s="5">
        <f>(Cotacoes!F334-Cotacoes!F333)/Cotacoes!F333</f>
        <v>-5.4406964091402539E-3</v>
      </c>
      <c r="G334" s="5">
        <f>(Cotacoes!G334-Cotacoes!G333)/Cotacoes!G333</f>
        <v>-2.2483392948390458E-2</v>
      </c>
      <c r="H334" s="5">
        <f>(Cotacoes!H334-Cotacoes!H333)/Cotacoes!H333</f>
        <v>-3.4344590726959772E-3</v>
      </c>
      <c r="I334" s="5">
        <f>(Cotacoes!I334-Cotacoes!I333)/Cotacoes!I333</f>
        <v>-1.1830430496220816E-2</v>
      </c>
      <c r="J334" s="5">
        <f>(Cotacoes!J334-Cotacoes!J333)/Cotacoes!J333</f>
        <v>-8.093525179856103E-3</v>
      </c>
      <c r="K334" s="5">
        <f>(Cotacoes!K334-Cotacoes!K333)/Cotacoes!K333</f>
        <v>7.9086115992969986E-3</v>
      </c>
      <c r="L334" s="5">
        <f>(Cotacoes!L334-Cotacoes!L333)/Cotacoes!L333</f>
        <v>1.6007532956685493E-2</v>
      </c>
      <c r="M334" s="5">
        <f>(Cotacoes!M334-Cotacoes!M333)/Cotacoes!M333</f>
        <v>2.2187004754358253E-2</v>
      </c>
      <c r="N334" s="5">
        <f>(Cotacoes!N334-Cotacoes!N333)/Cotacoes!N333</f>
        <v>-1.5923566878981966E-3</v>
      </c>
      <c r="O334" s="5">
        <f>(Cotacoes!O334-Cotacoes!O333)/Cotacoes!O333</f>
        <v>1.3801035077630731E-2</v>
      </c>
      <c r="P334" s="5">
        <f>(Cotacoes!P334-Cotacoes!P333)/Cotacoes!P333</f>
        <v>-2.5000000000000022E-2</v>
      </c>
      <c r="Q334" s="5">
        <f>(Cotacoes!Q334-Cotacoes!Q333)/Cotacoes!Q333</f>
        <v>-1.4167954662545007E-2</v>
      </c>
      <c r="R334" s="5">
        <f>(Cotacoes!R334-Cotacoes!R333)/Cotacoes!R333</f>
        <v>3.7505860290671287E-3</v>
      </c>
      <c r="S334" s="5">
        <f>(Cotacoes!S334-Cotacoes!S333)/Cotacoes!S333</f>
        <v>-1.1235955056179803E-2</v>
      </c>
      <c r="T334" s="5">
        <f>(Cotacoes!T334-Cotacoes!T333)/Cotacoes!T333</f>
        <v>1.7328951299671297E-2</v>
      </c>
      <c r="U334" s="5">
        <f>(Cotacoes!U334-Cotacoes!U333)/Cotacoes!U333</f>
        <v>1.1040092969203956E-2</v>
      </c>
      <c r="V334" s="5">
        <f>(Cotacoes!V334-Cotacoes!V333)/Cotacoes!V333</f>
        <v>-1.4077897700609909E-2</v>
      </c>
      <c r="W334" s="5"/>
    </row>
    <row r="335" spans="1:23" x14ac:dyDescent="0.2">
      <c r="A335" s="4">
        <v>45050</v>
      </c>
      <c r="B335" s="5">
        <f>(Cotacoes!B335-Cotacoes!B334)/Cotacoes!B334</f>
        <v>2.5070290534208065E-2</v>
      </c>
      <c r="C335" s="5">
        <f>(Cotacoes!C335-Cotacoes!C334)/Cotacoes!C334</f>
        <v>-3.0905861456483035E-2</v>
      </c>
      <c r="D335" s="5">
        <f>(Cotacoes!D335-Cotacoes!D334)/Cotacoes!D334</f>
        <v>1.6321406151914724E-2</v>
      </c>
      <c r="E335" s="5">
        <f>(Cotacoes!E335-Cotacoes!E334)/Cotacoes!E334</f>
        <v>8.2815734989648108E-3</v>
      </c>
      <c r="F335" s="5">
        <f>(Cotacoes!F335-Cotacoes!F334)/Cotacoes!F334</f>
        <v>1.4770240700218795E-2</v>
      </c>
      <c r="G335" s="5">
        <f>(Cotacoes!G335-Cotacoes!G334)/Cotacoes!G334</f>
        <v>-1.5159435441714541E-2</v>
      </c>
      <c r="H335" s="5">
        <f>(Cotacoes!H335-Cotacoes!H334)/Cotacoes!H334</f>
        <v>1.1487650775416386E-2</v>
      </c>
      <c r="I335" s="5">
        <f>(Cotacoes!I335-Cotacoes!I334)/Cotacoes!I334</f>
        <v>1.8290655138011331E-2</v>
      </c>
      <c r="J335" s="5">
        <f>(Cotacoes!J335-Cotacoes!J334)/Cotacoes!J334</f>
        <v>4.5557570262919428E-2</v>
      </c>
      <c r="K335" s="5">
        <f>(Cotacoes!K335-Cotacoes!K334)/Cotacoes!K334</f>
        <v>2.3539668700958985E-2</v>
      </c>
      <c r="L335" s="5">
        <f>(Cotacoes!L335-Cotacoes!L334)/Cotacoes!L334</f>
        <v>2.7803521779425463E-2</v>
      </c>
      <c r="M335" s="5">
        <f>(Cotacoes!M335-Cotacoes!M334)/Cotacoes!M334</f>
        <v>3.1007751937983832E-3</v>
      </c>
      <c r="N335" s="5">
        <f>(Cotacoes!N335-Cotacoes!N334)/Cotacoes!N334</f>
        <v>1.4354066985646053E-2</v>
      </c>
      <c r="O335" s="5">
        <f>(Cotacoes!O335-Cotacoes!O334)/Cotacoes!O334</f>
        <v>1.8150879183210455E-2</v>
      </c>
      <c r="P335" s="5">
        <f>(Cotacoes!P335-Cotacoes!P334)/Cotacoes!P334</f>
        <v>-9.7222222222222238E-2</v>
      </c>
      <c r="Q335" s="5">
        <f>(Cotacoes!Q335-Cotacoes!Q334)/Cotacoes!Q334</f>
        <v>-1.2542461458061248E-2</v>
      </c>
      <c r="R335" s="5">
        <f>(Cotacoes!R335-Cotacoes!R334)/Cotacoes!R334</f>
        <v>2.3820644558617543E-2</v>
      </c>
      <c r="S335" s="5">
        <f>(Cotacoes!S335-Cotacoes!S334)/Cotacoes!S334</f>
        <v>2.6515151515151623E-2</v>
      </c>
      <c r="T335" s="5">
        <f>(Cotacoes!T335-Cotacoes!T334)/Cotacoes!T334</f>
        <v>-4.1116005873715084E-2</v>
      </c>
      <c r="U335" s="5">
        <f>(Cotacoes!U335-Cotacoes!U334)/Cotacoes!U334</f>
        <v>1.6666666666666618E-2</v>
      </c>
      <c r="V335" s="5">
        <f>(Cotacoes!V335-Cotacoes!V334)/Cotacoes!V334</f>
        <v>3.5221323179438283E-2</v>
      </c>
      <c r="W335" s="5"/>
    </row>
    <row r="336" spans="1:23" x14ac:dyDescent="0.2">
      <c r="A336" s="4">
        <v>45051</v>
      </c>
      <c r="B336" s="5">
        <f>(Cotacoes!B336-Cotacoes!B335)/Cotacoes!B335</f>
        <v>9.1428571428571106E-3</v>
      </c>
      <c r="C336" s="5">
        <f>(Cotacoes!C336-Cotacoes!C335)/Cotacoes!C335</f>
        <v>3.2624633431085064E-2</v>
      </c>
      <c r="D336" s="5">
        <f>(Cotacoes!D336-Cotacoes!D335)/Cotacoes!D335</f>
        <v>4.2618900555898558E-2</v>
      </c>
      <c r="E336" s="5">
        <f>(Cotacoes!E336-Cotacoes!E335)/Cotacoes!E335</f>
        <v>3.6960985626283312E-2</v>
      </c>
      <c r="F336" s="5">
        <f>(Cotacoes!F336-Cotacoes!F335)/Cotacoes!F335</f>
        <v>4.2048517520215503E-2</v>
      </c>
      <c r="G336" s="5">
        <f>(Cotacoes!G336-Cotacoes!G335)/Cotacoes!G335</f>
        <v>-2.1231422505307404E-3</v>
      </c>
      <c r="H336" s="5">
        <f>(Cotacoes!H336-Cotacoes!H335)/Cotacoes!H335</f>
        <v>2.5553662691652431E-2</v>
      </c>
      <c r="I336" s="5">
        <f>(Cotacoes!I336-Cotacoes!I335)/Cotacoes!I335</f>
        <v>6.5316786414108194E-3</v>
      </c>
      <c r="J336" s="5">
        <f>(Cotacoes!J336-Cotacoes!J335)/Cotacoes!J335</f>
        <v>-6.2865814003901831E-3</v>
      </c>
      <c r="K336" s="5">
        <f>(Cotacoes!K336-Cotacoes!K335)/Cotacoes!K335</f>
        <v>5.0255536626916508E-2</v>
      </c>
      <c r="L336" s="5">
        <f>(Cotacoes!L336-Cotacoes!L335)/Cotacoes!L335</f>
        <v>5.5004508566275874E-2</v>
      </c>
      <c r="M336" s="5">
        <f>(Cotacoes!M336-Cotacoes!M335)/Cotacoes!M335</f>
        <v>-9.2735703245749018E-3</v>
      </c>
      <c r="N336" s="5">
        <f>(Cotacoes!N336-Cotacoes!N335)/Cotacoes!N335</f>
        <v>2.9874213836477908E-2</v>
      </c>
      <c r="O336" s="5">
        <f>(Cotacoes!O336-Cotacoes!O335)/Cotacoes!O335</f>
        <v>1.8384401114206233E-2</v>
      </c>
      <c r="P336" s="5">
        <f>(Cotacoes!P336-Cotacoes!P335)/Cotacoes!P335</f>
        <v>-2.4852071005917051E-2</v>
      </c>
      <c r="Q336" s="5">
        <f>(Cotacoes!Q336-Cotacoes!Q335)/Cotacoes!Q335</f>
        <v>5.0807091823233709E-2</v>
      </c>
      <c r="R336" s="5">
        <f>(Cotacoes!R336-Cotacoes!R335)/Cotacoes!R335</f>
        <v>2.874087591240871E-2</v>
      </c>
      <c r="S336" s="5">
        <f>(Cotacoes!S336-Cotacoes!S335)/Cotacoes!S335</f>
        <v>1.2177121771217648E-2</v>
      </c>
      <c r="T336" s="5">
        <f>(Cotacoes!T336-Cotacoes!T335)/Cotacoes!T335</f>
        <v>4.8698315467075141E-2</v>
      </c>
      <c r="U336" s="5">
        <f>(Cotacoes!U336-Cotacoes!U335)/Cotacoes!U335</f>
        <v>1.3190126248351287E-2</v>
      </c>
      <c r="V336" s="5">
        <f>(Cotacoes!V336-Cotacoes!V335)/Cotacoes!V335</f>
        <v>4.4137931034482797E-2</v>
      </c>
      <c r="W336" s="5"/>
    </row>
    <row r="337" spans="1:23" x14ac:dyDescent="0.2">
      <c r="A337" s="4">
        <v>45054</v>
      </c>
      <c r="B337" s="5">
        <f>(Cotacoes!B337-Cotacoes!B336)/Cotacoes!B336</f>
        <v>8.493771234428087E-3</v>
      </c>
      <c r="C337" s="5">
        <f>(Cotacoes!C337-Cotacoes!C336)/Cotacoes!C336</f>
        <v>1.3489527866524636E-2</v>
      </c>
      <c r="D337" s="5">
        <f>(Cotacoes!D337-Cotacoes!D336)/Cotacoes!D336</f>
        <v>2.073459715639819E-2</v>
      </c>
      <c r="E337" s="5">
        <f>(Cotacoes!E337-Cotacoes!E336)/Cotacoes!E336</f>
        <v>1.3861386138613919E-2</v>
      </c>
      <c r="F337" s="5">
        <f>(Cotacoes!F337-Cotacoes!F336)/Cotacoes!F336</f>
        <v>1.6037247801345179E-2</v>
      </c>
      <c r="G337" s="5">
        <f>(Cotacoes!G337-Cotacoes!G336)/Cotacoes!G336</f>
        <v>-5.3191489361710444E-4</v>
      </c>
      <c r="H337" s="5">
        <f>(Cotacoes!H337-Cotacoes!H336)/Cotacoes!H336</f>
        <v>-3.875968992248078E-3</v>
      </c>
      <c r="I337" s="5">
        <f>(Cotacoes!I337-Cotacoes!I336)/Cotacoes!I336</f>
        <v>-1.687216093445813E-2</v>
      </c>
      <c r="J337" s="5">
        <f>(Cotacoes!J337-Cotacoes!J336)/Cotacoes!J336</f>
        <v>2.3996509598603714E-3</v>
      </c>
      <c r="K337" s="5">
        <f>(Cotacoes!K337-Cotacoes!K336)/Cotacoes!K336</f>
        <v>3.6496350364963445E-2</v>
      </c>
      <c r="L337" s="5">
        <f>(Cotacoes!L337-Cotacoes!L336)/Cotacoes!L336</f>
        <v>-3.4188034188033459E-3</v>
      </c>
      <c r="M337" s="5">
        <f>(Cotacoes!M337-Cotacoes!M336)/Cotacoes!M336</f>
        <v>1.5600624024960665E-3</v>
      </c>
      <c r="N337" s="5">
        <f>(Cotacoes!N337-Cotacoes!N336)/Cotacoes!N336</f>
        <v>7.6335877862595148E-3</v>
      </c>
      <c r="O337" s="5">
        <f>(Cotacoes!O337-Cotacoes!O336)/Cotacoes!O336</f>
        <v>-2.6258205689277923E-2</v>
      </c>
      <c r="P337" s="5">
        <f>(Cotacoes!P337-Cotacoes!P336)/Cotacoes!P336</f>
        <v>-6.0679611650486295E-3</v>
      </c>
      <c r="Q337" s="5">
        <f>(Cotacoes!Q337-Cotacoes!Q336)/Cotacoes!Q336</f>
        <v>6.0438176781667588E-3</v>
      </c>
      <c r="R337" s="5">
        <f>(Cotacoes!R337-Cotacoes!R336)/Cotacoes!R336</f>
        <v>1.1529933481152905E-2</v>
      </c>
      <c r="S337" s="5">
        <f>(Cotacoes!S337-Cotacoes!S336)/Cotacoes!S336</f>
        <v>1.4582573824279675E-3</v>
      </c>
      <c r="T337" s="5">
        <f>(Cotacoes!T337-Cotacoes!T336)/Cotacoes!T336</f>
        <v>6.1331775700934829E-3</v>
      </c>
      <c r="U337" s="5">
        <f>(Cotacoes!U337-Cotacoes!U336)/Cotacoes!U336</f>
        <v>-2.9756369722894493E-3</v>
      </c>
      <c r="V337" s="5">
        <f>(Cotacoes!V337-Cotacoes!V336)/Cotacoes!V336</f>
        <v>-3.9630118890356609E-3</v>
      </c>
      <c r="W337" s="5"/>
    </row>
    <row r="338" spans="1:23" x14ac:dyDescent="0.2">
      <c r="A338" s="4">
        <v>45055</v>
      </c>
      <c r="B338" s="5">
        <f>(Cotacoes!B338-Cotacoes!B337)/Cotacoes!B337</f>
        <v>3.1443009545199453E-3</v>
      </c>
      <c r="C338" s="5">
        <f>(Cotacoes!C338-Cotacoes!C337)/Cotacoes!C337</f>
        <v>1.0157618213660215E-2</v>
      </c>
      <c r="D338" s="5">
        <f>(Cotacoes!D338-Cotacoes!D337)/Cotacoes!D337</f>
        <v>3.4822983168890727E-3</v>
      </c>
      <c r="E338" s="5">
        <f>(Cotacoes!E338-Cotacoes!E337)/Cotacoes!E337</f>
        <v>5.8593750000000486E-3</v>
      </c>
      <c r="F338" s="5">
        <f>(Cotacoes!F338-Cotacoes!F337)/Cotacoes!F337</f>
        <v>7.6374745417514553E-3</v>
      </c>
      <c r="G338" s="5">
        <f>(Cotacoes!G338-Cotacoes!G337)/Cotacoes!G337</f>
        <v>1.7030335284725934E-2</v>
      </c>
      <c r="H338" s="5">
        <f>(Cotacoes!H338-Cotacoes!H337)/Cotacoes!H337</f>
        <v>-3.3351862145635756E-3</v>
      </c>
      <c r="I338" s="5">
        <f>(Cotacoes!I338-Cotacoes!I337)/Cotacoes!I337</f>
        <v>4.1254125412541254E-2</v>
      </c>
      <c r="J338" s="5">
        <f>(Cotacoes!J338-Cotacoes!J337)/Cotacoes!J337</f>
        <v>4.1349292709466313E-3</v>
      </c>
      <c r="K338" s="5">
        <f>(Cotacoes!K338-Cotacoes!K337)/Cotacoes!K337</f>
        <v>-9.3896713615022869E-3</v>
      </c>
      <c r="L338" s="5">
        <f>(Cotacoes!L338-Cotacoes!L337)/Cotacoes!L337</f>
        <v>9.4339622641508945E-3</v>
      </c>
      <c r="M338" s="5">
        <f>(Cotacoes!M338-Cotacoes!M337)/Cotacoes!M337</f>
        <v>-7.7881619937693043E-4</v>
      </c>
      <c r="N338" s="5">
        <f>(Cotacoes!N338-Cotacoes!N337)/Cotacoes!N337</f>
        <v>4.5454545454545834E-3</v>
      </c>
      <c r="O338" s="5">
        <f>(Cotacoes!O338-Cotacoes!O337)/Cotacoes!O337</f>
        <v>-5.6179775280907653E-4</v>
      </c>
      <c r="P338" s="5">
        <f>(Cotacoes!P338-Cotacoes!P337)/Cotacoes!P337</f>
        <v>3.0525030525030959E-3</v>
      </c>
      <c r="Q338" s="5">
        <f>(Cotacoes!Q338-Cotacoes!Q337)/Cotacoes!Q337</f>
        <v>-8.7609511889862671E-3</v>
      </c>
      <c r="R338" s="5">
        <f>(Cotacoes!R338-Cotacoes!R337)/Cotacoes!R337</f>
        <v>1.4905743095133707E-2</v>
      </c>
      <c r="S338" s="5">
        <f>(Cotacoes!S338-Cotacoes!S337)/Cotacoes!S337</f>
        <v>1.2013105205678991E-2</v>
      </c>
      <c r="T338" s="5">
        <f>(Cotacoes!T338-Cotacoes!T337)/Cotacoes!T337</f>
        <v>2.9027576197385866E-3</v>
      </c>
      <c r="U338" s="5">
        <f>(Cotacoes!U338-Cotacoes!U337)/Cotacoes!U337</f>
        <v>1.2870733072187982E-2</v>
      </c>
      <c r="V338" s="5">
        <f>(Cotacoes!V338-Cotacoes!V337)/Cotacoes!V337</f>
        <v>3.2272325375773667E-2</v>
      </c>
      <c r="W338" s="5"/>
    </row>
    <row r="339" spans="1:23" x14ac:dyDescent="0.2">
      <c r="A339" s="4">
        <v>45056</v>
      </c>
      <c r="B339" s="5">
        <f>(Cotacoes!B339-Cotacoes!B338)/Cotacoes!B338</f>
        <v>-2.3508339863427042E-3</v>
      </c>
      <c r="C339" s="5">
        <f>(Cotacoes!C339-Cotacoes!C338)/Cotacoes!C338</f>
        <v>-1.8723994452149763E-2</v>
      </c>
      <c r="D339" s="5">
        <f>(Cotacoes!D339-Cotacoes!D338)/Cotacoes!D338</f>
        <v>-2.3134759976864748E-3</v>
      </c>
      <c r="E339" s="5">
        <f>(Cotacoes!E339-Cotacoes!E338)/Cotacoes!E338</f>
        <v>1.5048543689320326E-2</v>
      </c>
      <c r="F339" s="5">
        <f>(Cotacoes!F339-Cotacoes!F338)/Cotacoes!F338</f>
        <v>2.0212228398180467E-3</v>
      </c>
      <c r="G339" s="5">
        <f>(Cotacoes!G339-Cotacoes!G338)/Cotacoes!G338</f>
        <v>-1.2820512820512872E-2</v>
      </c>
      <c r="H339" s="5">
        <f>(Cotacoes!H339-Cotacoes!H338)/Cotacoes!H338</f>
        <v>1.2827663134411625E-2</v>
      </c>
      <c r="I339" s="5">
        <f>(Cotacoes!I339-Cotacoes!I338)/Cotacoes!I338</f>
        <v>3.3280507131537261E-2</v>
      </c>
      <c r="J339" s="5">
        <f>(Cotacoes!J339-Cotacoes!J338)/Cotacoes!J338</f>
        <v>4.0528825314260886E-2</v>
      </c>
      <c r="K339" s="5">
        <f>(Cotacoes!K339-Cotacoes!K338)/Cotacoes!K338</f>
        <v>1.5797788309636315E-3</v>
      </c>
      <c r="L339" s="5">
        <f>(Cotacoes!L339-Cotacoes!L338)/Cotacoes!L338</f>
        <v>-8.496176720475605E-4</v>
      </c>
      <c r="M339" s="5">
        <f>(Cotacoes!M339-Cotacoes!M338)/Cotacoes!M338</f>
        <v>-7.0148090413094197E-3</v>
      </c>
      <c r="N339" s="5">
        <f>(Cotacoes!N339-Cotacoes!N338)/Cotacoes!N338</f>
        <v>9.049773755656184E-3</v>
      </c>
      <c r="O339" s="5">
        <f>(Cotacoes!O339-Cotacoes!O338)/Cotacoes!O338</f>
        <v>-2.754356379988749E-2</v>
      </c>
      <c r="P339" s="5">
        <f>(Cotacoes!P339-Cotacoes!P338)/Cotacoes!P338</f>
        <v>2.1911138161898932E-2</v>
      </c>
      <c r="Q339" s="5">
        <f>(Cotacoes!Q339-Cotacoes!Q338)/Cotacoes!Q338</f>
        <v>4.5454545454545383E-3</v>
      </c>
      <c r="R339" s="5">
        <f>(Cotacoes!R339-Cotacoes!R338)/Cotacoes!R338</f>
        <v>2.0302375809935311E-2</v>
      </c>
      <c r="S339" s="5">
        <f>(Cotacoes!S339-Cotacoes!S338)/Cotacoes!S338</f>
        <v>8.6330935251798004E-3</v>
      </c>
      <c r="T339" s="5">
        <f>(Cotacoes!T339-Cotacoes!T338)/Cotacoes!T338</f>
        <v>1.1577424023156658E-3</v>
      </c>
      <c r="U339" s="5">
        <f>(Cotacoes!U339-Cotacoes!U338)/Cotacoes!U338</f>
        <v>1.8968692449355454E-2</v>
      </c>
      <c r="V339" s="5">
        <f>(Cotacoes!V339-Cotacoes!V338)/Cotacoes!V338</f>
        <v>-1.2847965738758515E-3</v>
      </c>
      <c r="W339" s="5"/>
    </row>
    <row r="340" spans="1:23" x14ac:dyDescent="0.2">
      <c r="A340" s="4">
        <v>45057</v>
      </c>
      <c r="B340" s="5">
        <f>(Cotacoes!B340-Cotacoes!B339)/Cotacoes!B339</f>
        <v>1.1445242369838375E-2</v>
      </c>
      <c r="C340" s="5">
        <f>(Cotacoes!C340-Cotacoes!C339)/Cotacoes!C339</f>
        <v>-1.9434628975265041E-2</v>
      </c>
      <c r="D340" s="5">
        <f>(Cotacoes!D340-Cotacoes!D339)/Cotacoes!D339</f>
        <v>3.6521739130434723E-2</v>
      </c>
      <c r="E340" s="5">
        <f>(Cotacoes!E340-Cotacoes!E339)/Cotacoes!E339</f>
        <v>9.5648015303682107E-3</v>
      </c>
      <c r="F340" s="5">
        <f>(Cotacoes!F340-Cotacoes!F339)/Cotacoes!F339</f>
        <v>2.4205748865355547E-2</v>
      </c>
      <c r="G340" s="5">
        <f>(Cotacoes!G340-Cotacoes!G339)/Cotacoes!G339</f>
        <v>-7.9512324410267786E-4</v>
      </c>
      <c r="H340" s="5">
        <f>(Cotacoes!H340-Cotacoes!H339)/Cotacoes!H339</f>
        <v>2.0925110132158534E-2</v>
      </c>
      <c r="I340" s="5">
        <f>(Cotacoes!I340-Cotacoes!I339)/Cotacoes!I339</f>
        <v>5.8282208588956354E-3</v>
      </c>
      <c r="J340" s="5">
        <f>(Cotacoes!J340-Cotacoes!J339)/Cotacoes!J339</f>
        <v>9.3730472818163487E-3</v>
      </c>
      <c r="K340" s="5">
        <f>(Cotacoes!K340-Cotacoes!K339)/Cotacoes!K339</f>
        <v>1.3406940063091477E-2</v>
      </c>
      <c r="L340" s="5">
        <f>(Cotacoes!L340-Cotacoes!L339)/Cotacoes!L339</f>
        <v>1.8707482993197334E-2</v>
      </c>
      <c r="M340" s="5">
        <f>(Cotacoes!M340-Cotacoes!M339)/Cotacoes!M339</f>
        <v>7.0643642072213391E-3</v>
      </c>
      <c r="N340" s="5">
        <f>(Cotacoes!N340-Cotacoes!N339)/Cotacoes!N339</f>
        <v>8.9686098654707929E-3</v>
      </c>
      <c r="O340" s="5">
        <f>(Cotacoes!O340-Cotacoes!O339)/Cotacoes!O339</f>
        <v>0</v>
      </c>
      <c r="P340" s="5">
        <f>(Cotacoes!P340-Cotacoes!P339)/Cotacoes!P339</f>
        <v>1.6081000595592591E-2</v>
      </c>
      <c r="Q340" s="5">
        <f>(Cotacoes!Q340-Cotacoes!Q339)/Cotacoes!Q339</f>
        <v>-2.7652086475615746E-3</v>
      </c>
      <c r="R340" s="5">
        <f>(Cotacoes!R340-Cotacoes!R339)/Cotacoes!R339</f>
        <v>2.2438611346316577E-2</v>
      </c>
      <c r="S340" s="5">
        <f>(Cotacoes!S340-Cotacoes!S339)/Cotacoes!S339</f>
        <v>1.3195435092724715E-2</v>
      </c>
      <c r="T340" s="5">
        <f>(Cotacoes!T340-Cotacoes!T339)/Cotacoes!T339</f>
        <v>4.9147152356170737E-3</v>
      </c>
      <c r="U340" s="5">
        <f>(Cotacoes!U340-Cotacoes!U339)/Cotacoes!U339</f>
        <v>2.9821073558648086E-2</v>
      </c>
      <c r="V340" s="5">
        <f>(Cotacoes!V340-Cotacoes!V339)/Cotacoes!V339</f>
        <v>3.1732418524871291E-2</v>
      </c>
      <c r="W340" s="5"/>
    </row>
    <row r="341" spans="1:23" x14ac:dyDescent="0.2">
      <c r="A341" s="4">
        <v>45058</v>
      </c>
      <c r="B341" s="5">
        <f>(Cotacoes!B341-Cotacoes!B340)/Cotacoes!B340</f>
        <v>2.1078322609274208E-3</v>
      </c>
      <c r="C341" s="5">
        <f>(Cotacoes!C341-Cotacoes!C340)/Cotacoes!C340</f>
        <v>9.0090090090084974E-4</v>
      </c>
      <c r="D341" s="5">
        <f>(Cotacoes!D341-Cotacoes!D340)/Cotacoes!D340</f>
        <v>3.2438478747203688E-2</v>
      </c>
      <c r="E341" s="5">
        <f>(Cotacoes!E341-Cotacoes!E340)/Cotacoes!E340</f>
        <v>-9.4741828517290044E-3</v>
      </c>
      <c r="F341" s="5">
        <f>(Cotacoes!F341-Cotacoes!F340)/Cotacoes!F340</f>
        <v>3.4958148695224074E-2</v>
      </c>
      <c r="G341" s="5">
        <f>(Cotacoes!G341-Cotacoes!G340)/Cotacoes!G340</f>
        <v>-1.034482758620691E-2</v>
      </c>
      <c r="H341" s="5">
        <f>(Cotacoes!H341-Cotacoes!H340)/Cotacoes!H340</f>
        <v>-3.7756202804746651E-3</v>
      </c>
      <c r="I341" s="5">
        <f>(Cotacoes!I341-Cotacoes!I340)/Cotacoes!I340</f>
        <v>-2.2872827081427266E-2</v>
      </c>
      <c r="J341" s="5">
        <f>(Cotacoes!J341-Cotacoes!J340)/Cotacoes!J340</f>
        <v>7.2637226578621455E-2</v>
      </c>
      <c r="K341" s="5">
        <f>(Cotacoes!K341-Cotacoes!K340)/Cotacoes!K340</f>
        <v>4.669260700389144E-3</v>
      </c>
      <c r="L341" s="5">
        <f>(Cotacoes!L341-Cotacoes!L340)/Cotacoes!L340</f>
        <v>3.3388981636059386E-3</v>
      </c>
      <c r="M341" s="5">
        <f>(Cotacoes!M341-Cotacoes!M340)/Cotacoes!M340</f>
        <v>-3.1176929072487081E-3</v>
      </c>
      <c r="N341" s="5">
        <f>(Cotacoes!N341-Cotacoes!N340)/Cotacoes!N340</f>
        <v>-4.4444444444444809E-3</v>
      </c>
      <c r="O341" s="5">
        <f>(Cotacoes!O341-Cotacoes!O340)/Cotacoes!O340</f>
        <v>-6.7052023121387291E-2</v>
      </c>
      <c r="P341" s="5">
        <f>(Cotacoes!P341-Cotacoes!P340)/Cotacoes!P340</f>
        <v>2.7549824150058761E-2</v>
      </c>
      <c r="Q341" s="5">
        <f>(Cotacoes!Q341-Cotacoes!Q340)/Cotacoes!Q340</f>
        <v>2.0922611545248253E-2</v>
      </c>
      <c r="R341" s="5">
        <f>(Cotacoes!R341-Cotacoes!R340)/Cotacoes!R340</f>
        <v>-2.8985507246376929E-3</v>
      </c>
      <c r="S341" s="5">
        <f>(Cotacoes!S341-Cotacoes!S340)/Cotacoes!S340</f>
        <v>1.3375571981696551E-2</v>
      </c>
      <c r="T341" s="5">
        <f>(Cotacoes!T341-Cotacoes!T340)/Cotacoes!T340</f>
        <v>-9.205983889528202E-3</v>
      </c>
      <c r="U341" s="5">
        <f>(Cotacoes!U341-Cotacoes!U340)/Cotacoes!U340</f>
        <v>-4.9140049140048098E-3</v>
      </c>
      <c r="V341" s="5">
        <f>(Cotacoes!V341-Cotacoes!V340)/Cotacoes!V340</f>
        <v>9.5594347464671835E-3</v>
      </c>
      <c r="W341" s="5"/>
    </row>
    <row r="342" spans="1:23" x14ac:dyDescent="0.2">
      <c r="A342" s="4">
        <v>45061</v>
      </c>
      <c r="B342" s="5">
        <f>(Cotacoes!B342-Cotacoes!B341)/Cotacoes!B341</f>
        <v>-1.7712830731760943E-3</v>
      </c>
      <c r="C342" s="5">
        <f>(Cotacoes!C342-Cotacoes!C341)/Cotacoes!C341</f>
        <v>1.4401440144014479E-2</v>
      </c>
      <c r="D342" s="5">
        <f>(Cotacoes!D342-Cotacoes!D341)/Cotacoes!D341</f>
        <v>-2.2751895991332701E-2</v>
      </c>
      <c r="E342" s="5">
        <f>(Cotacoes!E342-Cotacoes!E341)/Cotacoes!E341</f>
        <v>3.8259206121472162E-3</v>
      </c>
      <c r="F342" s="5">
        <f>(Cotacoes!F342-Cotacoes!F341)/Cotacoes!F341</f>
        <v>-1.9980970504281548E-2</v>
      </c>
      <c r="G342" s="5">
        <f>(Cotacoes!G342-Cotacoes!G341)/Cotacoes!G341</f>
        <v>1.8761726078799133E-2</v>
      </c>
      <c r="H342" s="5">
        <f>(Cotacoes!H342-Cotacoes!H341)/Cotacoes!H341</f>
        <v>4.3313481321062179E-3</v>
      </c>
      <c r="I342" s="5">
        <f>(Cotacoes!I342-Cotacoes!I341)/Cotacoes!I341</f>
        <v>8.1148564294631093E-3</v>
      </c>
      <c r="J342" s="5">
        <f>(Cotacoes!J342-Cotacoes!J341)/Cotacoes!J341</f>
        <v>7.5028857252789644E-3</v>
      </c>
      <c r="K342" s="5">
        <f>(Cotacoes!K342-Cotacoes!K341)/Cotacoes!K341</f>
        <v>1.5491866769945723E-2</v>
      </c>
      <c r="L342" s="5">
        <f>(Cotacoes!L342-Cotacoes!L341)/Cotacoes!L341</f>
        <v>1.3311148086522475E-2</v>
      </c>
      <c r="M342" s="5">
        <f>(Cotacoes!M342-Cotacoes!M341)/Cotacoes!M341</f>
        <v>1.1727912431587205E-2</v>
      </c>
      <c r="N342" s="5">
        <f>(Cotacoes!N342-Cotacoes!N341)/Cotacoes!N341</f>
        <v>4.4642857142857513E-3</v>
      </c>
      <c r="O342" s="5">
        <f>(Cotacoes!O342-Cotacoes!O341)/Cotacoes!O341</f>
        <v>1.8587360594796243E-3</v>
      </c>
      <c r="P342" s="5">
        <f>(Cotacoes!P342-Cotacoes!P341)/Cotacoes!P341</f>
        <v>5.704506560182422E-3</v>
      </c>
      <c r="Q342" s="5">
        <f>(Cotacoes!Q342-Cotacoes!Q341)/Cotacoes!Q341</f>
        <v>1.1111111111111181E-2</v>
      </c>
      <c r="R342" s="5">
        <f>(Cotacoes!R342-Cotacoes!R341)/Cotacoes!R341</f>
        <v>7.4750830564785419E-3</v>
      </c>
      <c r="S342" s="5">
        <f>(Cotacoes!S342-Cotacoes!S341)/Cotacoes!S341</f>
        <v>5.9048280653005106E-3</v>
      </c>
      <c r="T342" s="5">
        <f>(Cotacoes!T342-Cotacoes!T341)/Cotacoes!T341</f>
        <v>-8.7108013937285537E-4</v>
      </c>
      <c r="U342" s="5">
        <f>(Cotacoes!U342-Cotacoes!U341)/Cotacoes!U341</f>
        <v>-4.4091710758377423E-3</v>
      </c>
      <c r="V342" s="5">
        <f>(Cotacoes!V342-Cotacoes!V341)/Cotacoes!V341</f>
        <v>2.3054755043227761E-2</v>
      </c>
      <c r="W342" s="5"/>
    </row>
    <row r="343" spans="1:23" x14ac:dyDescent="0.2">
      <c r="A343" s="4">
        <v>45062</v>
      </c>
      <c r="B343" s="5">
        <f>(Cotacoes!B343-Cotacoes!B342)/Cotacoes!B342</f>
        <v>7.4304092270156561E-3</v>
      </c>
      <c r="C343" s="5">
        <f>(Cotacoes!C343-Cotacoes!C342)/Cotacoes!C342</f>
        <v>-2.0408163265306097E-2</v>
      </c>
      <c r="D343" s="5">
        <f>(Cotacoes!D343-Cotacoes!D342)/Cotacoes!D342</f>
        <v>2.4944567627494418E-2</v>
      </c>
      <c r="E343" s="5">
        <f>(Cotacoes!E343-Cotacoes!E342)/Cotacoes!E342</f>
        <v>-3.3349213911384821E-3</v>
      </c>
      <c r="F343" s="5">
        <f>(Cotacoes!F343-Cotacoes!F342)/Cotacoes!F342</f>
        <v>2.2330097087378507E-2</v>
      </c>
      <c r="G343" s="5">
        <f>(Cotacoes!G343-Cotacoes!G342)/Cotacoes!G342</f>
        <v>1.3154433043936929E-3</v>
      </c>
      <c r="H343" s="5">
        <f>(Cotacoes!H343-Cotacoes!H342)/Cotacoes!H342</f>
        <v>-2.8571428571428633E-2</v>
      </c>
      <c r="I343" s="5">
        <f>(Cotacoes!I343-Cotacoes!I342)/Cotacoes!I342</f>
        <v>-1.0216718266253817E-2</v>
      </c>
      <c r="J343" s="5">
        <f>(Cotacoes!J343-Cotacoes!J342)/Cotacoes!J342</f>
        <v>-2.7687607408821764E-2</v>
      </c>
      <c r="K343" s="5">
        <f>(Cotacoes!K343-Cotacoes!K342)/Cotacoes!K342</f>
        <v>-8.3905415713195607E-3</v>
      </c>
      <c r="L343" s="5">
        <f>(Cotacoes!L343-Cotacoes!L342)/Cotacoes!L342</f>
        <v>-1.4778325123152686E-2</v>
      </c>
      <c r="M343" s="5">
        <f>(Cotacoes!M343-Cotacoes!M342)/Cotacoes!M342</f>
        <v>-1.5455950540957939E-3</v>
      </c>
      <c r="N343" s="5">
        <f>(Cotacoes!N343-Cotacoes!N342)/Cotacoes!N342</f>
        <v>-2.9629629629628999E-3</v>
      </c>
      <c r="O343" s="5">
        <f>(Cotacoes!O343-Cotacoes!O342)/Cotacoes!O342</f>
        <v>3.0921459492886305E-3</v>
      </c>
      <c r="P343" s="5">
        <f>(Cotacoes!P343-Cotacoes!P342)/Cotacoes!P342</f>
        <v>1.1344299489506483E-2</v>
      </c>
      <c r="Q343" s="5">
        <f>(Cotacoes!Q343-Cotacoes!Q342)/Cotacoes!Q342</f>
        <v>1.8559218559218511E-2</v>
      </c>
      <c r="R343" s="5">
        <f>(Cotacoes!R343-Cotacoes!R342)/Cotacoes!R342</f>
        <v>-2.4732069249794836E-3</v>
      </c>
      <c r="S343" s="5">
        <f>(Cotacoes!S343-Cotacoes!S342)/Cotacoes!S342</f>
        <v>-8.2872928176796271E-3</v>
      </c>
      <c r="T343" s="5">
        <f>(Cotacoes!T343-Cotacoes!T342)/Cotacoes!T342</f>
        <v>8.7183958151703397E-4</v>
      </c>
      <c r="U343" s="5">
        <f>(Cotacoes!U343-Cotacoes!U342)/Cotacoes!U342</f>
        <v>-2.1257750221435703E-3</v>
      </c>
      <c r="V343" s="5">
        <f>(Cotacoes!V343-Cotacoes!V342)/Cotacoes!V342</f>
        <v>6.7203219315895291E-2</v>
      </c>
      <c r="W343" s="5"/>
    </row>
    <row r="344" spans="1:23" x14ac:dyDescent="0.2">
      <c r="A344" s="4">
        <v>45063</v>
      </c>
      <c r="B344" s="5">
        <f>(Cotacoes!B344-Cotacoes!B343)/Cotacoes!B343</f>
        <v>5.8344341699691892E-3</v>
      </c>
      <c r="C344" s="5">
        <f>(Cotacoes!C344-Cotacoes!C343)/Cotacoes!C343</f>
        <v>3.2971014492753629E-2</v>
      </c>
      <c r="D344" s="5">
        <f>(Cotacoes!D344-Cotacoes!D343)/Cotacoes!D343</f>
        <v>-2.4337479718766864E-2</v>
      </c>
      <c r="E344" s="5">
        <f>(Cotacoes!E344-Cotacoes!E343)/Cotacoes!E343</f>
        <v>1.0038240917781898E-2</v>
      </c>
      <c r="F344" s="5">
        <f>(Cotacoes!F344-Cotacoes!F343)/Cotacoes!F343</f>
        <v>-6.1728395061727923E-3</v>
      </c>
      <c r="G344" s="5">
        <f>(Cotacoes!G344-Cotacoes!G343)/Cotacoes!G343</f>
        <v>-6.0430898581188639E-3</v>
      </c>
      <c r="H344" s="5">
        <f>(Cotacoes!H344-Cotacoes!H343)/Cotacoes!H343</f>
        <v>1.6648168701443472E-3</v>
      </c>
      <c r="I344" s="5">
        <f>(Cotacoes!I344-Cotacoes!I343)/Cotacoes!I343</f>
        <v>-1.5639662183296842E-2</v>
      </c>
      <c r="J344" s="5">
        <f>(Cotacoes!J344-Cotacoes!J343)/Cotacoes!J343</f>
        <v>-7.0699135899450006E-3</v>
      </c>
      <c r="K344" s="5">
        <f>(Cotacoes!K344-Cotacoes!K343)/Cotacoes!K343</f>
        <v>4.615384615384654E-3</v>
      </c>
      <c r="L344" s="5">
        <f>(Cotacoes!L344-Cotacoes!L343)/Cotacoes!L343</f>
        <v>4.0000000000000036E-2</v>
      </c>
      <c r="M344" s="5">
        <f>(Cotacoes!M344-Cotacoes!M343)/Cotacoes!M343</f>
        <v>-3.0959752321980762E-3</v>
      </c>
      <c r="N344" s="5">
        <f>(Cotacoes!N344-Cotacoes!N343)/Cotacoes!N343</f>
        <v>2.9717682020801743E-3</v>
      </c>
      <c r="O344" s="5">
        <f>(Cotacoes!O344-Cotacoes!O343)/Cotacoes!O343</f>
        <v>-1.2330456226880132E-3</v>
      </c>
      <c r="P344" s="5">
        <f>(Cotacoes!P344-Cotacoes!P343)/Cotacoes!P343</f>
        <v>1.4021312394840158E-2</v>
      </c>
      <c r="Q344" s="5">
        <f>(Cotacoes!Q344-Cotacoes!Q343)/Cotacoes!Q343</f>
        <v>4.795013186285308E-4</v>
      </c>
      <c r="R344" s="5">
        <f>(Cotacoes!R344-Cotacoes!R343)/Cotacoes!R343</f>
        <v>1.9008264462809954E-2</v>
      </c>
      <c r="S344" s="5">
        <f>(Cotacoes!S344-Cotacoes!S343)/Cotacoes!S343</f>
        <v>-3.481894150417753E-3</v>
      </c>
      <c r="T344" s="5">
        <f>(Cotacoes!T344-Cotacoes!T343)/Cotacoes!T343</f>
        <v>5.8072009291521488E-2</v>
      </c>
      <c r="U344" s="5">
        <f>(Cotacoes!U344-Cotacoes!U343)/Cotacoes!U343</f>
        <v>1.8285105627551947E-2</v>
      </c>
      <c r="V344" s="5">
        <f>(Cotacoes!V344-Cotacoes!V343)/Cotacoes!V343</f>
        <v>1.0935143288084433E-2</v>
      </c>
      <c r="W344" s="5"/>
    </row>
    <row r="345" spans="1:23" x14ac:dyDescent="0.2">
      <c r="A345" s="4">
        <v>45064</v>
      </c>
      <c r="B345" s="5">
        <f>(Cotacoes!B345-Cotacoes!B344)/Cotacoes!B344</f>
        <v>7.1139323629199024E-3</v>
      </c>
      <c r="C345" s="5">
        <f>(Cotacoes!C345-Cotacoes!C344)/Cotacoes!C344</f>
        <v>1.403016485443674E-3</v>
      </c>
      <c r="D345" s="5">
        <f>(Cotacoes!D345-Cotacoes!D344)/Cotacoes!D344</f>
        <v>6.0975609756097251E-3</v>
      </c>
      <c r="E345" s="5">
        <f>(Cotacoes!E345-Cotacoes!E344)/Cotacoes!E344</f>
        <v>-3.7860861334594559E-3</v>
      </c>
      <c r="F345" s="5">
        <f>(Cotacoes!F345-Cotacoes!F344)/Cotacoes!F344</f>
        <v>4.7778308647874546E-3</v>
      </c>
      <c r="G345" s="5">
        <f>(Cotacoes!G345-Cotacoes!G344)/Cotacoes!G344</f>
        <v>-3.9651070578905255E-3</v>
      </c>
      <c r="H345" s="5">
        <f>(Cotacoes!H345-Cotacoes!H344)/Cotacoes!H344</f>
        <v>-5.5401662049870152E-4</v>
      </c>
      <c r="I345" s="5">
        <f>(Cotacoes!I345-Cotacoes!I344)/Cotacoes!I344</f>
        <v>-1.1757229107086034E-2</v>
      </c>
      <c r="J345" s="5">
        <f>(Cotacoes!J345-Cotacoes!J344)/Cotacoes!J344</f>
        <v>8.5047468354430313E-3</v>
      </c>
      <c r="K345" s="5">
        <f>(Cotacoes!K345-Cotacoes!K344)/Cotacoes!K344</f>
        <v>3.0627871362939622E-3</v>
      </c>
      <c r="L345" s="5">
        <f>(Cotacoes!L345-Cotacoes!L344)/Cotacoes!L344</f>
        <v>1.2820512820512832E-2</v>
      </c>
      <c r="M345" s="5">
        <f>(Cotacoes!M345-Cotacoes!M344)/Cotacoes!M344</f>
        <v>-7.7639751552807158E-4</v>
      </c>
      <c r="N345" s="5">
        <f>(Cotacoes!N345-Cotacoes!N344)/Cotacoes!N344</f>
        <v>-1.48148148148145E-3</v>
      </c>
      <c r="O345" s="5">
        <f>(Cotacoes!O345-Cotacoes!O344)/Cotacoes!O344</f>
        <v>1.2345679012345635E-2</v>
      </c>
      <c r="P345" s="5">
        <f>(Cotacoes!P345-Cotacoes!P344)/Cotacoes!P344</f>
        <v>-1.1061946902654633E-3</v>
      </c>
      <c r="Q345" s="5">
        <f>(Cotacoes!Q345-Cotacoes!Q344)/Cotacoes!Q344</f>
        <v>3.714354181643912E-2</v>
      </c>
      <c r="R345" s="5">
        <f>(Cotacoes!R345-Cotacoes!R344)/Cotacoes!R344</f>
        <v>-8.1103000811028276E-4</v>
      </c>
      <c r="S345" s="5">
        <f>(Cotacoes!S345-Cotacoes!S344)/Cotacoes!S344</f>
        <v>7.686932215234062E-3</v>
      </c>
      <c r="T345" s="5">
        <f>(Cotacoes!T345-Cotacoes!T344)/Cotacoes!T344</f>
        <v>-4.1163556531283911E-3</v>
      </c>
      <c r="U345" s="5">
        <f>(Cotacoes!U345-Cotacoes!U344)/Cotacoes!U344</f>
        <v>1.1157601115760122E-2</v>
      </c>
      <c r="V345" s="5">
        <f>(Cotacoes!V345-Cotacoes!V344)/Cotacoes!V344</f>
        <v>3.0958597538232074E-2</v>
      </c>
      <c r="W345" s="5"/>
    </row>
    <row r="346" spans="1:23" x14ac:dyDescent="0.2">
      <c r="A346" s="4">
        <v>45065</v>
      </c>
      <c r="B346" s="5">
        <f>(Cotacoes!B346-Cotacoes!B345)/Cotacoes!B345</f>
        <v>-4.3468811128014725E-3</v>
      </c>
      <c r="C346" s="5">
        <f>(Cotacoes!C346-Cotacoes!C345)/Cotacoes!C345</f>
        <v>-1.0858143607705859E-2</v>
      </c>
      <c r="D346" s="5">
        <f>(Cotacoes!D346-Cotacoes!D345)/Cotacoes!D345</f>
        <v>4.4077134986226915E-3</v>
      </c>
      <c r="E346" s="5">
        <f>(Cotacoes!E346-Cotacoes!E345)/Cotacoes!E345</f>
        <v>-8.0760095011877288E-3</v>
      </c>
      <c r="F346" s="5">
        <f>(Cotacoes!F346-Cotacoes!F345)/Cotacoes!F345</f>
        <v>4.7551117451259091E-3</v>
      </c>
      <c r="G346" s="5">
        <f>(Cotacoes!G346-Cotacoes!G345)/Cotacoes!G345</f>
        <v>2.1231422505307782E-2</v>
      </c>
      <c r="H346" s="5">
        <f>(Cotacoes!H346-Cotacoes!H345)/Cotacoes!H345</f>
        <v>1.9401330376940213E-2</v>
      </c>
      <c r="I346" s="5">
        <f>(Cotacoes!I346-Cotacoes!I345)/Cotacoes!I345</f>
        <v>3.0868167202572374E-2</v>
      </c>
      <c r="J346" s="5">
        <f>(Cotacoes!J346-Cotacoes!J345)/Cotacoes!J345</f>
        <v>7.8446754265540592E-4</v>
      </c>
      <c r="K346" s="5">
        <f>(Cotacoes!K346-Cotacoes!K345)/Cotacoes!K345</f>
        <v>2.4427480916030558E-2</v>
      </c>
      <c r="L346" s="5">
        <f>(Cotacoes!L346-Cotacoes!L345)/Cotacoes!L345</f>
        <v>5.5379746835443264E-3</v>
      </c>
      <c r="M346" s="5">
        <f>(Cotacoes!M346-Cotacoes!M345)/Cotacoes!M345</f>
        <v>2.3310023310024195E-3</v>
      </c>
      <c r="N346" s="5">
        <f>(Cotacoes!N346-Cotacoes!N345)/Cotacoes!N345</f>
        <v>-7.418397626112733E-3</v>
      </c>
      <c r="O346" s="5">
        <f>(Cotacoes!O346-Cotacoes!O345)/Cotacoes!O345</f>
        <v>3.6585365853658625E-2</v>
      </c>
      <c r="P346" s="5">
        <f>(Cotacoes!P346-Cotacoes!P345)/Cotacoes!P345</f>
        <v>-3.322259136212554E-3</v>
      </c>
      <c r="Q346" s="5">
        <f>(Cotacoes!Q346-Cotacoes!Q345)/Cotacoes!Q345</f>
        <v>1.3863216266174277E-3</v>
      </c>
      <c r="R346" s="5">
        <f>(Cotacoes!R346-Cotacoes!R345)/Cotacoes!R345</f>
        <v>1.1363636363636409E-2</v>
      </c>
      <c r="S346" s="5">
        <f>(Cotacoes!S346-Cotacoes!S345)/Cotacoes!S345</f>
        <v>1.6296809986130336E-2</v>
      </c>
      <c r="T346" s="5">
        <f>(Cotacoes!T346-Cotacoes!T345)/Cotacoes!T345</f>
        <v>1.7084596307522664E-2</v>
      </c>
      <c r="U346" s="5">
        <f>(Cotacoes!U346-Cotacoes!U345)/Cotacoes!U345</f>
        <v>5.8620689655173005E-3</v>
      </c>
      <c r="V346" s="5">
        <f>(Cotacoes!V346-Cotacoes!V345)/Cotacoes!V345</f>
        <v>-2.5325615050651334E-3</v>
      </c>
      <c r="W346" s="5"/>
    </row>
    <row r="347" spans="1:23" x14ac:dyDescent="0.2">
      <c r="A347" s="4">
        <v>45068</v>
      </c>
      <c r="B347" s="5">
        <f>(Cotacoes!B347-Cotacoes!B346)/Cotacoes!B346</f>
        <v>-2.1829294913785452E-4</v>
      </c>
      <c r="C347" s="5">
        <f>(Cotacoes!C347-Cotacoes!C346)/Cotacoes!C346</f>
        <v>-1.6111898016997108E-2</v>
      </c>
      <c r="D347" s="5">
        <f>(Cotacoes!D347-Cotacoes!D346)/Cotacoes!D346</f>
        <v>-1.2068019747668616E-2</v>
      </c>
      <c r="E347" s="5">
        <f>(Cotacoes!E347-Cotacoes!E346)/Cotacoes!E346</f>
        <v>-1.8678160919540259E-2</v>
      </c>
      <c r="F347" s="5">
        <f>(Cotacoes!F347-Cotacoes!F346)/Cotacoes!F346</f>
        <v>-1.5144344533838158E-2</v>
      </c>
      <c r="G347" s="5">
        <f>(Cotacoes!G347-Cotacoes!G346)/Cotacoes!G346</f>
        <v>5.7172557172558728E-3</v>
      </c>
      <c r="H347" s="5">
        <f>(Cotacoes!H347-Cotacoes!H346)/Cotacoes!H346</f>
        <v>-1.3594344752582924E-2</v>
      </c>
      <c r="I347" s="5">
        <f>(Cotacoes!I347-Cotacoes!I346)/Cotacoes!I346</f>
        <v>1.3412351840299428E-2</v>
      </c>
      <c r="J347" s="5">
        <f>(Cotacoes!J347-Cotacoes!J346)/Cotacoes!J346</f>
        <v>-3.7233000195962714E-3</v>
      </c>
      <c r="K347" s="5">
        <f>(Cotacoes!K347-Cotacoes!K346)/Cotacoes!K346</f>
        <v>-9.6870342771982702E-3</v>
      </c>
      <c r="L347" s="5">
        <f>(Cotacoes!L347-Cotacoes!L346)/Cotacoes!L346</f>
        <v>-1.2588512981904023E-2</v>
      </c>
      <c r="M347" s="5">
        <f>(Cotacoes!M347-Cotacoes!M346)/Cotacoes!M346</f>
        <v>3.1007751937983832E-3</v>
      </c>
      <c r="N347" s="5">
        <f>(Cotacoes!N347-Cotacoes!N346)/Cotacoes!N346</f>
        <v>-5.9790732436472392E-3</v>
      </c>
      <c r="O347" s="5">
        <f>(Cotacoes!O347-Cotacoes!O346)/Cotacoes!O346</f>
        <v>8.2352941176470924E-3</v>
      </c>
      <c r="P347" s="5">
        <f>(Cotacoes!P347-Cotacoes!P346)/Cotacoes!P346</f>
        <v>5.555555555556424E-4</v>
      </c>
      <c r="Q347" s="5">
        <f>(Cotacoes!Q347-Cotacoes!Q346)/Cotacoes!Q346</f>
        <v>-5.3068758652515908E-3</v>
      </c>
      <c r="R347" s="5">
        <f>(Cotacoes!R347-Cotacoes!R346)/Cotacoes!R346</f>
        <v>-1.7255216693419069E-2</v>
      </c>
      <c r="S347" s="5">
        <f>(Cotacoes!S347-Cotacoes!S346)/Cotacoes!S346</f>
        <v>-2.3882633913340254E-3</v>
      </c>
      <c r="T347" s="5">
        <f>(Cotacoes!T347-Cotacoes!T346)/Cotacoes!T346</f>
        <v>-2.113248442156581E-2</v>
      </c>
      <c r="U347" s="5">
        <f>(Cotacoes!U347-Cotacoes!U346)/Cotacoes!U346</f>
        <v>0</v>
      </c>
      <c r="V347" s="5">
        <f>(Cotacoes!V347-Cotacoes!V346)/Cotacoes!V346</f>
        <v>1.0155966630395398E-2</v>
      </c>
      <c r="W347" s="5"/>
    </row>
    <row r="348" spans="1:23" x14ac:dyDescent="0.2">
      <c r="A348" s="4">
        <v>45069</v>
      </c>
      <c r="B348" s="5">
        <f>(Cotacoes!B348-Cotacoes!B347)/Cotacoes!B347</f>
        <v>-1.1026200873362348E-2</v>
      </c>
      <c r="C348" s="5">
        <f>(Cotacoes!C348-Cotacoes!C347)/Cotacoes!C347</f>
        <v>-2.2674104732769443E-2</v>
      </c>
      <c r="D348" s="5">
        <f>(Cotacoes!D348-Cotacoes!D347)/Cotacoes!D347</f>
        <v>2.4986118822876137E-2</v>
      </c>
      <c r="E348" s="5">
        <f>(Cotacoes!E348-Cotacoes!E347)/Cotacoes!E347</f>
        <v>7.8086871644704806E-3</v>
      </c>
      <c r="F348" s="5">
        <f>(Cotacoes!F348-Cotacoes!F347)/Cotacoes!F347</f>
        <v>2.0663142719846216E-2</v>
      </c>
      <c r="G348" s="5">
        <f>(Cotacoes!G348-Cotacoes!G347)/Cotacoes!G347</f>
        <v>-3.6175710594315391E-3</v>
      </c>
      <c r="H348" s="5">
        <f>(Cotacoes!H348-Cotacoes!H347)/Cotacoes!H347</f>
        <v>2.3704520396912884E-2</v>
      </c>
      <c r="I348" s="5">
        <f>(Cotacoes!I348-Cotacoes!I347)/Cotacoes!I347</f>
        <v>9.2336103416439325E-4</v>
      </c>
      <c r="J348" s="5">
        <f>(Cotacoes!J348-Cotacoes!J347)/Cotacoes!J347</f>
        <v>-7.0810385523211354E-3</v>
      </c>
      <c r="K348" s="5">
        <f>(Cotacoes!K348-Cotacoes!K347)/Cotacoes!K347</f>
        <v>7.5244544770505213E-3</v>
      </c>
      <c r="L348" s="5">
        <f>(Cotacoes!L348-Cotacoes!L347)/Cotacoes!L347</f>
        <v>-1.3545816733067723E-2</v>
      </c>
      <c r="M348" s="5">
        <f>(Cotacoes!M348-Cotacoes!M347)/Cotacoes!M347</f>
        <v>-2.3183925811436912E-3</v>
      </c>
      <c r="N348" s="5">
        <f>(Cotacoes!N348-Cotacoes!N347)/Cotacoes!N347</f>
        <v>4.5112781954886258E-3</v>
      </c>
      <c r="O348" s="5">
        <f>(Cotacoes!O348-Cotacoes!O347)/Cotacoes!O347</f>
        <v>-9.3348891481913731E-3</v>
      </c>
      <c r="P348" s="5">
        <f>(Cotacoes!P348-Cotacoes!P347)/Cotacoes!P347</f>
        <v>-1.499167129372588E-2</v>
      </c>
      <c r="Q348" s="5">
        <f>(Cotacoes!Q348-Cotacoes!Q347)/Cotacoes!Q347</f>
        <v>1.5077708188355337E-2</v>
      </c>
      <c r="R348" s="5">
        <f>(Cotacoes!R348-Cotacoes!R347)/Cotacoes!R347</f>
        <v>-4.0832993058383062E-4</v>
      </c>
      <c r="S348" s="5">
        <f>(Cotacoes!S348-Cotacoes!S347)/Cotacoes!S347</f>
        <v>-3.0779753761969856E-3</v>
      </c>
      <c r="T348" s="5">
        <f>(Cotacoes!T348-Cotacoes!T347)/Cotacoes!T347</f>
        <v>-8.3033490174373465E-4</v>
      </c>
      <c r="U348" s="5">
        <f>(Cotacoes!U348-Cotacoes!U347)/Cotacoes!U347</f>
        <v>-4.9708604730888967E-3</v>
      </c>
      <c r="V348" s="5">
        <f>(Cotacoes!V348-Cotacoes!V347)/Cotacoes!V347</f>
        <v>-1.4362657091562907E-3</v>
      </c>
      <c r="W348" s="5"/>
    </row>
    <row r="349" spans="1:23" x14ac:dyDescent="0.2">
      <c r="A349" s="4">
        <v>45070</v>
      </c>
      <c r="B349" s="5">
        <f>(Cotacoes!B349-Cotacoes!B348)/Cotacoes!B348</f>
        <v>8.9413842587482313E-3</v>
      </c>
      <c r="C349" s="5">
        <f>(Cotacoes!C349-Cotacoes!C348)/Cotacoes!C348</f>
        <v>-2.2647762842938759E-2</v>
      </c>
      <c r="D349" s="5">
        <f>(Cotacoes!D349-Cotacoes!D348)/Cotacoes!D348</f>
        <v>1.5167930660888276E-2</v>
      </c>
      <c r="E349" s="5">
        <f>(Cotacoes!E349-Cotacoes!E348)/Cotacoes!E348</f>
        <v>-5.8111380145277215E-3</v>
      </c>
      <c r="F349" s="5">
        <f>(Cotacoes!F349-Cotacoes!F348)/Cotacoes!F348</f>
        <v>1.0828625235404917E-2</v>
      </c>
      <c r="G349" s="5">
        <f>(Cotacoes!G349-Cotacoes!G348)/Cotacoes!G348</f>
        <v>-9.8547717842324307E-3</v>
      </c>
      <c r="H349" s="5">
        <f>(Cotacoes!H349-Cotacoes!H348)/Cotacoes!H348</f>
        <v>3.7695207323640433E-3</v>
      </c>
      <c r="I349" s="5">
        <f>(Cotacoes!I349-Cotacoes!I348)/Cotacoes!I348</f>
        <v>-2.0910209102091119E-2</v>
      </c>
      <c r="J349" s="5">
        <f>(Cotacoes!J349-Cotacoes!J348)/Cotacoes!J348</f>
        <v>-8.9144215530902494E-3</v>
      </c>
      <c r="K349" s="5">
        <f>(Cotacoes!K349-Cotacoes!K348)/Cotacoes!K348</f>
        <v>-3.0619865571321892E-2</v>
      </c>
      <c r="L349" s="5">
        <f>(Cotacoes!L349-Cotacoes!L348)/Cotacoes!L348</f>
        <v>-2.6655896607431347E-2</v>
      </c>
      <c r="M349" s="5">
        <f>(Cotacoes!M349-Cotacoes!M348)/Cotacoes!M348</f>
        <v>4.6475600309837722E-3</v>
      </c>
      <c r="N349" s="5">
        <f>(Cotacoes!N349-Cotacoes!N348)/Cotacoes!N348</f>
        <v>-1.4970059880239203E-3</v>
      </c>
      <c r="O349" s="5">
        <f>(Cotacoes!O349-Cotacoes!O348)/Cotacoes!O348</f>
        <v>-4.8881036513545452E-2</v>
      </c>
      <c r="P349" s="5">
        <f>(Cotacoes!P349-Cotacoes!P348)/Cotacoes!P348</f>
        <v>-2.0856820744081031E-2</v>
      </c>
      <c r="Q349" s="5">
        <f>(Cotacoes!Q349-Cotacoes!Q348)/Cotacoes!Q348</f>
        <v>-2.7650822669104225E-2</v>
      </c>
      <c r="R349" s="5">
        <f>(Cotacoes!R349-Cotacoes!R348)/Cotacoes!R348</f>
        <v>-2.8594771241830181E-3</v>
      </c>
      <c r="S349" s="5">
        <f>(Cotacoes!S349-Cotacoes!S348)/Cotacoes!S348</f>
        <v>-1.4751286449399648E-2</v>
      </c>
      <c r="T349" s="5">
        <f>(Cotacoes!T349-Cotacoes!T348)/Cotacoes!T348</f>
        <v>-5.8171745152354806E-3</v>
      </c>
      <c r="U349" s="5">
        <f>(Cotacoes!U349-Cotacoes!U348)/Cotacoes!U348</f>
        <v>-4.9956933677863767E-3</v>
      </c>
      <c r="V349" s="5">
        <f>(Cotacoes!V349-Cotacoes!V348)/Cotacoes!V348</f>
        <v>-1.9057892844300525E-2</v>
      </c>
      <c r="W349" s="5"/>
    </row>
    <row r="350" spans="1:23" x14ac:dyDescent="0.2">
      <c r="A350" s="4">
        <v>45071</v>
      </c>
      <c r="B350" s="5">
        <f>(Cotacoes!B350-Cotacoes!B349)/Cotacoes!B349</f>
        <v>8.9715536105032072E-3</v>
      </c>
      <c r="C350" s="5">
        <f>(Cotacoes!C350-Cotacoes!C349)/Cotacoes!C349</f>
        <v>-3.0143180105500489E-3</v>
      </c>
      <c r="D350" s="5">
        <f>(Cotacoes!D350-Cotacoes!D349)/Cotacoes!D349</f>
        <v>-7.4706510138739073E-3</v>
      </c>
      <c r="E350" s="5">
        <f>(Cotacoes!E350-Cotacoes!E349)/Cotacoes!E349</f>
        <v>3.1660983925961936E-2</v>
      </c>
      <c r="F350" s="5">
        <f>(Cotacoes!F350-Cotacoes!F349)/Cotacoes!F349</f>
        <v>-6.9864927806240606E-3</v>
      </c>
      <c r="G350" s="5">
        <f>(Cotacoes!G350-Cotacoes!G349)/Cotacoes!G349</f>
        <v>-1.9643792561550549E-2</v>
      </c>
      <c r="H350" s="5">
        <f>(Cotacoes!H350-Cotacoes!H349)/Cotacoes!H349</f>
        <v>0</v>
      </c>
      <c r="I350" s="5">
        <f>(Cotacoes!I350-Cotacoes!I349)/Cotacoes!I349</f>
        <v>2.8580402010050257E-2</v>
      </c>
      <c r="J350" s="5">
        <f>(Cotacoes!J350-Cotacoes!J349)/Cotacoes!J349</f>
        <v>2.5984409354387311E-2</v>
      </c>
      <c r="K350" s="5">
        <f>(Cotacoes!K350-Cotacoes!K349)/Cotacoes!K349</f>
        <v>3.620955315870561E-2</v>
      </c>
      <c r="L350" s="5">
        <f>(Cotacoes!L350-Cotacoes!L349)/Cotacoes!L349</f>
        <v>2.4896265560165887E-2</v>
      </c>
      <c r="M350" s="5">
        <f>(Cotacoes!M350-Cotacoes!M349)/Cotacoes!M349</f>
        <v>5.3970701619119894E-3</v>
      </c>
      <c r="N350" s="5">
        <f>(Cotacoes!N350-Cotacoes!N349)/Cotacoes!N349</f>
        <v>1.4992503748125883E-2</v>
      </c>
      <c r="O350" s="5">
        <f>(Cotacoes!O350-Cotacoes!O349)/Cotacoes!O349</f>
        <v>1.7337461300309668E-2</v>
      </c>
      <c r="P350" s="5">
        <f>(Cotacoes!P350-Cotacoes!P349)/Cotacoes!P349</f>
        <v>3.9723661485319382E-2</v>
      </c>
      <c r="Q350" s="5">
        <f>(Cotacoes!Q350-Cotacoes!Q349)/Cotacoes!Q349</f>
        <v>-1.0575793184488737E-2</v>
      </c>
      <c r="R350" s="5">
        <f>(Cotacoes!R350-Cotacoes!R349)/Cotacoes!R349</f>
        <v>4.0147480540761997E-2</v>
      </c>
      <c r="S350" s="5">
        <f>(Cotacoes!S350-Cotacoes!S349)/Cotacoes!S349</f>
        <v>8.7047353760445687E-3</v>
      </c>
      <c r="T350" s="5">
        <f>(Cotacoes!T350-Cotacoes!T349)/Cotacoes!T349</f>
        <v>-8.9161326274728413E-3</v>
      </c>
      <c r="U350" s="5">
        <f>(Cotacoes!U350-Cotacoes!U349)/Cotacoes!U349</f>
        <v>2.0083102493074857E-2</v>
      </c>
      <c r="V350" s="5">
        <f>(Cotacoes!V350-Cotacoes!V349)/Cotacoes!V349</f>
        <v>3.702346041055711E-2</v>
      </c>
      <c r="W350" s="5"/>
    </row>
    <row r="351" spans="1:23" x14ac:dyDescent="0.2">
      <c r="A351" s="4">
        <v>45072</v>
      </c>
      <c r="B351" s="5">
        <f>(Cotacoes!B351-Cotacoes!B350)/Cotacoes!B350</f>
        <v>-3.9037085230969361E-3</v>
      </c>
      <c r="C351" s="5">
        <f>(Cotacoes!C351-Cotacoes!C350)/Cotacoes!C350</f>
        <v>2.2864701436130022E-2</v>
      </c>
      <c r="D351" s="5">
        <f>(Cotacoes!D351-Cotacoes!D350)/Cotacoes!D350</f>
        <v>1.2903225806451528E-2</v>
      </c>
      <c r="E351" s="5">
        <f>(Cotacoes!E351-Cotacoes!E350)/Cotacoes!E350</f>
        <v>-7.5542965061378723E-3</v>
      </c>
      <c r="F351" s="5">
        <f>(Cotacoes!F351-Cotacoes!F350)/Cotacoes!F350</f>
        <v>1.6416510318949411E-2</v>
      </c>
      <c r="G351" s="5">
        <f>(Cotacoes!G351-Cotacoes!G350)/Cotacoes!G350</f>
        <v>1.2022441891530934E-2</v>
      </c>
      <c r="H351" s="5">
        <f>(Cotacoes!H351-Cotacoes!H350)/Cotacoes!H350</f>
        <v>-5.364806866952866E-3</v>
      </c>
      <c r="I351" s="5">
        <f>(Cotacoes!I351-Cotacoes!I350)/Cotacoes!I350</f>
        <v>-1.6183206106870265E-2</v>
      </c>
      <c r="J351" s="5">
        <f>(Cotacoes!J351-Cotacoes!J350)/Cotacoes!J350</f>
        <v>4.2080654587960328E-2</v>
      </c>
      <c r="K351" s="5">
        <f>(Cotacoes!K351-Cotacoes!K350)/Cotacoes!K350</f>
        <v>0</v>
      </c>
      <c r="L351" s="5">
        <f>(Cotacoes!L351-Cotacoes!L350)/Cotacoes!L350</f>
        <v>3.643724696356284E-2</v>
      </c>
      <c r="M351" s="5">
        <f>(Cotacoes!M351-Cotacoes!M350)/Cotacoes!M350</f>
        <v>1.5337423312884472E-3</v>
      </c>
      <c r="N351" s="5">
        <f>(Cotacoes!N351-Cotacoes!N350)/Cotacoes!N350</f>
        <v>-5.9084194977842173E-3</v>
      </c>
      <c r="O351" s="5">
        <f>(Cotacoes!O351-Cotacoes!O350)/Cotacoes!O350</f>
        <v>-1.8259281801583163E-3</v>
      </c>
      <c r="P351" s="5">
        <f>(Cotacoes!P351-Cotacoes!P350)/Cotacoes!P350</f>
        <v>2.2148394241417617E-2</v>
      </c>
      <c r="Q351" s="5">
        <f>(Cotacoes!Q351-Cotacoes!Q350)/Cotacoes!Q350</f>
        <v>2.802850356294536E-2</v>
      </c>
      <c r="R351" s="5">
        <f>(Cotacoes!R351-Cotacoes!R350)/Cotacoes!R350</f>
        <v>9.8463962189838522E-3</v>
      </c>
      <c r="S351" s="5">
        <f>(Cotacoes!S351-Cotacoes!S350)/Cotacoes!S350</f>
        <v>-2.4162927166033925E-3</v>
      </c>
      <c r="T351" s="5">
        <f>(Cotacoes!T351-Cotacoes!T350)/Cotacoes!T350</f>
        <v>-7.8718020804048675E-3</v>
      </c>
      <c r="U351" s="5">
        <f>(Cotacoes!U351-Cotacoes!U350)/Cotacoes!U350</f>
        <v>4.5824847250508487E-3</v>
      </c>
      <c r="V351" s="5">
        <f>(Cotacoes!V351-Cotacoes!V350)/Cotacoes!V350</f>
        <v>0</v>
      </c>
      <c r="W351" s="5"/>
    </row>
    <row r="352" spans="1:23" x14ac:dyDescent="0.2">
      <c r="A352" s="4">
        <v>45075</v>
      </c>
      <c r="B352" s="5">
        <f>(Cotacoes!B352-Cotacoes!B351)/Cotacoes!B351</f>
        <v>-1.4587415632484252E-2</v>
      </c>
      <c r="C352" s="5">
        <f>(Cotacoes!C352-Cotacoes!C351)/Cotacoes!C351</f>
        <v>-7.5743580269721717E-3</v>
      </c>
      <c r="D352" s="5">
        <f>(Cotacoes!D352-Cotacoes!D351)/Cotacoes!D351</f>
        <v>-3.71549893842889E-3</v>
      </c>
      <c r="E352" s="5">
        <f>(Cotacoes!E352-Cotacoes!E351)/Cotacoes!E351</f>
        <v>-4.7573739295907642E-3</v>
      </c>
      <c r="F352" s="5">
        <f>(Cotacoes!F352-Cotacoes!F351)/Cotacoes!F351</f>
        <v>-6.4605445316105476E-3</v>
      </c>
      <c r="G352" s="5">
        <f>(Cotacoes!G352-Cotacoes!G351)/Cotacoes!G351</f>
        <v>-1.5839493136219678E-2</v>
      </c>
      <c r="H352" s="5">
        <f>(Cotacoes!H352-Cotacoes!H351)/Cotacoes!H351</f>
        <v>-2.1574973031283254E-3</v>
      </c>
      <c r="I352" s="5">
        <f>(Cotacoes!I352-Cotacoes!I351)/Cotacoes!I351</f>
        <v>-2.0173805090006165E-2</v>
      </c>
      <c r="J352" s="5">
        <f>(Cotacoes!J352-Cotacoes!J351)/Cotacoes!J351</f>
        <v>-1.0282295756216194E-2</v>
      </c>
      <c r="K352" s="5">
        <f>(Cotacoes!K352-Cotacoes!K351)/Cotacoes!K351</f>
        <v>1.4869888475837435E-3</v>
      </c>
      <c r="L352" s="5">
        <f>(Cotacoes!L352-Cotacoes!L351)/Cotacoes!L351</f>
        <v>-9.3750000000000777E-3</v>
      </c>
      <c r="M352" s="5">
        <f>(Cotacoes!M352-Cotacoes!M351)/Cotacoes!M351</f>
        <v>0</v>
      </c>
      <c r="N352" s="5">
        <f>(Cotacoes!N352-Cotacoes!N351)/Cotacoes!N351</f>
        <v>-1.485884101040219E-3</v>
      </c>
      <c r="O352" s="5">
        <f>(Cotacoes!O352-Cotacoes!O351)/Cotacoes!O351</f>
        <v>6.0975609756107102E-4</v>
      </c>
      <c r="P352" s="5">
        <f>(Cotacoes!P352-Cotacoes!P351)/Cotacoes!P351</f>
        <v>1.7876489707475528E-2</v>
      </c>
      <c r="Q352" s="5">
        <f>(Cotacoes!Q352-Cotacoes!Q351)/Cotacoes!Q351</f>
        <v>4.6210720887236646E-4</v>
      </c>
      <c r="R352" s="5">
        <f>(Cotacoes!R352-Cotacoes!R351)/Cotacoes!R351</f>
        <v>5.8502340093603191E-3</v>
      </c>
      <c r="S352" s="5">
        <f>(Cotacoes!S352-Cotacoes!S351)/Cotacoes!S351</f>
        <v>-2.2837370242214539E-2</v>
      </c>
      <c r="T352" s="5">
        <f>(Cotacoes!T352-Cotacoes!T351)/Cotacoes!T351</f>
        <v>-6.5174270331537793E-3</v>
      </c>
      <c r="U352" s="5">
        <f>(Cotacoes!U352-Cotacoes!U351)/Cotacoes!U351</f>
        <v>-1.6894745734073342E-4</v>
      </c>
      <c r="V352" s="5">
        <f>(Cotacoes!V352-Cotacoes!V351)/Cotacoes!V351</f>
        <v>-7.0696359137504168E-3</v>
      </c>
      <c r="W352" s="5"/>
    </row>
    <row r="353" spans="1:23" x14ac:dyDescent="0.2">
      <c r="A353" s="4">
        <v>45076</v>
      </c>
      <c r="B353" s="5">
        <f>(Cotacoes!B353-Cotacoes!B352)/Cotacoes!B352</f>
        <v>-3.203711886875741E-3</v>
      </c>
      <c r="C353" s="5">
        <f>(Cotacoes!C353-Cotacoes!C352)/Cotacoes!C352</f>
        <v>-2.364110201042435E-2</v>
      </c>
      <c r="D353" s="5">
        <f>(Cotacoes!D353-Cotacoes!D352)/Cotacoes!D352</f>
        <v>-1.1188066062866322E-2</v>
      </c>
      <c r="E353" s="5">
        <f>(Cotacoes!E353-Cotacoes!E352)/Cotacoes!E352</f>
        <v>-1.3862332695984832E-2</v>
      </c>
      <c r="F353" s="5">
        <f>(Cotacoes!F353-Cotacoes!F352)/Cotacoes!F352</f>
        <v>-9.2893636785881476E-3</v>
      </c>
      <c r="G353" s="5">
        <f>(Cotacoes!G353-Cotacoes!G352)/Cotacoes!G352</f>
        <v>-1.3948497854077337E-2</v>
      </c>
      <c r="H353" s="5">
        <f>(Cotacoes!H353-Cotacoes!H352)/Cotacoes!H352</f>
        <v>8.6486486486486557E-3</v>
      </c>
      <c r="I353" s="5">
        <f>(Cotacoes!I353-Cotacoes!I352)/Cotacoes!I352</f>
        <v>1.2670256572695326E-3</v>
      </c>
      <c r="J353" s="5">
        <f>(Cotacoes!J353-Cotacoes!J352)/Cotacoes!J352</f>
        <v>-8.1224027200604409E-3</v>
      </c>
      <c r="K353" s="5">
        <f>(Cotacoes!K353-Cotacoes!K352)/Cotacoes!K352</f>
        <v>-2.7468448403860504E-2</v>
      </c>
      <c r="L353" s="5">
        <f>(Cotacoes!L353-Cotacoes!L352)/Cotacoes!L352</f>
        <v>-1.3406940063091477E-2</v>
      </c>
      <c r="M353" s="5">
        <f>(Cotacoes!M353-Cotacoes!M352)/Cotacoes!M352</f>
        <v>-1.9142419601837671E-2</v>
      </c>
      <c r="N353" s="5">
        <f>(Cotacoes!N353-Cotacoes!N352)/Cotacoes!N352</f>
        <v>-8.9285714285713708E-3</v>
      </c>
      <c r="O353" s="5">
        <f>(Cotacoes!O353-Cotacoes!O352)/Cotacoes!O352</f>
        <v>0</v>
      </c>
      <c r="P353" s="5">
        <f>(Cotacoes!P353-Cotacoes!P352)/Cotacoes!P352</f>
        <v>3.72538584353381E-3</v>
      </c>
      <c r="Q353" s="5">
        <f>(Cotacoes!Q353-Cotacoes!Q352)/Cotacoes!Q352</f>
        <v>-5.5427251732100436E-3</v>
      </c>
      <c r="R353" s="5">
        <f>(Cotacoes!R353-Cotacoes!R352)/Cotacoes!R352</f>
        <v>-2.4815820085304405E-2</v>
      </c>
      <c r="S353" s="5">
        <f>(Cotacoes!S353-Cotacoes!S352)/Cotacoes!S352</f>
        <v>-4.9575070821528695E-3</v>
      </c>
      <c r="T353" s="5">
        <f>(Cotacoes!T353-Cotacoes!T352)/Cotacoes!T352</f>
        <v>-2.7952082144894579E-2</v>
      </c>
      <c r="U353" s="5">
        <f>(Cotacoes!U353-Cotacoes!U352)/Cotacoes!U352</f>
        <v>-1.5883744508279785E-2</v>
      </c>
      <c r="V353" s="5">
        <f>(Cotacoes!V353-Cotacoes!V352)/Cotacoes!V352</f>
        <v>-1.5663937344250669E-2</v>
      </c>
      <c r="W353" s="5"/>
    </row>
    <row r="354" spans="1:23" x14ac:dyDescent="0.2">
      <c r="A354" s="4">
        <v>45077</v>
      </c>
      <c r="B354" s="5">
        <f>(Cotacoes!B354-Cotacoes!B353)/Cotacoes!B353</f>
        <v>1.8508256677380049E-2</v>
      </c>
      <c r="C354" s="5">
        <f>(Cotacoes!C354-Cotacoes!C353)/Cotacoes!C353</f>
        <v>-7.2449952335558159E-3</v>
      </c>
      <c r="D354" s="5">
        <f>(Cotacoes!D354-Cotacoes!D353)/Cotacoes!D353</f>
        <v>-1.023706896551712E-2</v>
      </c>
      <c r="E354" s="5">
        <f>(Cotacoes!E354-Cotacoes!E353)/Cotacoes!E353</f>
        <v>-8.2404265632573023E-3</v>
      </c>
      <c r="F354" s="5">
        <f>(Cotacoes!F354-Cotacoes!F353)/Cotacoes!F353</f>
        <v>-1.2189404594467794E-2</v>
      </c>
      <c r="G354" s="5">
        <f>(Cotacoes!G354-Cotacoes!G353)/Cotacoes!G353</f>
        <v>-1.9042437431991181E-2</v>
      </c>
      <c r="H354" s="5">
        <f>(Cotacoes!H354-Cotacoes!H353)/Cotacoes!H353</f>
        <v>-1.607717041800704E-3</v>
      </c>
      <c r="I354" s="5">
        <f>(Cotacoes!I354-Cotacoes!I353)/Cotacoes!I353</f>
        <v>1.3603290098070223E-2</v>
      </c>
      <c r="J354" s="5">
        <f>(Cotacoes!J354-Cotacoes!J353)/Cotacoes!J353</f>
        <v>7.6175966482573123E-4</v>
      </c>
      <c r="K354" s="5">
        <f>(Cotacoes!K354-Cotacoes!K353)/Cotacoes!K353</f>
        <v>-1.2213740458015279E-2</v>
      </c>
      <c r="L354" s="5">
        <f>(Cotacoes!L354-Cotacoes!L353)/Cotacoes!L353</f>
        <v>-2.3980815347721313E-3</v>
      </c>
      <c r="M354" s="5">
        <f>(Cotacoes!M354-Cotacoes!M353)/Cotacoes!M353</f>
        <v>-4.6838407494145589E-3</v>
      </c>
      <c r="N354" s="5">
        <f>(Cotacoes!N354-Cotacoes!N353)/Cotacoes!N353</f>
        <v>-1.2012012012012022E-2</v>
      </c>
      <c r="O354" s="5">
        <f>(Cotacoes!O354-Cotacoes!O353)/Cotacoes!O353</f>
        <v>2.3765996343692905E-2</v>
      </c>
      <c r="P354" s="5">
        <f>(Cotacoes!P354-Cotacoes!P353)/Cotacoes!P353</f>
        <v>7.4231177094379944E-3</v>
      </c>
      <c r="Q354" s="5">
        <f>(Cotacoes!Q354-Cotacoes!Q353)/Cotacoes!Q353</f>
        <v>-7.6637250348352386E-3</v>
      </c>
      <c r="R354" s="5">
        <f>(Cotacoes!R354-Cotacoes!R353)/Cotacoes!R353</f>
        <v>-1.1928429423459131E-2</v>
      </c>
      <c r="S354" s="5">
        <f>(Cotacoes!S354-Cotacoes!S353)/Cotacoes!S353</f>
        <v>1.7793594306048811E-3</v>
      </c>
      <c r="T354" s="5">
        <f>(Cotacoes!T354-Cotacoes!T353)/Cotacoes!T353</f>
        <v>1.760563380281757E-3</v>
      </c>
      <c r="U354" s="5">
        <f>(Cotacoes!U354-Cotacoes!U353)/Cotacoes!U353</f>
        <v>-1.8372252747252751E-2</v>
      </c>
      <c r="V354" s="5">
        <f>(Cotacoes!V354-Cotacoes!V353)/Cotacoes!V353</f>
        <v>3.6166365280294985E-4</v>
      </c>
      <c r="W354" s="5"/>
    </row>
    <row r="355" spans="1:23" x14ac:dyDescent="0.2">
      <c r="A355" s="4">
        <v>45078</v>
      </c>
      <c r="B355" s="5">
        <f>(Cotacoes!B355-Cotacoes!B354)/Cotacoes!B354</f>
        <v>1.8607181719259996E-2</v>
      </c>
      <c r="C355" s="5">
        <f>(Cotacoes!C355-Cotacoes!C354)/Cotacoes!C354</f>
        <v>2.1125408104474774E-2</v>
      </c>
      <c r="D355" s="5">
        <f>(Cotacoes!D355-Cotacoes!D354)/Cotacoes!D354</f>
        <v>3.2117583015786599E-2</v>
      </c>
      <c r="E355" s="5">
        <f>(Cotacoes!E355-Cotacoes!E354)/Cotacoes!E354</f>
        <v>1.4662756598240503E-2</v>
      </c>
      <c r="F355" s="5">
        <f>(Cotacoes!F355-Cotacoes!F354)/Cotacoes!F354</f>
        <v>2.8951115329852842E-2</v>
      </c>
      <c r="G355" s="5">
        <f>(Cotacoes!G355-Cotacoes!G354)/Cotacoes!G354</f>
        <v>-1.1092623405435542E-2</v>
      </c>
      <c r="H355" s="5">
        <f>(Cotacoes!H355-Cotacoes!H354)/Cotacoes!H354</f>
        <v>2.6838432635534469E-3</v>
      </c>
      <c r="I355" s="5">
        <f>(Cotacoes!I355-Cotacoes!I354)/Cotacoes!I354</f>
        <v>8.4269662921349301E-3</v>
      </c>
      <c r="J355" s="5">
        <f>(Cotacoes!J355-Cotacoes!J354)/Cotacoes!J354</f>
        <v>-4.7573739295908657E-3</v>
      </c>
      <c r="K355" s="5">
        <f>(Cotacoes!K355-Cotacoes!K354)/Cotacoes!K354</f>
        <v>1.7774343122102042E-2</v>
      </c>
      <c r="L355" s="5">
        <f>(Cotacoes!L355-Cotacoes!L354)/Cotacoes!L354</f>
        <v>7.3717948717948706E-2</v>
      </c>
      <c r="M355" s="5">
        <f>(Cotacoes!M355-Cotacoes!M354)/Cotacoes!M354</f>
        <v>-1.1764705882352969E-2</v>
      </c>
      <c r="N355" s="5">
        <f>(Cotacoes!N355-Cotacoes!N354)/Cotacoes!N354</f>
        <v>1.5197568389057697E-2</v>
      </c>
      <c r="O355" s="5">
        <f>(Cotacoes!O355-Cotacoes!O354)/Cotacoes!O354</f>
        <v>-2.3214285714285746E-2</v>
      </c>
      <c r="P355" s="5">
        <f>(Cotacoes!P355-Cotacoes!P354)/Cotacoes!P354</f>
        <v>2.3157894736842172E-2</v>
      </c>
      <c r="Q355" s="5">
        <f>(Cotacoes!Q355-Cotacoes!Q354)/Cotacoes!Q354</f>
        <v>4.9145799204306315E-3</v>
      </c>
      <c r="R355" s="5">
        <f>(Cotacoes!R355-Cotacoes!R354)/Cotacoes!R354</f>
        <v>3.7424547283702203E-2</v>
      </c>
      <c r="S355" s="5">
        <f>(Cotacoes!S355-Cotacoes!S354)/Cotacoes!S354</f>
        <v>-7.1047957371225328E-3</v>
      </c>
      <c r="T355" s="5">
        <f>(Cotacoes!T355-Cotacoes!T354)/Cotacoes!T354</f>
        <v>-5.8582308142949993E-4</v>
      </c>
      <c r="U355" s="5">
        <f>(Cotacoes!U355-Cotacoes!U354)/Cotacoes!U354</f>
        <v>5.6148329543466866E-2</v>
      </c>
      <c r="V355" s="5">
        <f>(Cotacoes!V355-Cotacoes!V354)/Cotacoes!V354</f>
        <v>4.2660882140274754E-2</v>
      </c>
      <c r="W355" s="5"/>
    </row>
    <row r="356" spans="1:23" x14ac:dyDescent="0.2">
      <c r="A356" s="4">
        <v>45079</v>
      </c>
      <c r="B356" s="5">
        <f>(Cotacoes!B356-Cotacoes!B355)/Cotacoes!B355</f>
        <v>-2.4570024570024994E-3</v>
      </c>
      <c r="C356" s="5">
        <f>(Cotacoes!C356-Cotacoes!C355)/Cotacoes!C355</f>
        <v>4.26932480722211E-2</v>
      </c>
      <c r="D356" s="5">
        <f>(Cotacoes!D356-Cotacoes!D355)/Cotacoes!D355</f>
        <v>7.9113924050632153E-3</v>
      </c>
      <c r="E356" s="5">
        <f>(Cotacoes!E356-Cotacoes!E355)/Cotacoes!E355</f>
        <v>1.4932562620423829E-2</v>
      </c>
      <c r="F356" s="5">
        <f>(Cotacoes!F356-Cotacoes!F355)/Cotacoes!F355</f>
        <v>1.1992619926199334E-2</v>
      </c>
      <c r="G356" s="5">
        <f>(Cotacoes!G356-Cotacoes!G355)/Cotacoes!G355</f>
        <v>1.289960740325297E-2</v>
      </c>
      <c r="H356" s="5">
        <f>(Cotacoes!H356-Cotacoes!H355)/Cotacoes!H355</f>
        <v>1.8201284796573867E-2</v>
      </c>
      <c r="I356" s="5">
        <f>(Cotacoes!I356-Cotacoes!I355)/Cotacoes!I355</f>
        <v>2.1046115753636636E-2</v>
      </c>
      <c r="J356" s="5">
        <f>(Cotacoes!J356-Cotacoes!J355)/Cotacoes!J355</f>
        <v>1.5487571701720885E-2</v>
      </c>
      <c r="K356" s="5">
        <f>(Cotacoes!K356-Cotacoes!K355)/Cotacoes!K355</f>
        <v>1.7463933181473077E-2</v>
      </c>
      <c r="L356" s="5">
        <f>(Cotacoes!L356-Cotacoes!L355)/Cotacoes!L355</f>
        <v>8.2089552238805551E-3</v>
      </c>
      <c r="M356" s="5">
        <f>(Cotacoes!M356-Cotacoes!M355)/Cotacoes!M355</f>
        <v>1.507936507936504E-2</v>
      </c>
      <c r="N356" s="5">
        <f>(Cotacoes!N356-Cotacoes!N355)/Cotacoes!N355</f>
        <v>2.3952095808383256E-2</v>
      </c>
      <c r="O356" s="5">
        <f>(Cotacoes!O356-Cotacoes!O355)/Cotacoes!O355</f>
        <v>2.1937842778793383E-2</v>
      </c>
      <c r="P356" s="5">
        <f>(Cotacoes!P356-Cotacoes!P355)/Cotacoes!P355</f>
        <v>1.5432098765430855E-3</v>
      </c>
      <c r="Q356" s="5">
        <f>(Cotacoes!Q356-Cotacoes!Q355)/Cotacoes!Q355</f>
        <v>3.167210060549603E-2</v>
      </c>
      <c r="R356" s="5">
        <f>(Cotacoes!R356-Cotacoes!R355)/Cotacoes!R355</f>
        <v>3.3359193173002302E-2</v>
      </c>
      <c r="S356" s="5">
        <f>(Cotacoes!S356-Cotacoes!S355)/Cotacoes!S355</f>
        <v>7.5134168157424278E-3</v>
      </c>
      <c r="T356" s="5">
        <f>(Cotacoes!T356-Cotacoes!T355)/Cotacoes!T355</f>
        <v>3.3411488862837062E-2</v>
      </c>
      <c r="U356" s="5">
        <f>(Cotacoes!U356-Cotacoes!U355)/Cotacoes!U355</f>
        <v>9.4402119907254101E-3</v>
      </c>
      <c r="V356" s="5">
        <f>(Cotacoes!V356-Cotacoes!V355)/Cotacoes!V355</f>
        <v>1.8723994452149763E-2</v>
      </c>
      <c r="W356" s="5"/>
    </row>
    <row r="357" spans="1:23" x14ac:dyDescent="0.2">
      <c r="A357" s="4">
        <v>45082</v>
      </c>
      <c r="B357" s="5">
        <f>(Cotacoes!B357-Cotacoes!B356)/Cotacoes!B356</f>
        <v>1.734846862283149E-2</v>
      </c>
      <c r="C357" s="5">
        <f>(Cotacoes!C357-Cotacoes!C356)/Cotacoes!C356</f>
        <v>-8.2972582972583135E-3</v>
      </c>
      <c r="D357" s="5">
        <f>(Cotacoes!D357-Cotacoes!D356)/Cotacoes!D356</f>
        <v>1.0465724751439E-2</v>
      </c>
      <c r="E357" s="5">
        <f>(Cotacoes!E357-Cotacoes!E356)/Cotacoes!E356</f>
        <v>1.8984337921214593E-3</v>
      </c>
      <c r="F357" s="5">
        <f>(Cotacoes!F357-Cotacoes!F356)/Cotacoes!F356</f>
        <v>6.381039197812079E-3</v>
      </c>
      <c r="G357" s="5">
        <f>(Cotacoes!G357-Cotacoes!G356)/Cotacoes!G356</f>
        <v>-1.1074197120708514E-3</v>
      </c>
      <c r="H357" s="5">
        <f>(Cotacoes!H357-Cotacoes!H356)/Cotacoes!H356</f>
        <v>3.1545741324920462E-3</v>
      </c>
      <c r="I357" s="5">
        <f>(Cotacoes!I357-Cotacoes!I356)/Cotacoes!I356</f>
        <v>2.7280994240677873E-3</v>
      </c>
      <c r="J357" s="5">
        <f>(Cotacoes!J357-Cotacoes!J356)/Cotacoes!J356</f>
        <v>-1.6381095838825032E-2</v>
      </c>
      <c r="K357" s="5">
        <f>(Cotacoes!K357-Cotacoes!K356)/Cotacoes!K356</f>
        <v>1.7910447761194045E-2</v>
      </c>
      <c r="L357" s="5">
        <f>(Cotacoes!L357-Cotacoes!L356)/Cotacoes!L356</f>
        <v>2.9607698001481069E-3</v>
      </c>
      <c r="M357" s="5">
        <f>(Cotacoes!M357-Cotacoes!M356)/Cotacoes!M356</f>
        <v>-3.1274433150898476E-3</v>
      </c>
      <c r="N357" s="5">
        <f>(Cotacoes!N357-Cotacoes!N356)/Cotacoes!N356</f>
        <v>-1.4619883040935362E-3</v>
      </c>
      <c r="O357" s="5">
        <f>(Cotacoes!O357-Cotacoes!O356)/Cotacoes!O356</f>
        <v>6.5593321407274559E-3</v>
      </c>
      <c r="P357" s="5">
        <f>(Cotacoes!P357-Cotacoes!P356)/Cotacoes!P356</f>
        <v>-2.0544427324087904E-3</v>
      </c>
      <c r="Q357" s="5">
        <f>(Cotacoes!Q357-Cotacoes!Q356)/Cotacoes!Q356</f>
        <v>8.3521444695260627E-3</v>
      </c>
      <c r="R357" s="5">
        <f>(Cotacoes!R357-Cotacoes!R356)/Cotacoes!R356</f>
        <v>6.3813813813813122E-3</v>
      </c>
      <c r="S357" s="5">
        <f>(Cotacoes!S357-Cotacoes!S356)/Cotacoes!S356</f>
        <v>-1.0653409090909496E-3</v>
      </c>
      <c r="T357" s="5">
        <f>(Cotacoes!T357-Cotacoes!T356)/Cotacoes!T356</f>
        <v>8.5082246171302154E-4</v>
      </c>
      <c r="U357" s="5">
        <f>(Cotacoes!U357-Cotacoes!U356)/Cotacoes!U356</f>
        <v>5.2502050861361815E-3</v>
      </c>
      <c r="V357" s="5">
        <f>(Cotacoes!V357-Cotacoes!V356)/Cotacoes!V356</f>
        <v>9.8706603131382808E-3</v>
      </c>
      <c r="W357" s="5"/>
    </row>
    <row r="358" spans="1:23" x14ac:dyDescent="0.2">
      <c r="A358" s="4">
        <v>45083</v>
      </c>
      <c r="B358" s="5">
        <f>(Cotacoes!B358-Cotacoes!B357)/Cotacoes!B357</f>
        <v>5.0526315789474101E-3</v>
      </c>
      <c r="C358" s="5">
        <f>(Cotacoes!C358-Cotacoes!C357)/Cotacoes!C357</f>
        <v>3.2739177882866446E-3</v>
      </c>
      <c r="D358" s="5">
        <f>(Cotacoes!D358-Cotacoes!D357)/Cotacoes!D357</f>
        <v>2.1232522009321603E-2</v>
      </c>
      <c r="E358" s="5">
        <f>(Cotacoes!E358-Cotacoes!E357)/Cotacoes!E357</f>
        <v>7.10563713879688E-3</v>
      </c>
      <c r="F358" s="5">
        <f>(Cotacoes!F358-Cotacoes!F357)/Cotacoes!F357</f>
        <v>2.0380434782608824E-2</v>
      </c>
      <c r="G358" s="5">
        <f>(Cotacoes!G358-Cotacoes!G357)/Cotacoes!G357</f>
        <v>1.524390243902451E-2</v>
      </c>
      <c r="H358" s="5">
        <f>(Cotacoes!H358-Cotacoes!H357)/Cotacoes!H357</f>
        <v>1.2054507337526228E-2</v>
      </c>
      <c r="I358" s="5">
        <f>(Cotacoes!I358-Cotacoes!I357)/Cotacoes!I357</f>
        <v>4.7762998790810106E-2</v>
      </c>
      <c r="J358" s="5">
        <f>(Cotacoes!J358-Cotacoes!J357)/Cotacoes!J357</f>
        <v>2.8905053598774846E-2</v>
      </c>
      <c r="K358" s="5">
        <f>(Cotacoes!K358-Cotacoes!K357)/Cotacoes!K357</f>
        <v>1.6129032258064432E-2</v>
      </c>
      <c r="L358" s="5">
        <f>(Cotacoes!L358-Cotacoes!L357)/Cotacoes!L357</f>
        <v>-3.6900369003690561E-3</v>
      </c>
      <c r="M358" s="5">
        <f>(Cotacoes!M358-Cotacoes!M357)/Cotacoes!M357</f>
        <v>2.8235294117647015E-2</v>
      </c>
      <c r="N358" s="5">
        <f>(Cotacoes!N358-Cotacoes!N357)/Cotacoes!N357</f>
        <v>0</v>
      </c>
      <c r="O358" s="5">
        <f>(Cotacoes!O358-Cotacoes!O357)/Cotacoes!O357</f>
        <v>4.3838862559241826E-2</v>
      </c>
      <c r="P358" s="5">
        <f>(Cotacoes!P358-Cotacoes!P357)/Cotacoes!P357</f>
        <v>5.1466803911477833E-3</v>
      </c>
      <c r="Q358" s="5">
        <f>(Cotacoes!Q358-Cotacoes!Q357)/Cotacoes!Q357</f>
        <v>2.6863666890529982E-3</v>
      </c>
      <c r="R358" s="5">
        <f>(Cotacoes!R358-Cotacoes!R357)/Cotacoes!R357</f>
        <v>4.4759418127564713E-3</v>
      </c>
      <c r="S358" s="5">
        <f>(Cotacoes!S358-Cotacoes!S357)/Cotacoes!S357</f>
        <v>3.23498044792037E-2</v>
      </c>
      <c r="T358" s="5">
        <f>(Cotacoes!T358-Cotacoes!T357)/Cotacoes!T357</f>
        <v>-3.0036837631057023E-2</v>
      </c>
      <c r="U358" s="5">
        <f>(Cotacoes!U358-Cotacoes!U357)/Cotacoes!U357</f>
        <v>1.9585441488493484E-2</v>
      </c>
      <c r="V358" s="5">
        <f>(Cotacoes!V358-Cotacoes!V357)/Cotacoes!V357</f>
        <v>1.6514998314796036E-2</v>
      </c>
      <c r="W358" s="5"/>
    </row>
    <row r="359" spans="1:23" x14ac:dyDescent="0.2">
      <c r="A359" s="4">
        <v>45084</v>
      </c>
      <c r="B359" s="5">
        <f>(Cotacoes!B359-Cotacoes!B358)/Cotacoes!B358</f>
        <v>1.7071638039379926E-2</v>
      </c>
      <c r="C359" s="5">
        <f>(Cotacoes!C359-Cotacoes!C358)/Cotacoes!C358</f>
        <v>1.595358955765052E-2</v>
      </c>
      <c r="D359" s="5">
        <f>(Cotacoes!D359-Cotacoes!D358)/Cotacoes!D358</f>
        <v>2.941176470588245E-2</v>
      </c>
      <c r="E359" s="5">
        <f>(Cotacoes!E359-Cotacoes!E358)/Cotacoes!E358</f>
        <v>2.8222013170272208E-3</v>
      </c>
      <c r="F359" s="5">
        <f>(Cotacoes!F359-Cotacoes!F358)/Cotacoes!F358</f>
        <v>3.106968486462491E-2</v>
      </c>
      <c r="G359" s="5">
        <f>(Cotacoes!G359-Cotacoes!G358)/Cotacoes!G358</f>
        <v>-1.3650013650014813E-3</v>
      </c>
      <c r="H359" s="5">
        <f>(Cotacoes!H359-Cotacoes!H358)/Cotacoes!H358</f>
        <v>-5.1786639047115537E-4</v>
      </c>
      <c r="I359" s="5">
        <f>(Cotacoes!I359-Cotacoes!I358)/Cotacoes!I358</f>
        <v>-4.3277553375648753E-3</v>
      </c>
      <c r="J359" s="5">
        <f>(Cotacoes!J359-Cotacoes!J358)/Cotacoes!J358</f>
        <v>-8.186046511627864E-3</v>
      </c>
      <c r="K359" s="5">
        <f>(Cotacoes!K359-Cotacoes!K358)/Cotacoes!K358</f>
        <v>-7.215007215007061E-4</v>
      </c>
      <c r="L359" s="5">
        <f>(Cotacoes!L359-Cotacoes!L358)/Cotacoes!L358</f>
        <v>2.2962962962963001E-2</v>
      </c>
      <c r="M359" s="5">
        <f>(Cotacoes!M359-Cotacoes!M358)/Cotacoes!M358</f>
        <v>2.2883295194508877E-3</v>
      </c>
      <c r="N359" s="5">
        <f>(Cotacoes!N359-Cotacoes!N358)/Cotacoes!N358</f>
        <v>1.4641288433381826E-3</v>
      </c>
      <c r="O359" s="5">
        <f>(Cotacoes!O359-Cotacoes!O358)/Cotacoes!O358</f>
        <v>2.2701475595913248E-3</v>
      </c>
      <c r="P359" s="5">
        <f>(Cotacoes!P359-Cotacoes!P358)/Cotacoes!P358</f>
        <v>-1.587301587301599E-2</v>
      </c>
      <c r="Q359" s="5">
        <f>(Cotacoes!Q359-Cotacoes!Q358)/Cotacoes!Q358</f>
        <v>-2.3665996874302351E-2</v>
      </c>
      <c r="R359" s="5">
        <f>(Cotacoes!R359-Cotacoes!R358)/Cotacoes!R358</f>
        <v>2.4879316747122231E-2</v>
      </c>
      <c r="S359" s="5">
        <f>(Cotacoes!S359-Cotacoes!S358)/Cotacoes!S358</f>
        <v>1.962809917355373E-2</v>
      </c>
      <c r="T359" s="5">
        <f>(Cotacoes!T359-Cotacoes!T358)/Cotacoes!T358</f>
        <v>1.460706982179375E-2</v>
      </c>
      <c r="U359" s="5">
        <f>(Cotacoes!U359-Cotacoes!U358)/Cotacoes!U358</f>
        <v>-3.6817672482791241E-3</v>
      </c>
      <c r="V359" s="5">
        <f>(Cotacoes!V359-Cotacoes!V358)/Cotacoes!V358</f>
        <v>2.3872679045092802E-2</v>
      </c>
      <c r="W359" s="5"/>
    </row>
    <row r="360" spans="1:23" x14ac:dyDescent="0.2">
      <c r="A360" s="4">
        <v>45086</v>
      </c>
      <c r="B360" s="5">
        <f>(Cotacoes!B360-Cotacoes!B359)/Cotacoes!B359</f>
        <v>3.2952322108949377E-3</v>
      </c>
      <c r="C360" s="5">
        <f>(Cotacoes!C360-Cotacoes!C359)/Cotacoes!C359</f>
        <v>-4.6395431834403639E-3</v>
      </c>
      <c r="D360" s="5">
        <f>(Cotacoes!D360-Cotacoes!D359)/Cotacoes!D359</f>
        <v>4.8768472906403862E-2</v>
      </c>
      <c r="E360" s="5">
        <f>(Cotacoes!E360-Cotacoes!E359)/Cotacoes!E359</f>
        <v>1.407129455909947E-2</v>
      </c>
      <c r="F360" s="5">
        <f>(Cotacoes!F360-Cotacoes!F359)/Cotacoes!F359</f>
        <v>4.8213517003874343E-2</v>
      </c>
      <c r="G360" s="5">
        <f>(Cotacoes!G360-Cotacoes!G359)/Cotacoes!G359</f>
        <v>-9.2946965554947057E-3</v>
      </c>
      <c r="H360" s="5">
        <f>(Cotacoes!H360-Cotacoes!H359)/Cotacoes!H359</f>
        <v>4.8704663212435113E-2</v>
      </c>
      <c r="I360" s="5">
        <f>(Cotacoes!I360-Cotacoes!I359)/Cotacoes!I359</f>
        <v>1.3909011880614431E-2</v>
      </c>
      <c r="J360" s="5">
        <f>(Cotacoes!J360-Cotacoes!J359)/Cotacoes!J359</f>
        <v>2.1947101857062362E-2</v>
      </c>
      <c r="K360" s="5">
        <f>(Cotacoes!K360-Cotacoes!K359)/Cotacoes!K359</f>
        <v>1.660649819494588E-2</v>
      </c>
      <c r="L360" s="5">
        <f>(Cotacoes!L360-Cotacoes!L359)/Cotacoes!L359</f>
        <v>-2.8964518464881187E-3</v>
      </c>
      <c r="M360" s="5">
        <f>(Cotacoes!M360-Cotacoes!M359)/Cotacoes!M359</f>
        <v>1.9786910197869084E-2</v>
      </c>
      <c r="N360" s="5">
        <f>(Cotacoes!N360-Cotacoes!N359)/Cotacoes!N359</f>
        <v>1.3157894736842085E-2</v>
      </c>
      <c r="O360" s="5">
        <f>(Cotacoes!O360-Cotacoes!O359)/Cotacoes!O359</f>
        <v>4.5300113250282157E-3</v>
      </c>
      <c r="P360" s="5">
        <f>(Cotacoes!P360-Cotacoes!P359)/Cotacoes!P359</f>
        <v>1.404786680541101E-2</v>
      </c>
      <c r="Q360" s="5">
        <f>(Cotacoes!Q360-Cotacoes!Q359)/Cotacoes!Q359</f>
        <v>-1.2805854104733482E-2</v>
      </c>
      <c r="R360" s="5">
        <f>(Cotacoes!R360-Cotacoes!R359)/Cotacoes!R359</f>
        <v>-3.9855072463769198E-3</v>
      </c>
      <c r="S360" s="5">
        <f>(Cotacoes!S360-Cotacoes!S359)/Cotacoes!S359</f>
        <v>2.7017899358324916E-2</v>
      </c>
      <c r="T360" s="5">
        <f>(Cotacoes!T360-Cotacoes!T359)/Cotacoes!T359</f>
        <v>-8.9260005758708665E-3</v>
      </c>
      <c r="U360" s="5">
        <f>(Cotacoes!U360-Cotacoes!U359)/Cotacoes!U359</f>
        <v>9.3187660668380187E-3</v>
      </c>
      <c r="V360" s="5">
        <f>(Cotacoes!V360-Cotacoes!V359)/Cotacoes!V359</f>
        <v>-4.2098445595854603E-3</v>
      </c>
      <c r="W360" s="5"/>
    </row>
    <row r="361" spans="1:23" x14ac:dyDescent="0.2">
      <c r="A361" s="4">
        <v>45089</v>
      </c>
      <c r="B361" s="5">
        <f>(Cotacoes!B361-Cotacoes!B360)/Cotacoes!B360</f>
        <v>-3.6949604844505146E-3</v>
      </c>
      <c r="C361" s="5">
        <f>(Cotacoes!C361-Cotacoes!C360)/Cotacoes!C360</f>
        <v>-1.8106848332735712E-2</v>
      </c>
      <c r="D361" s="5">
        <f>(Cotacoes!D361-Cotacoes!D360)/Cotacoes!D360</f>
        <v>1.7379051197745469E-2</v>
      </c>
      <c r="E361" s="5">
        <f>(Cotacoes!E361-Cotacoes!E360)/Cotacoes!E360</f>
        <v>-1.0638297872340444E-2</v>
      </c>
      <c r="F361" s="5">
        <f>(Cotacoes!F361-Cotacoes!F360)/Cotacoes!F360</f>
        <v>1.2731006160164218E-2</v>
      </c>
      <c r="G361" s="5">
        <f>(Cotacoes!G361-Cotacoes!G360)/Cotacoes!G360</f>
        <v>-1.3796909492274907E-3</v>
      </c>
      <c r="H361" s="5">
        <f>(Cotacoes!H361-Cotacoes!H360)/Cotacoes!H360</f>
        <v>3.6067193675889349E-2</v>
      </c>
      <c r="I361" s="5">
        <f>(Cotacoes!I361-Cotacoes!I360)/Cotacoes!I360</f>
        <v>1.4575593026578964E-2</v>
      </c>
      <c r="J361" s="5">
        <f>(Cotacoes!J361-Cotacoes!J360)/Cotacoes!J360</f>
        <v>4.0381791483114163E-3</v>
      </c>
      <c r="K361" s="5">
        <f>(Cotacoes!K361-Cotacoes!K360)/Cotacoes!K360</f>
        <v>-7.8124999999999592E-3</v>
      </c>
      <c r="L361" s="5">
        <f>(Cotacoes!L361-Cotacoes!L360)/Cotacoes!L360</f>
        <v>1.3798111837327617E-2</v>
      </c>
      <c r="M361" s="5">
        <f>(Cotacoes!M361-Cotacoes!M360)/Cotacoes!M360</f>
        <v>7.4626865671640198E-4</v>
      </c>
      <c r="N361" s="5">
        <f>(Cotacoes!N361-Cotacoes!N360)/Cotacoes!N360</f>
        <v>4.3290043290043654E-3</v>
      </c>
      <c r="O361" s="5">
        <f>(Cotacoes!O361-Cotacoes!O360)/Cotacoes!O360</f>
        <v>1.4656144306651724E-2</v>
      </c>
      <c r="P361" s="5">
        <f>(Cotacoes!P361-Cotacoes!P360)/Cotacoes!P360</f>
        <v>8.2093381221139128E-3</v>
      </c>
      <c r="Q361" s="5">
        <f>(Cotacoes!Q361-Cotacoes!Q360)/Cotacoes!Q360</f>
        <v>3.2198285846652783E-2</v>
      </c>
      <c r="R361" s="5">
        <f>(Cotacoes!R361-Cotacoes!R360)/Cotacoes!R360</f>
        <v>1.054929065114597E-2</v>
      </c>
      <c r="S361" s="5">
        <f>(Cotacoes!S361-Cotacoes!S360)/Cotacoes!S360</f>
        <v>1.6113120683985481E-2</v>
      </c>
      <c r="T361" s="5">
        <f>(Cotacoes!T361-Cotacoes!T360)/Cotacoes!T360</f>
        <v>-3.8640325392213778E-2</v>
      </c>
      <c r="U361" s="5">
        <f>(Cotacoes!U361-Cotacoes!U360)/Cotacoes!U360</f>
        <v>-1.3849092645654209E-2</v>
      </c>
      <c r="V361" s="5">
        <f>(Cotacoes!V361-Cotacoes!V360)/Cotacoes!V360</f>
        <v>1.4308943089430936E-2</v>
      </c>
      <c r="W361" s="5"/>
    </row>
    <row r="362" spans="1:23" x14ac:dyDescent="0.2">
      <c r="A362" s="4">
        <v>45090</v>
      </c>
      <c r="B362" s="5">
        <f>(Cotacoes!B362-Cotacoes!B361)/Cotacoes!B361</f>
        <v>1.2980323477902598E-2</v>
      </c>
      <c r="C362" s="5">
        <f>(Cotacoes!C362-Cotacoes!C361)/Cotacoes!C361</f>
        <v>1.058973890816137E-2</v>
      </c>
      <c r="D362" s="5">
        <f>(Cotacoes!D362-Cotacoes!D361)/Cotacoes!D361</f>
        <v>-5.0784856879039445E-3</v>
      </c>
      <c r="E362" s="5">
        <f>(Cotacoes!E362-Cotacoes!E361)/Cotacoes!E361</f>
        <v>1.1220196353436112E-2</v>
      </c>
      <c r="F362" s="5">
        <f>(Cotacoes!F362-Cotacoes!F361)/Cotacoes!F361</f>
        <v>-2.8386050283860619E-3</v>
      </c>
      <c r="G362" s="5">
        <f>(Cotacoes!G362-Cotacoes!G361)/Cotacoes!G361</f>
        <v>-1.0500138159712503E-2</v>
      </c>
      <c r="H362" s="5">
        <f>(Cotacoes!H362-Cotacoes!H361)/Cotacoes!H361</f>
        <v>-1.1444921316165877E-2</v>
      </c>
      <c r="I362" s="5">
        <f>(Cotacoes!I362-Cotacoes!I361)/Cotacoes!I361</f>
        <v>-1.7183098591549279E-2</v>
      </c>
      <c r="J362" s="5">
        <f>(Cotacoes!J362-Cotacoes!J361)/Cotacoes!J361</f>
        <v>-1.7915904936014696E-2</v>
      </c>
      <c r="K362" s="5">
        <f>(Cotacoes!K362-Cotacoes!K361)/Cotacoes!K361</f>
        <v>7.1581961345739342E-4</v>
      </c>
      <c r="L362" s="5">
        <f>(Cotacoes!L362-Cotacoes!L361)/Cotacoes!L361</f>
        <v>-1.9340974212034481E-2</v>
      </c>
      <c r="M362" s="5">
        <f>(Cotacoes!M362-Cotacoes!M361)/Cotacoes!M361</f>
        <v>7.4571215510812559E-3</v>
      </c>
      <c r="N362" s="5">
        <f>(Cotacoes!N362-Cotacoes!N361)/Cotacoes!N361</f>
        <v>8.6206896551723582E-3</v>
      </c>
      <c r="O362" s="5">
        <f>(Cotacoes!O362-Cotacoes!O361)/Cotacoes!O361</f>
        <v>4.9999999999999923E-3</v>
      </c>
      <c r="P362" s="5">
        <f>(Cotacoes!P362-Cotacoes!P361)/Cotacoes!P361</f>
        <v>2.0865139949109424E-2</v>
      </c>
      <c r="Q362" s="5">
        <f>(Cotacoes!Q362-Cotacoes!Q361)/Cotacoes!Q361</f>
        <v>7.6301615798921966E-3</v>
      </c>
      <c r="R362" s="5">
        <f>(Cotacoes!R362-Cotacoes!R361)/Cotacoes!R361</f>
        <v>-2.2318214542836608E-2</v>
      </c>
      <c r="S362" s="5">
        <f>(Cotacoes!S362-Cotacoes!S361)/Cotacoes!S361</f>
        <v>6.4724919093852055E-3</v>
      </c>
      <c r="T362" s="5">
        <f>(Cotacoes!T362-Cotacoes!T361)/Cotacoes!T361</f>
        <v>3.5962526443034076E-2</v>
      </c>
      <c r="U362" s="5">
        <f>(Cotacoes!U362-Cotacoes!U361)/Cotacoes!U361</f>
        <v>-2.0984665052461729E-2</v>
      </c>
      <c r="V362" s="5">
        <f>(Cotacoes!V362-Cotacoes!V361)/Cotacoes!V361</f>
        <v>-1.3465854440525863E-2</v>
      </c>
      <c r="W362" s="5"/>
    </row>
    <row r="363" spans="1:23" x14ac:dyDescent="0.2">
      <c r="A363" s="4">
        <v>45091</v>
      </c>
      <c r="B363" s="5">
        <f>(Cotacoes!B363-Cotacoes!B362)/Cotacoes!B362</f>
        <v>7.2205837486017284E-3</v>
      </c>
      <c r="C363" s="5">
        <f>(Cotacoes!C363-Cotacoes!C362)/Cotacoes!C362</f>
        <v>1.7524841915085798E-2</v>
      </c>
      <c r="D363" s="5">
        <f>(Cotacoes!D363-Cotacoes!D362)/Cotacoes!D362</f>
        <v>4.269141531322497E-2</v>
      </c>
      <c r="E363" s="5">
        <f>(Cotacoes!E363-Cotacoes!E362)/Cotacoes!E362</f>
        <v>1.3407304669440716E-2</v>
      </c>
      <c r="F363" s="5">
        <f>(Cotacoes!F363-Cotacoes!F362)/Cotacoes!F362</f>
        <v>4.3106954046360259E-2</v>
      </c>
      <c r="G363" s="5">
        <f>(Cotacoes!G363-Cotacoes!G362)/Cotacoes!G362</f>
        <v>1.3962580284836637E-2</v>
      </c>
      <c r="H363" s="5">
        <f>(Cotacoes!H363-Cotacoes!H362)/Cotacoes!H362</f>
        <v>4.8239266763144169E-3</v>
      </c>
      <c r="I363" s="5">
        <f>(Cotacoes!I363-Cotacoes!I362)/Cotacoes!I362</f>
        <v>2.6941817139581475E-2</v>
      </c>
      <c r="J363" s="5">
        <f>(Cotacoes!J363-Cotacoes!J362)/Cotacoes!J362</f>
        <v>1.116902457185448E-3</v>
      </c>
      <c r="K363" s="5">
        <f>(Cotacoes!K363-Cotacoes!K362)/Cotacoes!K362</f>
        <v>7.1530758226036936E-3</v>
      </c>
      <c r="L363" s="5">
        <f>(Cotacoes!L363-Cotacoes!L362)/Cotacoes!L362</f>
        <v>4.1636230825420034E-2</v>
      </c>
      <c r="M363" s="5">
        <f>(Cotacoes!M363-Cotacoes!M362)/Cotacoes!M362</f>
        <v>3.7009622501851008E-3</v>
      </c>
      <c r="N363" s="5">
        <f>(Cotacoes!N363-Cotacoes!N362)/Cotacoes!N362</f>
        <v>1.2820512820512928E-2</v>
      </c>
      <c r="O363" s="5">
        <f>(Cotacoes!O363-Cotacoes!O362)/Cotacoes!O362</f>
        <v>-5.5279159756780336E-4</v>
      </c>
      <c r="P363" s="5">
        <f>(Cotacoes!P363-Cotacoes!P362)/Cotacoes!P362</f>
        <v>1.595214356929214E-2</v>
      </c>
      <c r="Q363" s="5">
        <f>(Cotacoes!Q363-Cotacoes!Q362)/Cotacoes!Q362</f>
        <v>-8.4632516703785181E-3</v>
      </c>
      <c r="R363" s="5">
        <f>(Cotacoes!R363-Cotacoes!R362)/Cotacoes!R362</f>
        <v>3.6818851251841467E-3</v>
      </c>
      <c r="S363" s="5">
        <f>(Cotacoes!S363-Cotacoes!S362)/Cotacoes!S362</f>
        <v>1.6077170418005516E-3</v>
      </c>
      <c r="T363" s="5">
        <f>(Cotacoes!T363-Cotacoes!T362)/Cotacoes!T362</f>
        <v>3.0921820303383963E-2</v>
      </c>
      <c r="U363" s="5">
        <f>(Cotacoes!U363-Cotacoes!U362)/Cotacoes!U362</f>
        <v>1.912613355317401E-2</v>
      </c>
      <c r="V363" s="5">
        <f>(Cotacoes!V363-Cotacoes!V362)/Cotacoes!V362</f>
        <v>3.3474163145921387E-2</v>
      </c>
      <c r="W363" s="5"/>
    </row>
    <row r="364" spans="1:23" x14ac:dyDescent="0.2">
      <c r="A364" s="4">
        <v>45092</v>
      </c>
      <c r="B364" s="5">
        <f>(Cotacoes!B364-Cotacoes!B363)/Cotacoes!B363</f>
        <v>-3.6348949919224496E-3</v>
      </c>
      <c r="C364" s="5">
        <f>(Cotacoes!C364-Cotacoes!C363)/Cotacoes!C363</f>
        <v>7.8124999999999592E-3</v>
      </c>
      <c r="D364" s="5">
        <f>(Cotacoes!D364-Cotacoes!D363)/Cotacoes!D363</f>
        <v>-2.3587004895416003E-2</v>
      </c>
      <c r="E364" s="5">
        <f>(Cotacoes!E364-Cotacoes!E363)/Cotacoes!E363</f>
        <v>1.322992700729923E-2</v>
      </c>
      <c r="F364" s="5">
        <f>(Cotacoes!F364-Cotacoes!F363)/Cotacoes!F363</f>
        <v>-1.4814814814814777E-2</v>
      </c>
      <c r="G364" s="5">
        <f>(Cotacoes!G364-Cotacoes!G363)/Cotacoes!G363</f>
        <v>-8.2621867254203073E-4</v>
      </c>
      <c r="H364" s="5">
        <f>(Cotacoes!H364-Cotacoes!H363)/Cotacoes!H363</f>
        <v>2.0643302928468714E-2</v>
      </c>
      <c r="I364" s="5">
        <f>(Cotacoes!I364-Cotacoes!I363)/Cotacoes!I363</f>
        <v>7.2564889757188149E-3</v>
      </c>
      <c r="J364" s="5">
        <f>(Cotacoes!J364-Cotacoes!J363)/Cotacoes!J363</f>
        <v>-7.2517664559315839E-3</v>
      </c>
      <c r="K364" s="5">
        <f>(Cotacoes!K364-Cotacoes!K363)/Cotacoes!K363</f>
        <v>2.8409090909090303E-3</v>
      </c>
      <c r="L364" s="5">
        <f>(Cotacoes!L364-Cotacoes!L363)/Cotacoes!L363</f>
        <v>-3.3660589060308589E-2</v>
      </c>
      <c r="M364" s="5">
        <f>(Cotacoes!M364-Cotacoes!M363)/Cotacoes!M363</f>
        <v>-8.8495575221239665E-3</v>
      </c>
      <c r="N364" s="5">
        <f>(Cotacoes!N364-Cotacoes!N363)/Cotacoes!N363</f>
        <v>1.8284106891701811E-2</v>
      </c>
      <c r="O364" s="5">
        <f>(Cotacoes!O364-Cotacoes!O363)/Cotacoes!O363</f>
        <v>7.7433628318584391E-3</v>
      </c>
      <c r="P364" s="5">
        <f>(Cotacoes!P364-Cotacoes!P363)/Cotacoes!P363</f>
        <v>7.360157016683128E-3</v>
      </c>
      <c r="Q364" s="5">
        <f>(Cotacoes!Q364-Cotacoes!Q363)/Cotacoes!Q363</f>
        <v>3.6163522012578601E-2</v>
      </c>
      <c r="R364" s="5">
        <f>(Cotacoes!R364-Cotacoes!R363)/Cotacoes!R363</f>
        <v>5.1357300073366476E-3</v>
      </c>
      <c r="S364" s="5">
        <f>(Cotacoes!S364-Cotacoes!S363)/Cotacoes!S363</f>
        <v>0</v>
      </c>
      <c r="T364" s="5">
        <f>(Cotacoes!T364-Cotacoes!T363)/Cotacoes!T363</f>
        <v>5.6593095642330426E-3</v>
      </c>
      <c r="U364" s="5">
        <f>(Cotacoes!U364-Cotacoes!U363)/Cotacoes!U363</f>
        <v>-6.6332308687915174E-3</v>
      </c>
      <c r="V364" s="5">
        <f>(Cotacoes!V364-Cotacoes!V363)/Cotacoes!V363</f>
        <v>0</v>
      </c>
      <c r="W364" s="5"/>
    </row>
    <row r="365" spans="1:23" x14ac:dyDescent="0.2">
      <c r="A365" s="4">
        <v>45093</v>
      </c>
      <c r="B365" s="5">
        <f>(Cotacoes!B365-Cotacoes!B364)/Cotacoes!B364</f>
        <v>7.4989866234292137E-3</v>
      </c>
      <c r="C365" s="5">
        <f>(Cotacoes!C365-Cotacoes!C364)/Cotacoes!C364</f>
        <v>1.5856236786469947E-3</v>
      </c>
      <c r="D365" s="5">
        <f>(Cotacoes!D365-Cotacoes!D364)/Cotacoes!D364</f>
        <v>8.6599817684593315E-3</v>
      </c>
      <c r="E365" s="5">
        <f>(Cotacoes!E365-Cotacoes!E364)/Cotacoes!E364</f>
        <v>3.1517334533993822E-3</v>
      </c>
      <c r="F365" s="5">
        <f>(Cotacoes!F365-Cotacoes!F364)/Cotacoes!F364</f>
        <v>5.9358923624852448E-3</v>
      </c>
      <c r="G365" s="5">
        <f>(Cotacoes!G365-Cotacoes!G364)/Cotacoes!G364</f>
        <v>2.7563395810358351E-4</v>
      </c>
      <c r="H365" s="5">
        <f>(Cotacoes!H365-Cotacoes!H364)/Cotacoes!H364</f>
        <v>-7.525870178739423E-3</v>
      </c>
      <c r="I365" s="5">
        <f>(Cotacoes!I365-Cotacoes!I364)/Cotacoes!I364</f>
        <v>-1.9673039623164332E-2</v>
      </c>
      <c r="J365" s="5">
        <f>(Cotacoes!J365-Cotacoes!J364)/Cotacoes!J364</f>
        <v>7.117437722419977E-3</v>
      </c>
      <c r="K365" s="5">
        <f>(Cotacoes!K365-Cotacoes!K364)/Cotacoes!K364</f>
        <v>2.8328611898017653E-3</v>
      </c>
      <c r="L365" s="5">
        <f>(Cotacoes!L365-Cotacoes!L364)/Cotacoes!L364</f>
        <v>-5.8055152394775088E-3</v>
      </c>
      <c r="M365" s="5">
        <f>(Cotacoes!M365-Cotacoes!M364)/Cotacoes!M364</f>
        <v>-8.1845238095237683E-3</v>
      </c>
      <c r="N365" s="5">
        <f>(Cotacoes!N365-Cotacoes!N364)/Cotacoes!N364</f>
        <v>1.3812154696132301E-3</v>
      </c>
      <c r="O365" s="5">
        <f>(Cotacoes!O365-Cotacoes!O364)/Cotacoes!O364</f>
        <v>-1.8660812294182212E-2</v>
      </c>
      <c r="P365" s="5">
        <f>(Cotacoes!P365-Cotacoes!P364)/Cotacoes!P364</f>
        <v>-2.0457866536775532E-2</v>
      </c>
      <c r="Q365" s="5">
        <f>(Cotacoes!Q365-Cotacoes!Q364)/Cotacoes!Q364</f>
        <v>-8.6711467591587133E-4</v>
      </c>
      <c r="R365" s="5">
        <f>(Cotacoes!R365-Cotacoes!R364)/Cotacoes!R364</f>
        <v>2.7007299270073067E-2</v>
      </c>
      <c r="S365" s="5">
        <f>(Cotacoes!S365-Cotacoes!S364)/Cotacoes!S364</f>
        <v>-1.3804173354735143E-2</v>
      </c>
      <c r="T365" s="5">
        <f>(Cotacoes!T365-Cotacoes!T364)/Cotacoes!T364</f>
        <v>1.8851997749015241E-2</v>
      </c>
      <c r="U365" s="5">
        <f>(Cotacoes!U365-Cotacoes!U364)/Cotacoes!U364</f>
        <v>-2.3289902280130288E-2</v>
      </c>
      <c r="V365" s="5">
        <f>(Cotacoes!V365-Cotacoes!V364)/Cotacoes!V364</f>
        <v>-3.1446540880503589E-3</v>
      </c>
      <c r="W365" s="5"/>
    </row>
    <row r="366" spans="1:23" x14ac:dyDescent="0.2">
      <c r="A366" s="4">
        <v>45096</v>
      </c>
      <c r="B366" s="5">
        <f>(Cotacoes!B366-Cotacoes!B365)/Cotacoes!B365</f>
        <v>-1.8105009052505213E-3</v>
      </c>
      <c r="C366" s="5">
        <f>(Cotacoes!C366-Cotacoes!C365)/Cotacoes!C365</f>
        <v>-3.8698328935795755E-3</v>
      </c>
      <c r="D366" s="5">
        <f>(Cotacoes!D366-Cotacoes!D365)/Cotacoes!D365</f>
        <v>2.6208766380479073E-2</v>
      </c>
      <c r="E366" s="5">
        <f>(Cotacoes!E366-Cotacoes!E365)/Cotacoes!E365</f>
        <v>1.3464991023339189E-2</v>
      </c>
      <c r="F366" s="5">
        <f>(Cotacoes!F366-Cotacoes!F365)/Cotacoes!F365</f>
        <v>2.4783634933123484E-2</v>
      </c>
      <c r="G366" s="5">
        <f>(Cotacoes!G366-Cotacoes!G365)/Cotacoes!G365</f>
        <v>-4.6844860843207967E-3</v>
      </c>
      <c r="H366" s="5">
        <f>(Cotacoes!H366-Cotacoes!H365)/Cotacoes!H365</f>
        <v>1.8483412322274739E-2</v>
      </c>
      <c r="I366" s="5">
        <f>(Cotacoes!I366-Cotacoes!I365)/Cotacoes!I365</f>
        <v>1.0740531373657304E-2</v>
      </c>
      <c r="J366" s="5">
        <f>(Cotacoes!J366-Cotacoes!J365)/Cotacoes!J365</f>
        <v>1.525013948298308E-2</v>
      </c>
      <c r="K366" s="5">
        <f>(Cotacoes!K366-Cotacoes!K365)/Cotacoes!K365</f>
        <v>1.7655367231638418E-2</v>
      </c>
      <c r="L366" s="5">
        <f>(Cotacoes!L366-Cotacoes!L365)/Cotacoes!L365</f>
        <v>1.2408759124087588E-2</v>
      </c>
      <c r="M366" s="5">
        <f>(Cotacoes!M366-Cotacoes!M365)/Cotacoes!M365</f>
        <v>3.0007501875468226E-3</v>
      </c>
      <c r="N366" s="5">
        <f>(Cotacoes!N366-Cotacoes!N365)/Cotacoes!N365</f>
        <v>1.2413793103448256E-2</v>
      </c>
      <c r="O366" s="5">
        <f>(Cotacoes!O366-Cotacoes!O365)/Cotacoes!O365</f>
        <v>3.8590604026845714E-2</v>
      </c>
      <c r="P366" s="5">
        <f>(Cotacoes!P366-Cotacoes!P365)/Cotacoes!P365</f>
        <v>3.4808552958727145E-3</v>
      </c>
      <c r="Q366" s="5">
        <f>(Cotacoes!Q366-Cotacoes!Q365)/Cotacoes!Q365</f>
        <v>-1.2367107832501632E-2</v>
      </c>
      <c r="R366" s="5">
        <f>(Cotacoes!R366-Cotacoes!R365)/Cotacoes!R365</f>
        <v>4.619758351101599E-3</v>
      </c>
      <c r="S366" s="5">
        <f>(Cotacoes!S366-Cotacoes!S365)/Cotacoes!S365</f>
        <v>-4.5572916666666852E-3</v>
      </c>
      <c r="T366" s="5">
        <f>(Cotacoes!T366-Cotacoes!T365)/Cotacoes!T365</f>
        <v>-5.7995028997514736E-3</v>
      </c>
      <c r="U366" s="5">
        <f>(Cotacoes!U366-Cotacoes!U365)/Cotacoes!U365</f>
        <v>3.9019509754877495E-2</v>
      </c>
      <c r="V366" s="5">
        <f>(Cotacoes!V366-Cotacoes!V365)/Cotacoes!V365</f>
        <v>6.6246056782334655E-3</v>
      </c>
      <c r="W366" s="5"/>
    </row>
    <row r="367" spans="1:23" x14ac:dyDescent="0.2">
      <c r="A367" s="4">
        <v>45097</v>
      </c>
      <c r="B367" s="5">
        <f>(Cotacoes!B367-Cotacoes!B366)/Cotacoes!B366</f>
        <v>6.8520757758968849E-3</v>
      </c>
      <c r="C367" s="5">
        <f>(Cotacoes!C367-Cotacoes!C366)/Cotacoes!C366</f>
        <v>-2.5781387956913312E-2</v>
      </c>
      <c r="D367" s="5">
        <f>(Cotacoes!D367-Cotacoes!D366)/Cotacoes!D366</f>
        <v>4.8436811977102343E-3</v>
      </c>
      <c r="E367" s="5">
        <f>(Cotacoes!E367-Cotacoes!E366)/Cotacoes!E366</f>
        <v>-1.7714791851195372E-3</v>
      </c>
      <c r="F367" s="5">
        <f>(Cotacoes!F367-Cotacoes!F366)/Cotacoes!F366</f>
        <v>2.6871401151631587E-3</v>
      </c>
      <c r="G367" s="5">
        <f>(Cotacoes!G367-Cotacoes!G366)/Cotacoes!G366</f>
        <v>-1.9102990033222529E-2</v>
      </c>
      <c r="H367" s="5">
        <f>(Cotacoes!H367-Cotacoes!H366)/Cotacoes!H366</f>
        <v>0</v>
      </c>
      <c r="I367" s="5">
        <f>(Cotacoes!I367-Cotacoes!I366)/Cotacoes!I366</f>
        <v>-2.7964205816549247E-4</v>
      </c>
      <c r="J367" s="5">
        <f>(Cotacoes!J367-Cotacoes!J366)/Cotacoes!J366</f>
        <v>1.5570617329181063E-2</v>
      </c>
      <c r="K367" s="5">
        <f>(Cotacoes!K367-Cotacoes!K366)/Cotacoes!K366</f>
        <v>2.0818875780707399E-3</v>
      </c>
      <c r="L367" s="5">
        <f>(Cotacoes!L367-Cotacoes!L366)/Cotacoes!L366</f>
        <v>-5.0468637346790567E-3</v>
      </c>
      <c r="M367" s="5">
        <f>(Cotacoes!M367-Cotacoes!M366)/Cotacoes!M366</f>
        <v>2.243829468960444E-3</v>
      </c>
      <c r="N367" s="5">
        <f>(Cotacoes!N367-Cotacoes!N366)/Cotacoes!N366</f>
        <v>4.0871934604904975E-3</v>
      </c>
      <c r="O367" s="5">
        <f>(Cotacoes!O367-Cotacoes!O366)/Cotacoes!O366</f>
        <v>4.1464728056004284E-2</v>
      </c>
      <c r="P367" s="5">
        <f>(Cotacoes!P367-Cotacoes!P366)/Cotacoes!P366</f>
        <v>-4.6580773042616513E-2</v>
      </c>
      <c r="Q367" s="5">
        <f>(Cotacoes!Q367-Cotacoes!Q366)/Cotacoes!Q366</f>
        <v>-5.4920913884007024E-3</v>
      </c>
      <c r="R367" s="5">
        <f>(Cotacoes!R367-Cotacoes!R366)/Cotacoes!R366</f>
        <v>2.4761230986911895E-2</v>
      </c>
      <c r="S367" s="5">
        <f>(Cotacoes!S367-Cotacoes!S366)/Cotacoes!S366</f>
        <v>9.8103335513407691E-3</v>
      </c>
      <c r="T367" s="5">
        <f>(Cotacoes!T367-Cotacoes!T366)/Cotacoes!T366</f>
        <v>2.7777777777778173E-3</v>
      </c>
      <c r="U367" s="5">
        <f>(Cotacoes!U367-Cotacoes!U366)/Cotacoes!U366</f>
        <v>-8.184882041405956E-3</v>
      </c>
      <c r="V367" s="5">
        <f>(Cotacoes!V367-Cotacoes!V366)/Cotacoes!V366</f>
        <v>-1.5042306486994686E-2</v>
      </c>
      <c r="W367" s="5"/>
    </row>
    <row r="368" spans="1:23" x14ac:dyDescent="0.2">
      <c r="A368" s="4">
        <v>45098</v>
      </c>
      <c r="B368" s="5">
        <f>(Cotacoes!B368-Cotacoes!B367)/Cotacoes!B367</f>
        <v>-1.4711769415532414E-2</v>
      </c>
      <c r="C368" s="5">
        <f>(Cotacoes!C368-Cotacoes!C367)/Cotacoes!C367</f>
        <v>-9.9691861518942226E-3</v>
      </c>
      <c r="D368" s="5">
        <f>(Cotacoes!D368-Cotacoes!D367)/Cotacoes!D367</f>
        <v>4.206836108676603E-2</v>
      </c>
      <c r="E368" s="5">
        <f>(Cotacoes!E368-Cotacoes!E367)/Cotacoes!E367</f>
        <v>9.7604259094943406E-3</v>
      </c>
      <c r="F368" s="5">
        <f>(Cotacoes!F368-Cotacoes!F367)/Cotacoes!F367</f>
        <v>3.9816232771822321E-2</v>
      </c>
      <c r="G368" s="5">
        <f>(Cotacoes!G368-Cotacoes!G367)/Cotacoes!G367</f>
        <v>-1.354784081287036E-2</v>
      </c>
      <c r="H368" s="5">
        <f>(Cotacoes!H368-Cotacoes!H367)/Cotacoes!H367</f>
        <v>3.1642624476500854E-2</v>
      </c>
      <c r="I368" s="5">
        <f>(Cotacoes!I368-Cotacoes!I367)/Cotacoes!I367</f>
        <v>5.3146853146852514E-3</v>
      </c>
      <c r="J368" s="5">
        <f>(Cotacoes!J368-Cotacoes!J367)/Cotacoes!J367</f>
        <v>2.8860028860029528E-3</v>
      </c>
      <c r="K368" s="5">
        <f>(Cotacoes!K368-Cotacoes!K367)/Cotacoes!K367</f>
        <v>-2.077562326869762E-3</v>
      </c>
      <c r="L368" s="5">
        <f>(Cotacoes!L368-Cotacoes!L367)/Cotacoes!L367</f>
        <v>-5.7971014492753676E-3</v>
      </c>
      <c r="M368" s="5">
        <f>(Cotacoes!M368-Cotacoes!M367)/Cotacoes!M367</f>
        <v>8.9552238805969565E-3</v>
      </c>
      <c r="N368" s="5">
        <f>(Cotacoes!N368-Cotacoes!N367)/Cotacoes!N367</f>
        <v>8.1411126187245064E-3</v>
      </c>
      <c r="O368" s="5">
        <f>(Cotacoes!O368-Cotacoes!O367)/Cotacoes!O367</f>
        <v>-2.3267838676318476E-2</v>
      </c>
      <c r="P368" s="5">
        <f>(Cotacoes!P368-Cotacoes!P367)/Cotacoes!P367</f>
        <v>-7.4324324324324315E-2</v>
      </c>
      <c r="Q368" s="5">
        <f>(Cotacoes!Q368-Cotacoes!Q367)/Cotacoes!Q367</f>
        <v>-2.0322509388115785E-2</v>
      </c>
      <c r="R368" s="5">
        <f>(Cotacoes!R368-Cotacoes!R367)/Cotacoes!R367</f>
        <v>1.2081463583016963E-2</v>
      </c>
      <c r="S368" s="5">
        <f>(Cotacoes!S368-Cotacoes!S367)/Cotacoes!S367</f>
        <v>-1.6191709844559816E-3</v>
      </c>
      <c r="T368" s="5">
        <f>(Cotacoes!T368-Cotacoes!T367)/Cotacoes!T367</f>
        <v>6.9529085872576113E-2</v>
      </c>
      <c r="U368" s="5">
        <f>(Cotacoes!U368-Cotacoes!U367)/Cotacoes!U367</f>
        <v>4.6925566343043084E-3</v>
      </c>
      <c r="V368" s="5">
        <f>(Cotacoes!V368-Cotacoes!V367)/Cotacoes!V367</f>
        <v>7.3178491886732554E-3</v>
      </c>
      <c r="W368" s="5"/>
    </row>
    <row r="369" spans="1:23" x14ac:dyDescent="0.2">
      <c r="A369" s="4">
        <v>45099</v>
      </c>
      <c r="B369" s="5">
        <f>(Cotacoes!B369-Cotacoes!B368)/Cotacoes!B368</f>
        <v>2.0314880650072138E-4</v>
      </c>
      <c r="C369" s="5">
        <f>(Cotacoes!C369-Cotacoes!C368)/Cotacoes!C368</f>
        <v>-5.4924935920907577E-3</v>
      </c>
      <c r="D369" s="5">
        <f>(Cotacoes!D369-Cotacoes!D368)/Cotacoes!D368</f>
        <v>-1.2615643397813318E-2</v>
      </c>
      <c r="E369" s="5">
        <f>(Cotacoes!E369-Cotacoes!E368)/Cotacoes!E368</f>
        <v>-9.6660808435853427E-3</v>
      </c>
      <c r="F369" s="5">
        <f>(Cotacoes!F369-Cotacoes!F368)/Cotacoes!F368</f>
        <v>-1.6568483063328397E-2</v>
      </c>
      <c r="G369" s="5">
        <f>(Cotacoes!G369-Cotacoes!G368)/Cotacoes!G368</f>
        <v>-1.4306151645208658E-3</v>
      </c>
      <c r="H369" s="5">
        <f>(Cotacoes!H369-Cotacoes!H368)/Cotacoes!H368</f>
        <v>-1.8944519621109684E-2</v>
      </c>
      <c r="I369" s="5">
        <f>(Cotacoes!I369-Cotacoes!I368)/Cotacoes!I368</f>
        <v>-1.1686143572620886E-2</v>
      </c>
      <c r="J369" s="5">
        <f>(Cotacoes!J369-Cotacoes!J368)/Cotacoes!J368</f>
        <v>-1.7985611510791366E-2</v>
      </c>
      <c r="K369" s="5">
        <f>(Cotacoes!K369-Cotacoes!K368)/Cotacoes!K368</f>
        <v>-2.6370575988896652E-2</v>
      </c>
      <c r="L369" s="5">
        <f>(Cotacoes!L369-Cotacoes!L368)/Cotacoes!L368</f>
        <v>-2.988338192419826E-2</v>
      </c>
      <c r="M369" s="5">
        <f>(Cotacoes!M369-Cotacoes!M368)/Cotacoes!M368</f>
        <v>1.7751479289940846E-2</v>
      </c>
      <c r="N369" s="5">
        <f>(Cotacoes!N369-Cotacoes!N368)/Cotacoes!N368</f>
        <v>-1.2113055181695809E-2</v>
      </c>
      <c r="O369" s="5">
        <f>(Cotacoes!O369-Cotacoes!O368)/Cotacoes!O368</f>
        <v>-5.8231868713604779E-3</v>
      </c>
      <c r="P369" s="5">
        <f>(Cotacoes!P369-Cotacoes!P368)/Cotacoes!P368</f>
        <v>-3.1443009545199255E-2</v>
      </c>
      <c r="Q369" s="5">
        <f>(Cotacoes!Q369-Cotacoes!Q368)/Cotacoes!Q368</f>
        <v>-1.3303269447576175E-2</v>
      </c>
      <c r="R369" s="5">
        <f>(Cotacoes!R369-Cotacoes!R368)/Cotacoes!R368</f>
        <v>-2.8308321964529395E-2</v>
      </c>
      <c r="S369" s="5">
        <f>(Cotacoes!S369-Cotacoes!S368)/Cotacoes!S368</f>
        <v>-2.6921829386960697E-2</v>
      </c>
      <c r="T369" s="5">
        <f>(Cotacoes!T369-Cotacoes!T368)/Cotacoes!T368</f>
        <v>-9.5830095830095174E-3</v>
      </c>
      <c r="U369" s="5">
        <f>(Cotacoes!U369-Cotacoes!U368)/Cotacoes!U368</f>
        <v>6.9254308262199984E-3</v>
      </c>
      <c r="V369" s="5">
        <f>(Cotacoes!V369-Cotacoes!V368)/Cotacoes!V368</f>
        <v>-7.896399241945672E-3</v>
      </c>
      <c r="W369" s="5"/>
    </row>
    <row r="370" spans="1:23" x14ac:dyDescent="0.2">
      <c r="A370" s="4">
        <v>45100</v>
      </c>
      <c r="B370" s="5">
        <f>(Cotacoes!B370-Cotacoes!B369)/Cotacoes!B369</f>
        <v>-3.0466131816796705E-3</v>
      </c>
      <c r="C370" s="5">
        <f>(Cotacoes!C370-Cotacoes!C369)/Cotacoes!C369</f>
        <v>-9.9410898379970383E-3</v>
      </c>
      <c r="D370" s="5">
        <f>(Cotacoes!D370-Cotacoes!D369)/Cotacoes!D369</f>
        <v>-4.0885860306643991E-2</v>
      </c>
      <c r="E370" s="5">
        <f>(Cotacoes!E370-Cotacoes!E369)/Cotacoes!E369</f>
        <v>-3.105590062111814E-3</v>
      </c>
      <c r="F370" s="5">
        <f>(Cotacoes!F370-Cotacoes!F369)/Cotacoes!F369</f>
        <v>-3.3695245226507006E-2</v>
      </c>
      <c r="G370" s="5">
        <f>(Cotacoes!G370-Cotacoes!G369)/Cotacoes!G369</f>
        <v>5.4441260744987063E-3</v>
      </c>
      <c r="H370" s="5">
        <f>(Cotacoes!H370-Cotacoes!H369)/Cotacoes!H369</f>
        <v>0</v>
      </c>
      <c r="I370" s="5">
        <f>(Cotacoes!I370-Cotacoes!I369)/Cotacoes!I369</f>
        <v>2.4211711711711693E-2</v>
      </c>
      <c r="J370" s="5">
        <f>(Cotacoes!J370-Cotacoes!J369)/Cotacoes!J369</f>
        <v>2.1245421245421184E-2</v>
      </c>
      <c r="K370" s="5">
        <f>(Cotacoes!K370-Cotacoes!K369)/Cotacoes!K369</f>
        <v>-1.2116892373485384E-2</v>
      </c>
      <c r="L370" s="5">
        <f>(Cotacoes!L370-Cotacoes!L369)/Cotacoes!L369</f>
        <v>1.5777610818933065E-2</v>
      </c>
      <c r="M370" s="5">
        <f>(Cotacoes!M370-Cotacoes!M369)/Cotacoes!M369</f>
        <v>-3.6337209302324809E-3</v>
      </c>
      <c r="N370" s="5">
        <f>(Cotacoes!N370-Cotacoes!N369)/Cotacoes!N369</f>
        <v>-1.3623978201634586E-3</v>
      </c>
      <c r="O370" s="5">
        <f>(Cotacoes!O370-Cotacoes!O369)/Cotacoes!O369</f>
        <v>-8.5197018104366418E-2</v>
      </c>
      <c r="P370" s="5">
        <f>(Cotacoes!P370-Cotacoes!P369)/Cotacoes!P369</f>
        <v>2.3188405797100954E-3</v>
      </c>
      <c r="Q370" s="5">
        <f>(Cotacoes!Q370-Cotacoes!Q369)/Cotacoes!Q369</f>
        <v>1.8281535648995751E-3</v>
      </c>
      <c r="R370" s="5">
        <f>(Cotacoes!R370-Cotacoes!R369)/Cotacoes!R369</f>
        <v>5.9670059670060274E-3</v>
      </c>
      <c r="S370" s="5">
        <f>(Cotacoes!S370-Cotacoes!S369)/Cotacoes!S369</f>
        <v>0.05</v>
      </c>
      <c r="T370" s="5">
        <f>(Cotacoes!T370-Cotacoes!T369)/Cotacoes!T369</f>
        <v>-2.3535564853557375E-3</v>
      </c>
      <c r="U370" s="5">
        <f>(Cotacoes!U370-Cotacoes!U369)/Cotacoes!U369</f>
        <v>-5.1183621241202857E-3</v>
      </c>
      <c r="V370" s="5">
        <f>(Cotacoes!V370-Cotacoes!V369)/Cotacoes!V369</f>
        <v>1.3371537726838528E-2</v>
      </c>
      <c r="W370" s="5"/>
    </row>
    <row r="371" spans="1:23" x14ac:dyDescent="0.2">
      <c r="A371" s="4">
        <v>45103</v>
      </c>
      <c r="B371" s="5">
        <f>(Cotacoes!B371-Cotacoes!B370)/Cotacoes!B370</f>
        <v>-5.296933890190445E-3</v>
      </c>
      <c r="C371" s="5">
        <f>(Cotacoes!C371-Cotacoes!C370)/Cotacoes!C370</f>
        <v>2.0453700260319716E-3</v>
      </c>
      <c r="D371" s="5">
        <f>(Cotacoes!D371-Cotacoes!D370)/Cotacoes!D370</f>
        <v>2.2202486678507993E-2</v>
      </c>
      <c r="E371" s="5">
        <f>(Cotacoes!E371-Cotacoes!E370)/Cotacoes!E370</f>
        <v>-1.3351134846460876E-3</v>
      </c>
      <c r="F371" s="5">
        <f>(Cotacoes!F371-Cotacoes!F370)/Cotacoes!F370</f>
        <v>1.9372336303758234E-2</v>
      </c>
      <c r="G371" s="5">
        <f>(Cotacoes!G371-Cotacoes!G370)/Cotacoes!G370</f>
        <v>-3.98974066685667E-3</v>
      </c>
      <c r="H371" s="5">
        <f>(Cotacoes!H371-Cotacoes!H370)/Cotacoes!H370</f>
        <v>2.7586206896551137E-3</v>
      </c>
      <c r="I371" s="5">
        <f>(Cotacoes!I371-Cotacoes!I370)/Cotacoes!I370</f>
        <v>-2.5838372732270611E-2</v>
      </c>
      <c r="J371" s="5">
        <f>(Cotacoes!J371-Cotacoes!J370)/Cotacoes!J370</f>
        <v>-1.5423242467718786E-2</v>
      </c>
      <c r="K371" s="5">
        <f>(Cotacoes!K371-Cotacoes!K370)/Cotacoes!K370</f>
        <v>-5.0505050505050709E-3</v>
      </c>
      <c r="L371" s="5">
        <f>(Cotacoes!L371-Cotacoes!L370)/Cotacoes!L370</f>
        <v>-2.5887573964497018E-2</v>
      </c>
      <c r="M371" s="5">
        <f>(Cotacoes!M371-Cotacoes!M370)/Cotacoes!M370</f>
        <v>-1.0211524434719224E-2</v>
      </c>
      <c r="N371" s="5">
        <f>(Cotacoes!N371-Cotacoes!N370)/Cotacoes!N370</f>
        <v>0</v>
      </c>
      <c r="O371" s="5">
        <f>(Cotacoes!O371-Cotacoes!O370)/Cotacoes!O370</f>
        <v>-3.0849825378346983E-2</v>
      </c>
      <c r="P371" s="5">
        <f>(Cotacoes!P371-Cotacoes!P370)/Cotacoes!P370</f>
        <v>-1.4459224985540775E-2</v>
      </c>
      <c r="Q371" s="5">
        <f>(Cotacoes!Q371-Cotacoes!Q370)/Cotacoes!Q370</f>
        <v>-7.2992700729927066E-3</v>
      </c>
      <c r="R371" s="5">
        <f>(Cotacoes!R371-Cotacoes!R370)/Cotacoes!R370</f>
        <v>-8.0251221214236012E-3</v>
      </c>
      <c r="S371" s="5">
        <f>(Cotacoes!S371-Cotacoes!S370)/Cotacoes!S370</f>
        <v>-1.5873015873016099E-3</v>
      </c>
      <c r="T371" s="5">
        <f>(Cotacoes!T371-Cotacoes!T370)/Cotacoes!T370</f>
        <v>-3.0668414154652733E-2</v>
      </c>
      <c r="U371" s="5">
        <f>(Cotacoes!U371-Cotacoes!U370)/Cotacoes!U370</f>
        <v>0</v>
      </c>
      <c r="V371" s="5">
        <f>(Cotacoes!V371-Cotacoes!V370)/Cotacoes!V370</f>
        <v>-1.0053408733898735E-2</v>
      </c>
      <c r="W371" s="5"/>
    </row>
    <row r="372" spans="1:23" x14ac:dyDescent="0.2">
      <c r="A372" s="4">
        <v>45104</v>
      </c>
      <c r="B372" s="5">
        <f>(Cotacoes!B372-Cotacoes!B371)/Cotacoes!B371</f>
        <v>-3.9938556067588378E-3</v>
      </c>
      <c r="C372" s="5">
        <f>(Cotacoes!C372-Cotacoes!C371)/Cotacoes!C371</f>
        <v>1.1876043792911496E-2</v>
      </c>
      <c r="D372" s="5">
        <f>(Cotacoes!D372-Cotacoes!D371)/Cotacoes!D371</f>
        <v>-7.3848827106862795E-3</v>
      </c>
      <c r="E372" s="5">
        <f>(Cotacoes!E372-Cotacoes!E371)/Cotacoes!E371</f>
        <v>-1.1140819964349376E-2</v>
      </c>
      <c r="F372" s="5">
        <f>(Cotacoes!F372-Cotacoes!F371)/Cotacoes!F371</f>
        <v>-8.741923223109101E-3</v>
      </c>
      <c r="G372" s="5">
        <f>(Cotacoes!G372-Cotacoes!G371)/Cotacoes!G371</f>
        <v>2.5751072961372333E-3</v>
      </c>
      <c r="H372" s="5">
        <f>(Cotacoes!H372-Cotacoes!H371)/Cotacoes!H371</f>
        <v>-1.834021091242543E-2</v>
      </c>
      <c r="I372" s="5">
        <f>(Cotacoes!I372-Cotacoes!I371)/Cotacoes!I371</f>
        <v>-1.3826185101579992E-2</v>
      </c>
      <c r="J372" s="5">
        <f>(Cotacoes!J372-Cotacoes!J371)/Cotacoes!J371</f>
        <v>6.0109289617486031E-3</v>
      </c>
      <c r="K372" s="5">
        <f>(Cotacoes!K372-Cotacoes!K371)/Cotacoes!K371</f>
        <v>1.4503263234228682E-3</v>
      </c>
      <c r="L372" s="5">
        <f>(Cotacoes!L372-Cotacoes!L371)/Cotacoes!L371</f>
        <v>0</v>
      </c>
      <c r="M372" s="5">
        <f>(Cotacoes!M372-Cotacoes!M371)/Cotacoes!M371</f>
        <v>2.9476787030213079E-3</v>
      </c>
      <c r="N372" s="5">
        <f>(Cotacoes!N372-Cotacoes!N371)/Cotacoes!N371</f>
        <v>-1.0914051841746257E-2</v>
      </c>
      <c r="O372" s="5">
        <f>(Cotacoes!O372-Cotacoes!O371)/Cotacoes!O371</f>
        <v>2.4624624624624634E-2</v>
      </c>
      <c r="P372" s="5">
        <f>(Cotacoes!P372-Cotacoes!P371)/Cotacoes!P371</f>
        <v>2.1713615023474239E-2</v>
      </c>
      <c r="Q372" s="5">
        <f>(Cotacoes!Q372-Cotacoes!Q371)/Cotacoes!Q371</f>
        <v>-1.6773897058823619E-2</v>
      </c>
      <c r="R372" s="5">
        <f>(Cotacoes!R372-Cotacoes!R371)/Cotacoes!R371</f>
        <v>-6.3313401336616152E-3</v>
      </c>
      <c r="S372" s="5">
        <f>(Cotacoes!S372-Cotacoes!S371)/Cotacoes!S371</f>
        <v>-4.1335453100158669E-3</v>
      </c>
      <c r="T372" s="5">
        <f>(Cotacoes!T372-Cotacoes!T371)/Cotacoes!T371</f>
        <v>-3.3531638723634259E-2</v>
      </c>
      <c r="U372" s="5">
        <f>(Cotacoes!U372-Cotacoes!U371)/Cotacoes!U371</f>
        <v>-1.382636655948552E-2</v>
      </c>
      <c r="V372" s="5">
        <f>(Cotacoes!V372-Cotacoes!V371)/Cotacoes!V371</f>
        <v>-2.0945731513805146E-2</v>
      </c>
      <c r="W372" s="5"/>
    </row>
    <row r="373" spans="1:23" x14ac:dyDescent="0.2">
      <c r="A373" s="4">
        <v>45105</v>
      </c>
      <c r="B373" s="5">
        <f>(Cotacoes!B373-Cotacoes!B372)/Cotacoes!B372</f>
        <v>7.1972033724037486E-3</v>
      </c>
      <c r="C373" s="5">
        <f>(Cotacoes!C373-Cotacoes!C372)/Cotacoes!C372</f>
        <v>-3.1542270309921121E-2</v>
      </c>
      <c r="D373" s="5">
        <f>(Cotacoes!D373-Cotacoes!D372)/Cotacoes!D372</f>
        <v>9.1903719912471461E-3</v>
      </c>
      <c r="E373" s="5">
        <f>(Cotacoes!E373-Cotacoes!E372)/Cotacoes!E372</f>
        <v>-5.8584948174854688E-3</v>
      </c>
      <c r="F373" s="5">
        <f>(Cotacoes!F373-Cotacoes!F372)/Cotacoes!F372</f>
        <v>7.2852760736196818E-3</v>
      </c>
      <c r="G373" s="5">
        <f>(Cotacoes!G373-Cotacoes!G372)/Cotacoes!G372</f>
        <v>2.2831050228310015E-3</v>
      </c>
      <c r="H373" s="5">
        <f>(Cotacoes!H373-Cotacoes!H372)/Cotacoes!H372</f>
        <v>-1.2143858010275645E-2</v>
      </c>
      <c r="I373" s="5">
        <f>(Cotacoes!I373-Cotacoes!I372)/Cotacoes!I372</f>
        <v>-2.0028612303290495E-3</v>
      </c>
      <c r="J373" s="5">
        <f>(Cotacoes!J373-Cotacoes!J372)/Cotacoes!J372</f>
        <v>-9.4151729132717007E-3</v>
      </c>
      <c r="K373" s="5">
        <f>(Cotacoes!K373-Cotacoes!K372)/Cotacoes!K372</f>
        <v>-1.5930485155684331E-2</v>
      </c>
      <c r="L373" s="5">
        <f>(Cotacoes!L373-Cotacoes!L372)/Cotacoes!L372</f>
        <v>0</v>
      </c>
      <c r="M373" s="5">
        <f>(Cotacoes!M373-Cotacoes!M372)/Cotacoes!M372</f>
        <v>-1.0286554004408435E-2</v>
      </c>
      <c r="N373" s="5">
        <f>(Cotacoes!N373-Cotacoes!N372)/Cotacoes!N372</f>
        <v>-9.6551724137931422E-3</v>
      </c>
      <c r="O373" s="5">
        <f>(Cotacoes!O373-Cotacoes!O372)/Cotacoes!O372</f>
        <v>-4.2203985932004626E-2</v>
      </c>
      <c r="P373" s="5">
        <f>(Cotacoes!P373-Cotacoes!P372)/Cotacoes!P372</f>
        <v>4.30786904078116E-2</v>
      </c>
      <c r="Q373" s="5">
        <f>(Cotacoes!Q373-Cotacoes!Q372)/Cotacoes!Q372</f>
        <v>-1.4956765599439134E-2</v>
      </c>
      <c r="R373" s="5">
        <f>(Cotacoes!R373-Cotacoes!R372)/Cotacoes!R372</f>
        <v>3.5398230088496078E-3</v>
      </c>
      <c r="S373" s="5">
        <f>(Cotacoes!S373-Cotacoes!S372)/Cotacoes!S372</f>
        <v>-2.554278416347441E-3</v>
      </c>
      <c r="T373" s="5">
        <f>(Cotacoes!T373-Cotacoes!T372)/Cotacoes!T372</f>
        <v>9.513150531617132E-3</v>
      </c>
      <c r="U373" s="5">
        <f>(Cotacoes!U373-Cotacoes!U372)/Cotacoes!U372</f>
        <v>-3.2605151613955465E-3</v>
      </c>
      <c r="V373" s="5">
        <f>(Cotacoes!V373-Cotacoes!V372)/Cotacoes!V372</f>
        <v>-1.0372771474878454E-2</v>
      </c>
      <c r="W373" s="5"/>
    </row>
    <row r="374" spans="1:23" x14ac:dyDescent="0.2">
      <c r="A374" s="4">
        <v>45106</v>
      </c>
      <c r="B374" s="5">
        <f>(Cotacoes!B374-Cotacoes!B373)/Cotacoes!B373</f>
        <v>1.5312372396897274E-3</v>
      </c>
      <c r="C374" s="5">
        <f>(Cotacoes!C374-Cotacoes!C373)/Cotacoes!C373</f>
        <v>1.2308274947926502E-2</v>
      </c>
      <c r="D374" s="5">
        <f>(Cotacoes!D374-Cotacoes!D373)/Cotacoes!D373</f>
        <v>4.7701647875109708E-3</v>
      </c>
      <c r="E374" s="5">
        <f>(Cotacoes!E374-Cotacoes!E373)/Cotacoes!E373</f>
        <v>1.2239347234814124E-2</v>
      </c>
      <c r="F374" s="5">
        <f>(Cotacoes!F374-Cotacoes!F373)/Cotacoes!F373</f>
        <v>1.1039208222306782E-2</v>
      </c>
      <c r="G374" s="5">
        <f>(Cotacoes!G374-Cotacoes!G373)/Cotacoes!G373</f>
        <v>7.1184510250569483E-3</v>
      </c>
      <c r="H374" s="5">
        <f>(Cotacoes!H374-Cotacoes!H373)/Cotacoes!H373</f>
        <v>8.9834515366430875E-3</v>
      </c>
      <c r="I374" s="5">
        <f>(Cotacoes!I374-Cotacoes!I373)/Cotacoes!I373</f>
        <v>7.4541284403669148E-3</v>
      </c>
      <c r="J374" s="5">
        <f>(Cotacoes!J374-Cotacoes!J373)/Cotacoes!J373</f>
        <v>1.517090111496981E-2</v>
      </c>
      <c r="K374" s="5">
        <f>(Cotacoes!K374-Cotacoes!K373)/Cotacoes!K373</f>
        <v>4.4150110375276302E-3</v>
      </c>
      <c r="L374" s="5">
        <f>(Cotacoes!L374-Cotacoes!L373)/Cotacoes!L373</f>
        <v>4.9354593773728195E-2</v>
      </c>
      <c r="M374" s="5">
        <f>(Cotacoes!M374-Cotacoes!M373)/Cotacoes!M373</f>
        <v>0</v>
      </c>
      <c r="N374" s="5">
        <f>(Cotacoes!N374-Cotacoes!N373)/Cotacoes!N373</f>
        <v>1.5320334261838485E-2</v>
      </c>
      <c r="O374" s="5">
        <f>(Cotacoes!O374-Cotacoes!O373)/Cotacoes!O373</f>
        <v>6.6707466340269264E-2</v>
      </c>
      <c r="P374" s="5">
        <f>(Cotacoes!P374-Cotacoes!P373)/Cotacoes!P373</f>
        <v>1.3766519823788546E-2</v>
      </c>
      <c r="Q374" s="5">
        <f>(Cotacoes!Q374-Cotacoes!Q373)/Cotacoes!Q373</f>
        <v>-2.846975088967911E-3</v>
      </c>
      <c r="R374" s="5">
        <f>(Cotacoes!R374-Cotacoes!R373)/Cotacoes!R373</f>
        <v>3.1393298059964617E-2</v>
      </c>
      <c r="S374" s="5">
        <f>(Cotacoes!S374-Cotacoes!S373)/Cotacoes!S373</f>
        <v>5.4417413572343696E-3</v>
      </c>
      <c r="T374" s="5">
        <f>(Cotacoes!T374-Cotacoes!T373)/Cotacoes!T373</f>
        <v>4.1574279379157034E-3</v>
      </c>
      <c r="U374" s="5">
        <f>(Cotacoes!U374-Cotacoes!U373)/Cotacoes!U373</f>
        <v>2.9277069021916898E-2</v>
      </c>
      <c r="V374" s="5">
        <f>(Cotacoes!V374-Cotacoes!V373)/Cotacoes!V373</f>
        <v>1.3756960366852216E-2</v>
      </c>
      <c r="W374" s="5"/>
    </row>
    <row r="375" spans="1:23" x14ac:dyDescent="0.2">
      <c r="A375" s="4">
        <v>45107</v>
      </c>
      <c r="B375" s="5">
        <f>(Cotacoes!B375-Cotacoes!B374)/Cotacoes!B374</f>
        <v>1.1211905004586631E-2</v>
      </c>
      <c r="C375" s="5">
        <f>(Cotacoes!C375-Cotacoes!C374)/Cotacoes!C374</f>
        <v>-1.9827908716797647E-2</v>
      </c>
      <c r="D375" s="5">
        <f>(Cotacoes!D375-Cotacoes!D374)/Cotacoes!D374</f>
        <v>-4.8338368580060465E-2</v>
      </c>
      <c r="E375" s="5">
        <f>(Cotacoes!E375-Cotacoes!E374)/Cotacoes!E374</f>
        <v>-2.6869682042095265E-3</v>
      </c>
      <c r="F375" s="5">
        <f>(Cotacoes!F375-Cotacoes!F374)/Cotacoes!F374</f>
        <v>-5.1204819277108418E-2</v>
      </c>
      <c r="G375" s="5">
        <f>(Cotacoes!G375-Cotacoes!G374)/Cotacoes!G374</f>
        <v>2.4597116200169765E-2</v>
      </c>
      <c r="H375" s="5">
        <f>(Cotacoes!H375-Cotacoes!H374)/Cotacoes!H374</f>
        <v>-1.3120899718837916E-2</v>
      </c>
      <c r="I375" s="5">
        <f>(Cotacoes!I375-Cotacoes!I374)/Cotacoes!I374</f>
        <v>2.675014228799083E-2</v>
      </c>
      <c r="J375" s="5">
        <f>(Cotacoes!J375-Cotacoes!J374)/Cotacoes!J374</f>
        <v>1.8545192653943124E-2</v>
      </c>
      <c r="K375" s="5">
        <f>(Cotacoes!K375-Cotacoes!K374)/Cotacoes!K374</f>
        <v>1.684981684981688E-2</v>
      </c>
      <c r="L375" s="5">
        <f>(Cotacoes!L375-Cotacoes!L374)/Cotacoes!L374</f>
        <v>-2.1707670043416161E-3</v>
      </c>
      <c r="M375" s="5">
        <f>(Cotacoes!M375-Cotacoes!M374)/Cotacoes!M374</f>
        <v>1.2620638455827759E-2</v>
      </c>
      <c r="N375" s="5">
        <f>(Cotacoes!N375-Cotacoes!N374)/Cotacoes!N374</f>
        <v>4.1152263374485938E-3</v>
      </c>
      <c r="O375" s="5">
        <f>(Cotacoes!O375-Cotacoes!O374)/Cotacoes!O374</f>
        <v>1.7211703958692564E-3</v>
      </c>
      <c r="P375" s="5">
        <f>(Cotacoes!P375-Cotacoes!P374)/Cotacoes!P374</f>
        <v>5.9750135795762866E-3</v>
      </c>
      <c r="Q375" s="5">
        <f>(Cotacoes!Q375-Cotacoes!Q374)/Cotacoes!Q374</f>
        <v>4.0447299547942354E-3</v>
      </c>
      <c r="R375" s="5">
        <f>(Cotacoes!R375-Cotacoes!R374)/Cotacoes!R374</f>
        <v>1.6415868673050633E-2</v>
      </c>
      <c r="S375" s="5">
        <f>(Cotacoes!S375-Cotacoes!S374)/Cotacoes!S374</f>
        <v>2.355937599490603E-2</v>
      </c>
      <c r="T375" s="5">
        <f>(Cotacoes!T375-Cotacoes!T374)/Cotacoes!T374</f>
        <v>2.1805133866961257E-2</v>
      </c>
      <c r="U375" s="5">
        <f>(Cotacoes!U375-Cotacoes!U374)/Cotacoes!U374</f>
        <v>3.0192277133322377E-3</v>
      </c>
      <c r="V375" s="5">
        <f>(Cotacoes!V375-Cotacoes!V374)/Cotacoes!V374</f>
        <v>1.45395799676898E-2</v>
      </c>
      <c r="W375" s="5"/>
    </row>
    <row r="376" spans="1:23" x14ac:dyDescent="0.2">
      <c r="A376" s="4">
        <v>45110</v>
      </c>
      <c r="B376" s="5">
        <f>(Cotacoes!B376-Cotacoes!B375)/Cotacoes!B375</f>
        <v>-1.8143332325369682E-3</v>
      </c>
      <c r="C376" s="5">
        <f>(Cotacoes!C376-Cotacoes!C375)/Cotacoes!C375</f>
        <v>3.1297709923664131E-2</v>
      </c>
      <c r="D376" s="5">
        <f>(Cotacoes!D376-Cotacoes!D375)/Cotacoes!D375</f>
        <v>1.8594104308390029E-2</v>
      </c>
      <c r="E376" s="5">
        <f>(Cotacoes!E376-Cotacoes!E375)/Cotacoes!E375</f>
        <v>1.9757521329142401E-2</v>
      </c>
      <c r="F376" s="5">
        <f>(Cotacoes!F376-Cotacoes!F375)/Cotacoes!F375</f>
        <v>1.7063492063492051E-2</v>
      </c>
      <c r="G376" s="5">
        <f>(Cotacoes!G376-Cotacoes!G375)/Cotacoes!G375</f>
        <v>-1.3796909492274907E-3</v>
      </c>
      <c r="H376" s="5">
        <f>(Cotacoes!H376-Cotacoes!H375)/Cotacoes!H375</f>
        <v>2.0417853751187071E-2</v>
      </c>
      <c r="I376" s="5">
        <f>(Cotacoes!I376-Cotacoes!I375)/Cotacoes!I375</f>
        <v>6.374722838137583E-3</v>
      </c>
      <c r="J376" s="5">
        <f>(Cotacoes!J376-Cotacoes!J375)/Cotacoes!J375</f>
        <v>-3.1818985327912272E-3</v>
      </c>
      <c r="K376" s="5">
        <f>(Cotacoes!K376-Cotacoes!K375)/Cotacoes!K375</f>
        <v>1.2968299711815541E-2</v>
      </c>
      <c r="L376" s="5">
        <f>(Cotacoes!L376-Cotacoes!L375)/Cotacoes!L375</f>
        <v>2.2480058013052976E-2</v>
      </c>
      <c r="M376" s="5">
        <f>(Cotacoes!M376-Cotacoes!M375)/Cotacoes!M375</f>
        <v>0</v>
      </c>
      <c r="N376" s="5">
        <f>(Cotacoes!N376-Cotacoes!N375)/Cotacoes!N375</f>
        <v>1.5027322404371506E-2</v>
      </c>
      <c r="O376" s="5">
        <f>(Cotacoes!O376-Cotacoes!O375)/Cotacoes!O375</f>
        <v>8.5910652920961374E-3</v>
      </c>
      <c r="P376" s="5">
        <f>(Cotacoes!P376-Cotacoes!P375)/Cotacoes!P375</f>
        <v>-7.5593952483801602E-3</v>
      </c>
      <c r="Q376" s="5">
        <f>(Cotacoes!Q376-Cotacoes!Q375)/Cotacoes!Q375</f>
        <v>0</v>
      </c>
      <c r="R376" s="5">
        <f>(Cotacoes!R376-Cotacoes!R375)/Cotacoes!R375</f>
        <v>2.8936742934051126E-2</v>
      </c>
      <c r="S376" s="5">
        <f>(Cotacoes!S376-Cotacoes!S375)/Cotacoes!S375</f>
        <v>9.6423017107310199E-3</v>
      </c>
      <c r="T376" s="5">
        <f>(Cotacoes!T376-Cotacoes!T375)/Cotacoes!T375</f>
        <v>9.1842247433818556E-3</v>
      </c>
      <c r="U376" s="5">
        <f>(Cotacoes!U376-Cotacoes!U375)/Cotacoes!U375</f>
        <v>1.3624841571609625E-2</v>
      </c>
      <c r="V376" s="5">
        <f>(Cotacoes!V376-Cotacoes!V375)/Cotacoes!V375</f>
        <v>1.7197452229299449E-2</v>
      </c>
      <c r="W376" s="5"/>
    </row>
    <row r="377" spans="1:23" x14ac:dyDescent="0.2">
      <c r="A377" s="4">
        <v>45111</v>
      </c>
      <c r="B377" s="5">
        <f>(Cotacoes!B377-Cotacoes!B376)/Cotacoes!B376</f>
        <v>4.1401595476118006E-3</v>
      </c>
      <c r="C377" s="5">
        <f>(Cotacoes!C377-Cotacoes!C376)/Cotacoes!C376</f>
        <v>-4.8112509252405261E-3</v>
      </c>
      <c r="D377" s="5">
        <f>(Cotacoes!D377-Cotacoes!D376)/Cotacoes!D376</f>
        <v>2.2261798753339585E-3</v>
      </c>
      <c r="E377" s="5">
        <f>(Cotacoes!E377-Cotacoes!E376)/Cotacoes!E376</f>
        <v>-6.1646851607221739E-3</v>
      </c>
      <c r="F377" s="5">
        <f>(Cotacoes!F377-Cotacoes!F376)/Cotacoes!F376</f>
        <v>2.3410066328522152E-3</v>
      </c>
      <c r="G377" s="5">
        <f>(Cotacoes!G377-Cotacoes!G376)/Cotacoes!G376</f>
        <v>-1.3263332412268496E-2</v>
      </c>
      <c r="H377" s="5">
        <f>(Cotacoes!H377-Cotacoes!H376)/Cotacoes!H376</f>
        <v>-6.5146579804558876E-3</v>
      </c>
      <c r="I377" s="5">
        <f>(Cotacoes!I377-Cotacoes!I376)/Cotacoes!I376</f>
        <v>-1.5422748554117384E-2</v>
      </c>
      <c r="J377" s="5">
        <f>(Cotacoes!J377-Cotacoes!J376)/Cotacoes!J376</f>
        <v>-1.5073594608973248E-2</v>
      </c>
      <c r="K377" s="5">
        <f>(Cotacoes!K377-Cotacoes!K376)/Cotacoes!K376</f>
        <v>-6.4011379800853379E-3</v>
      </c>
      <c r="L377" s="5">
        <f>(Cotacoes!L377-Cotacoes!L376)/Cotacoes!L376</f>
        <v>-1.2765957446808491E-2</v>
      </c>
      <c r="M377" s="5">
        <f>(Cotacoes!M377-Cotacoes!M376)/Cotacoes!M376</f>
        <v>-1.7595307917888579E-2</v>
      </c>
      <c r="N377" s="5">
        <f>(Cotacoes!N377-Cotacoes!N376)/Cotacoes!N376</f>
        <v>-1.3458950201884206E-2</v>
      </c>
      <c r="O377" s="5">
        <f>(Cotacoes!O377-Cotacoes!O376)/Cotacoes!O376</f>
        <v>-3.9750141964792892E-3</v>
      </c>
      <c r="P377" s="5">
        <f>(Cotacoes!P377-Cotacoes!P376)/Cotacoes!P376</f>
        <v>-5.4406964091402539E-3</v>
      </c>
      <c r="Q377" s="5">
        <f>(Cotacoes!Q377-Cotacoes!Q376)/Cotacoes!Q376</f>
        <v>1.1374407582938314E-2</v>
      </c>
      <c r="R377" s="5">
        <f>(Cotacoes!R377-Cotacoes!R376)/Cotacoes!R376</f>
        <v>-1.6350555918900314E-3</v>
      </c>
      <c r="S377" s="5">
        <f>(Cotacoes!S377-Cotacoes!S376)/Cotacoes!S376</f>
        <v>4.3130006161429622E-3</v>
      </c>
      <c r="T377" s="5">
        <f>(Cotacoes!T377-Cotacoes!T376)/Cotacoes!T376</f>
        <v>1.6595289079229053E-2</v>
      </c>
      <c r="U377" s="5">
        <f>(Cotacoes!U377-Cotacoes!U376)/Cotacoes!U376</f>
        <v>-2.6570803376054176E-3</v>
      </c>
      <c r="V377" s="5">
        <f>(Cotacoes!V377-Cotacoes!V376)/Cotacoes!V376</f>
        <v>-3.6944270507200991E-2</v>
      </c>
      <c r="W377" s="5"/>
    </row>
    <row r="378" spans="1:23" x14ac:dyDescent="0.2">
      <c r="A378" s="4">
        <v>45112</v>
      </c>
      <c r="B378" s="5">
        <f>(Cotacoes!B378-Cotacoes!B377)/Cotacoes!B377</f>
        <v>-1.7799678197908248E-2</v>
      </c>
      <c r="C378" s="5">
        <f>(Cotacoes!C378-Cotacoes!C377)/Cotacoes!C377</f>
        <v>-8.9252510226850868E-3</v>
      </c>
      <c r="D378" s="5">
        <f>(Cotacoes!D378-Cotacoes!D377)/Cotacoes!D377</f>
        <v>-1.3327410039982734E-3</v>
      </c>
      <c r="E378" s="5">
        <f>(Cotacoes!E378-Cotacoes!E377)/Cotacoes!E377</f>
        <v>8.4182543198937209E-3</v>
      </c>
      <c r="F378" s="5">
        <f>(Cotacoes!F378-Cotacoes!F377)/Cotacoes!F377</f>
        <v>0</v>
      </c>
      <c r="G378" s="5">
        <f>(Cotacoes!G378-Cotacoes!G377)/Cotacoes!G377</f>
        <v>8.1209745169420096E-3</v>
      </c>
      <c r="H378" s="5">
        <f>(Cotacoes!H378-Cotacoes!H377)/Cotacoes!H377</f>
        <v>-6.5573770491803539E-3</v>
      </c>
      <c r="I378" s="5">
        <f>(Cotacoes!I378-Cotacoes!I377)/Cotacoes!I377</f>
        <v>1.5384615384615306E-2</v>
      </c>
      <c r="J378" s="5">
        <f>(Cotacoes!J378-Cotacoes!J377)/Cotacoes!J377</f>
        <v>8.2823190493338285E-3</v>
      </c>
      <c r="K378" s="5">
        <f>(Cotacoes!K378-Cotacoes!K377)/Cotacoes!K377</f>
        <v>2.1474588403721804E-3</v>
      </c>
      <c r="L378" s="5">
        <f>(Cotacoes!L378-Cotacoes!L377)/Cotacoes!L377</f>
        <v>-7.1839080459768585E-4</v>
      </c>
      <c r="M378" s="5">
        <f>(Cotacoes!M378-Cotacoes!M377)/Cotacoes!M377</f>
        <v>4.4776119402985442E-3</v>
      </c>
      <c r="N378" s="5">
        <f>(Cotacoes!N378-Cotacoes!N377)/Cotacoes!N377</f>
        <v>1.6371077762619386E-2</v>
      </c>
      <c r="O378" s="5">
        <f>(Cotacoes!O378-Cotacoes!O377)/Cotacoes!O377</f>
        <v>3.648802736602056E-2</v>
      </c>
      <c r="P378" s="5">
        <f>(Cotacoes!P378-Cotacoes!P377)/Cotacoes!P377</f>
        <v>2.4617067833697989E-2</v>
      </c>
      <c r="Q378" s="5">
        <f>(Cotacoes!Q378-Cotacoes!Q377)/Cotacoes!Q377</f>
        <v>-6.0918462980318186E-3</v>
      </c>
      <c r="R378" s="5">
        <f>(Cotacoes!R378-Cotacoes!R377)/Cotacoes!R377</f>
        <v>-5.8958401572223942E-3</v>
      </c>
      <c r="S378" s="5">
        <f>(Cotacoes!S378-Cotacoes!S377)/Cotacoes!S377</f>
        <v>7.6687116564417178E-3</v>
      </c>
      <c r="T378" s="5">
        <f>(Cotacoes!T378-Cotacoes!T377)/Cotacoes!T377</f>
        <v>1.5271195365982239E-2</v>
      </c>
      <c r="U378" s="5">
        <f>(Cotacoes!U378-Cotacoes!U377)/Cotacoes!U377</f>
        <v>1.34775113618555E-2</v>
      </c>
      <c r="V378" s="5">
        <f>(Cotacoes!V378-Cotacoes!V377)/Cotacoes!V377</f>
        <v>-3.5760728218466506E-3</v>
      </c>
      <c r="W378" s="5"/>
    </row>
    <row r="379" spans="1:23" x14ac:dyDescent="0.2">
      <c r="A379" s="4">
        <v>45113</v>
      </c>
      <c r="B379" s="5">
        <f>(Cotacoes!B379-Cotacoes!B378)/Cotacoes!B378</f>
        <v>1.4231596191256277E-2</v>
      </c>
      <c r="C379" s="5">
        <f>(Cotacoes!C379-Cotacoes!C378)/Cotacoes!C378</f>
        <v>-7.1294559099436298E-3</v>
      </c>
      <c r="D379" s="5">
        <f>(Cotacoes!D379-Cotacoes!D378)/Cotacoes!D378</f>
        <v>-1.5124555160142342E-2</v>
      </c>
      <c r="E379" s="5">
        <f>(Cotacoes!E379-Cotacoes!E378)/Cotacoes!E378</f>
        <v>-1.4499121265377937E-2</v>
      </c>
      <c r="F379" s="5">
        <f>(Cotacoes!F379-Cotacoes!F378)/Cotacoes!F378</f>
        <v>-1.2845465161541527E-2</v>
      </c>
      <c r="G379" s="5">
        <f>(Cotacoes!G379-Cotacoes!G378)/Cotacoes!G378</f>
        <v>-1.6111111111111062E-2</v>
      </c>
      <c r="H379" s="5">
        <f>(Cotacoes!H379-Cotacoes!H378)/Cotacoes!H378</f>
        <v>-1.4615747289014722E-2</v>
      </c>
      <c r="I379" s="5">
        <f>(Cotacoes!I379-Cotacoes!I378)/Cotacoes!I378</f>
        <v>-2.5068870523415887E-2</v>
      </c>
      <c r="J379" s="5">
        <f>(Cotacoes!J379-Cotacoes!J378)/Cotacoes!J378</f>
        <v>-1.7142857142857158E-2</v>
      </c>
      <c r="K379" s="5">
        <f>(Cotacoes!K379-Cotacoes!K378)/Cotacoes!K378</f>
        <v>-2.4285714285714275E-2</v>
      </c>
      <c r="L379" s="5">
        <f>(Cotacoes!L379-Cotacoes!L378)/Cotacoes!L378</f>
        <v>-3.7383177570093427E-2</v>
      </c>
      <c r="M379" s="5">
        <f>(Cotacoes!M379-Cotacoes!M378)/Cotacoes!M378</f>
        <v>-2.5260029717682139E-2</v>
      </c>
      <c r="N379" s="5">
        <f>(Cotacoes!N379-Cotacoes!N378)/Cotacoes!N378</f>
        <v>-2.1476510067114114E-2</v>
      </c>
      <c r="O379" s="5">
        <f>(Cotacoes!O379-Cotacoes!O378)/Cotacoes!O378</f>
        <v>-2.9702970297029656E-2</v>
      </c>
      <c r="P379" s="5">
        <f>(Cotacoes!P379-Cotacoes!P378)/Cotacoes!P378</f>
        <v>-8.0085424452750742E-3</v>
      </c>
      <c r="Q379" s="5">
        <f>(Cotacoes!Q379-Cotacoes!Q378)/Cotacoes!Q378</f>
        <v>-7.7793493635077392E-3</v>
      </c>
      <c r="R379" s="5">
        <f>(Cotacoes!R379-Cotacoes!R378)/Cotacoes!R378</f>
        <v>-3.9538714991762862E-2</v>
      </c>
      <c r="S379" s="5">
        <f>(Cotacoes!S379-Cotacoes!S378)/Cotacoes!S378</f>
        <v>-5.1750380517504319E-3</v>
      </c>
      <c r="T379" s="5">
        <f>(Cotacoes!T379-Cotacoes!T378)/Cotacoes!T378</f>
        <v>-1.2188796680497896E-2</v>
      </c>
      <c r="U379" s="5">
        <f>(Cotacoes!U379-Cotacoes!U378)/Cotacoes!U378</f>
        <v>-8.9686098654708259E-3</v>
      </c>
      <c r="V379" s="5">
        <f>(Cotacoes!V379-Cotacoes!V378)/Cotacoes!V378</f>
        <v>-2.9037520391517031E-2</v>
      </c>
      <c r="W379" s="5"/>
    </row>
    <row r="380" spans="1:23" x14ac:dyDescent="0.2">
      <c r="A380" s="4">
        <v>45114</v>
      </c>
      <c r="B380" s="5">
        <f>(Cotacoes!B380-Cotacoes!B379)/Cotacoes!B379</f>
        <v>-1.1407227942660967E-2</v>
      </c>
      <c r="C380" s="5">
        <f>(Cotacoes!C380-Cotacoes!C379)/Cotacoes!C379</f>
        <v>9.4482237339380201E-3</v>
      </c>
      <c r="D380" s="5">
        <f>(Cotacoes!D380-Cotacoes!D379)/Cotacoes!D379</f>
        <v>-5.4200542005420505E-3</v>
      </c>
      <c r="E380" s="5">
        <f>(Cotacoes!E380-Cotacoes!E379)/Cotacoes!E379</f>
        <v>1.872492197949183E-2</v>
      </c>
      <c r="F380" s="5">
        <f>(Cotacoes!F380-Cotacoes!F379)/Cotacoes!F379</f>
        <v>-5.5205047318612217E-3</v>
      </c>
      <c r="G380" s="5">
        <f>(Cotacoes!G380-Cotacoes!G379)/Cotacoes!G379</f>
        <v>2.8232636928289504E-3</v>
      </c>
      <c r="H380" s="5">
        <f>(Cotacoes!H380-Cotacoes!H379)/Cotacoes!H379</f>
        <v>1.9138755980861347E-2</v>
      </c>
      <c r="I380" s="5">
        <f>(Cotacoes!I380-Cotacoes!I379)/Cotacoes!I379</f>
        <v>1.3563153433173124E-2</v>
      </c>
      <c r="J380" s="5">
        <f>(Cotacoes!J380-Cotacoes!J379)/Cotacoes!J379</f>
        <v>1.7441860465116296E-2</v>
      </c>
      <c r="K380" s="5">
        <f>(Cotacoes!K380-Cotacoes!K379)/Cotacoes!K379</f>
        <v>6.5885797950219517E-3</v>
      </c>
      <c r="L380" s="5">
        <f>(Cotacoes!L380-Cotacoes!L379)/Cotacoes!L379</f>
        <v>1.2696041822255408E-2</v>
      </c>
      <c r="M380" s="5">
        <f>(Cotacoes!M380-Cotacoes!M379)/Cotacoes!M379</f>
        <v>1.5243902439025421E-3</v>
      </c>
      <c r="N380" s="5">
        <f>(Cotacoes!N380-Cotacoes!N379)/Cotacoes!N379</f>
        <v>1.3717421124828483E-2</v>
      </c>
      <c r="O380" s="5">
        <f>(Cotacoes!O380-Cotacoes!O379)/Cotacoes!O379</f>
        <v>6.2358276643990603E-3</v>
      </c>
      <c r="P380" s="5">
        <f>(Cotacoes!P380-Cotacoes!P379)/Cotacoes!P379</f>
        <v>-1.9913885898815795E-2</v>
      </c>
      <c r="Q380" s="5">
        <f>(Cotacoes!Q380-Cotacoes!Q379)/Cotacoes!Q379</f>
        <v>9.0282727488713577E-3</v>
      </c>
      <c r="R380" s="5">
        <f>(Cotacoes!R380-Cotacoes!R379)/Cotacoes!R379</f>
        <v>4.3910806174957157E-2</v>
      </c>
      <c r="S380" s="5">
        <f>(Cotacoes!S380-Cotacoes!S379)/Cotacoes!S379</f>
        <v>8.873929008567906E-3</v>
      </c>
      <c r="T380" s="5">
        <f>(Cotacoes!T380-Cotacoes!T379)/Cotacoes!T379</f>
        <v>3.1504331845628661E-2</v>
      </c>
      <c r="U380" s="5">
        <f>(Cotacoes!U380-Cotacoes!U379)/Cotacoes!U379</f>
        <v>1.2794507723513702E-2</v>
      </c>
      <c r="V380" s="5">
        <f>(Cotacoes!V380-Cotacoes!V379)/Cotacoes!V379</f>
        <v>1.4112903225806389E-2</v>
      </c>
      <c r="W380" s="5"/>
    </row>
    <row r="381" spans="1:23" x14ac:dyDescent="0.2">
      <c r="A381" s="4">
        <v>45117</v>
      </c>
      <c r="B381" s="5">
        <f>(Cotacoes!B381-Cotacoes!B380)/Cotacoes!B380</f>
        <v>-2.9612988869601371E-3</v>
      </c>
      <c r="C381" s="5">
        <f>(Cotacoes!C381-Cotacoes!C380)/Cotacoes!C380</f>
        <v>-1.535005615874205E-2</v>
      </c>
      <c r="D381" s="5">
        <f>(Cotacoes!D381-Cotacoes!D380)/Cotacoes!D380</f>
        <v>1.8165304268846117E-3</v>
      </c>
      <c r="E381" s="5">
        <f>(Cotacoes!E381-Cotacoes!E380)/Cotacoes!E380</f>
        <v>-6.5645514223195674E-3</v>
      </c>
      <c r="F381" s="5">
        <f>(Cotacoes!F381-Cotacoes!F380)/Cotacoes!F380</f>
        <v>0</v>
      </c>
      <c r="G381" s="5">
        <f>(Cotacoes!G381-Cotacoes!G380)/Cotacoes!G380</f>
        <v>-1.9144144144144136E-2</v>
      </c>
      <c r="H381" s="5">
        <f>(Cotacoes!H381-Cotacoes!H380)/Cotacoes!H380</f>
        <v>-1.8309859154929605E-2</v>
      </c>
      <c r="I381" s="5">
        <f>(Cotacoes!I381-Cotacoes!I380)/Cotacoes!I380</f>
        <v>-6.1332589908000799E-3</v>
      </c>
      <c r="J381" s="5">
        <f>(Cotacoes!J381-Cotacoes!J380)/Cotacoes!J380</f>
        <v>0</v>
      </c>
      <c r="K381" s="5">
        <f>(Cotacoes!K381-Cotacoes!K380)/Cotacoes!K380</f>
        <v>7.2727272727271172E-4</v>
      </c>
      <c r="L381" s="5">
        <f>(Cotacoes!L381-Cotacoes!L380)/Cotacoes!L380</f>
        <v>-1.9911504424778861E-2</v>
      </c>
      <c r="M381" s="5">
        <f>(Cotacoes!M381-Cotacoes!M380)/Cotacoes!M380</f>
        <v>1.0654490106544809E-2</v>
      </c>
      <c r="N381" s="5">
        <f>(Cotacoes!N381-Cotacoes!N380)/Cotacoes!N380</f>
        <v>-1.3531799729363718E-3</v>
      </c>
      <c r="O381" s="5">
        <f>(Cotacoes!O381-Cotacoes!O380)/Cotacoes!O380</f>
        <v>-1.0140845070422519E-2</v>
      </c>
      <c r="P381" s="5">
        <f>(Cotacoes!P381-Cotacoes!P380)/Cotacoes!P380</f>
        <v>-5.4914881933004625E-3</v>
      </c>
      <c r="Q381" s="5">
        <f>(Cotacoes!Q381-Cotacoes!Q380)/Cotacoes!Q380</f>
        <v>-1.0595714622086078E-2</v>
      </c>
      <c r="R381" s="5">
        <f>(Cotacoes!R381-Cotacoes!R380)/Cotacoes!R380</f>
        <v>-1.8731514952349666E-2</v>
      </c>
      <c r="S381" s="5">
        <f>(Cotacoes!S381-Cotacoes!S380)/Cotacoes!S380</f>
        <v>-8.4925690021231768E-3</v>
      </c>
      <c r="T381" s="5">
        <f>(Cotacoes!T381-Cotacoes!T380)/Cotacoes!T380</f>
        <v>3.5632476457113913E-3</v>
      </c>
      <c r="U381" s="5">
        <f>(Cotacoes!U381-Cotacoes!U380)/Cotacoes!U380</f>
        <v>-5.8542597442612148E-3</v>
      </c>
      <c r="V381" s="5">
        <f>(Cotacoes!V381-Cotacoes!V380)/Cotacoes!V380</f>
        <v>2.9821073558648063E-3</v>
      </c>
      <c r="W381" s="5"/>
    </row>
    <row r="382" spans="1:23" x14ac:dyDescent="0.2">
      <c r="A382" s="4">
        <v>45118</v>
      </c>
      <c r="B382" s="5">
        <f>(Cotacoes!B382-Cotacoes!B381)/Cotacoes!B381</f>
        <v>4.9160180253994675E-3</v>
      </c>
      <c r="C382" s="5">
        <f>(Cotacoes!C382-Cotacoes!C381)/Cotacoes!C381</f>
        <v>3.2889733840304122E-2</v>
      </c>
      <c r="D382" s="5">
        <f>(Cotacoes!D382-Cotacoes!D381)/Cotacoes!D381</f>
        <v>-1.359927470534892E-2</v>
      </c>
      <c r="E382" s="5">
        <f>(Cotacoes!E382-Cotacoes!E381)/Cotacoes!E381</f>
        <v>-1.7621145374449278E-2</v>
      </c>
      <c r="F382" s="5">
        <f>(Cotacoes!F382-Cotacoes!F381)/Cotacoes!F381</f>
        <v>-7.9302141157810979E-3</v>
      </c>
      <c r="G382" s="5">
        <f>(Cotacoes!G382-Cotacoes!G381)/Cotacoes!G381</f>
        <v>-9.4718714121700739E-3</v>
      </c>
      <c r="H382" s="5">
        <f>(Cotacoes!H382-Cotacoes!H381)/Cotacoes!H381</f>
        <v>-1.4347202295552402E-2</v>
      </c>
      <c r="I382" s="5">
        <f>(Cotacoes!I382-Cotacoes!I381)/Cotacoes!I381</f>
        <v>-1.4025245441795233E-2</v>
      </c>
      <c r="J382" s="5">
        <f>(Cotacoes!J382-Cotacoes!J381)/Cotacoes!J381</f>
        <v>-1.7857142857142856E-2</v>
      </c>
      <c r="K382" s="5">
        <f>(Cotacoes!K382-Cotacoes!K381)/Cotacoes!K381</f>
        <v>7.2674418604649611E-4</v>
      </c>
      <c r="L382" s="5">
        <f>(Cotacoes!L382-Cotacoes!L381)/Cotacoes!L381</f>
        <v>-1.0534236267870489E-2</v>
      </c>
      <c r="M382" s="5">
        <f>(Cotacoes!M382-Cotacoes!M381)/Cotacoes!M381</f>
        <v>-2.5602409638554209E-2</v>
      </c>
      <c r="N382" s="5">
        <f>(Cotacoes!N382-Cotacoes!N381)/Cotacoes!N381</f>
        <v>-1.2195121951219494E-2</v>
      </c>
      <c r="O382" s="5">
        <f>(Cotacoes!O382-Cotacoes!O381)/Cotacoes!O381</f>
        <v>-1.8782014797951156E-2</v>
      </c>
      <c r="P382" s="5">
        <f>(Cotacoes!P382-Cotacoes!P381)/Cotacoes!P381</f>
        <v>-8.2827167310877189E-3</v>
      </c>
      <c r="Q382" s="5">
        <f>(Cotacoes!Q382-Cotacoes!Q381)/Cotacoes!Q381</f>
        <v>2.3798191337453617E-4</v>
      </c>
      <c r="R382" s="5">
        <f>(Cotacoes!R382-Cotacoes!R381)/Cotacoes!R381</f>
        <v>-5.3583389149363747E-3</v>
      </c>
      <c r="S382" s="5">
        <f>(Cotacoes!S382-Cotacoes!S381)/Cotacoes!S381</f>
        <v>4.5885591924137567E-3</v>
      </c>
      <c r="T382" s="5">
        <f>(Cotacoes!T382-Cotacoes!T381)/Cotacoes!T381</f>
        <v>3.0433679939132711E-2</v>
      </c>
      <c r="U382" s="5">
        <f>(Cotacoes!U382-Cotacoes!U381)/Cotacoes!U381</f>
        <v>-3.7192003719199577E-3</v>
      </c>
      <c r="V382" s="5">
        <f>(Cotacoes!V382-Cotacoes!V381)/Cotacoes!V381</f>
        <v>-1.2553683515031352E-2</v>
      </c>
      <c r="W382" s="5"/>
    </row>
    <row r="383" spans="1:23" x14ac:dyDescent="0.2">
      <c r="A383" s="4">
        <v>45119</v>
      </c>
      <c r="B383" s="5">
        <f>(Cotacoes!B383-Cotacoes!B382)/Cotacoes!B382</f>
        <v>9.9877700774560711E-3</v>
      </c>
      <c r="C383" s="5">
        <f>(Cotacoes!C383-Cotacoes!C382)/Cotacoes!C382</f>
        <v>6.9942941284741869E-3</v>
      </c>
      <c r="D383" s="5">
        <f>(Cotacoes!D383-Cotacoes!D382)/Cotacoes!D382</f>
        <v>9.1911764705880389E-4</v>
      </c>
      <c r="E383" s="5">
        <f>(Cotacoes!E383-Cotacoes!E382)/Cotacoes!E382</f>
        <v>-5.8295964125560087E-3</v>
      </c>
      <c r="F383" s="5">
        <f>(Cotacoes!F383-Cotacoes!F382)/Cotacoes!F382</f>
        <v>-2.7977617905675573E-3</v>
      </c>
      <c r="G383" s="5">
        <f>(Cotacoes!G383-Cotacoes!G382)/Cotacoes!G382</f>
        <v>3.1874818893074309E-3</v>
      </c>
      <c r="H383" s="5">
        <f>(Cotacoes!H383-Cotacoes!H382)/Cotacoes!H382</f>
        <v>-1.6011644832605448E-2</v>
      </c>
      <c r="I383" s="5">
        <f>(Cotacoes!I383-Cotacoes!I382)/Cotacoes!I382</f>
        <v>-1.2802275960170577E-2</v>
      </c>
      <c r="J383" s="5">
        <f>(Cotacoes!J383-Cotacoes!J382)/Cotacoes!J382</f>
        <v>7.2727272727271172E-4</v>
      </c>
      <c r="K383" s="5">
        <f>(Cotacoes!K383-Cotacoes!K382)/Cotacoes!K382</f>
        <v>-9.4408133623819172E-3</v>
      </c>
      <c r="L383" s="5">
        <f>(Cotacoes!L383-Cotacoes!L382)/Cotacoes!L382</f>
        <v>2.2813688212927674E-2</v>
      </c>
      <c r="M383" s="5">
        <f>(Cotacoes!M383-Cotacoes!M382)/Cotacoes!M382</f>
        <v>4.6367851622875194E-3</v>
      </c>
      <c r="N383" s="5">
        <f>(Cotacoes!N383-Cotacoes!N382)/Cotacoes!N382</f>
        <v>0</v>
      </c>
      <c r="O383" s="5">
        <f>(Cotacoes!O383-Cotacoes!O382)/Cotacoes!O382</f>
        <v>9.0487238979118464E-2</v>
      </c>
      <c r="P383" s="5">
        <f>(Cotacoes!P383-Cotacoes!P382)/Cotacoes!P382</f>
        <v>-1.4476614699331935E-2</v>
      </c>
      <c r="Q383" s="5">
        <f>(Cotacoes!Q383-Cotacoes!Q382)/Cotacoes!Q382</f>
        <v>3.0930287889601583E-3</v>
      </c>
      <c r="R383" s="5">
        <f>(Cotacoes!R383-Cotacoes!R382)/Cotacoes!R382</f>
        <v>5.3872053872053918E-3</v>
      </c>
      <c r="S383" s="5">
        <f>(Cotacoes!S383-Cotacoes!S382)/Cotacoes!S382</f>
        <v>3.3495736906211759E-3</v>
      </c>
      <c r="T383" s="5">
        <f>(Cotacoes!T383-Cotacoes!T382)/Cotacoes!T382</f>
        <v>2.0920502092050069E-2</v>
      </c>
      <c r="U383" s="5">
        <f>(Cotacoes!U383-Cotacoes!U382)/Cotacoes!U382</f>
        <v>1.0577072639601689E-2</v>
      </c>
      <c r="V383" s="5">
        <f>(Cotacoes!V383-Cotacoes!V382)/Cotacoes!V382</f>
        <v>6.3566410170624865E-3</v>
      </c>
      <c r="W383" s="5"/>
    </row>
    <row r="384" spans="1:23" x14ac:dyDescent="0.2">
      <c r="A384" s="4">
        <v>45120</v>
      </c>
      <c r="B384" s="5">
        <f>(Cotacoes!B384-Cotacoes!B383)/Cotacoes!B383</f>
        <v>-1.4127144298688108E-2</v>
      </c>
      <c r="C384" s="5">
        <f>(Cotacoes!C384-Cotacoes!C383)/Cotacoes!C383</f>
        <v>2.3396088466459533E-2</v>
      </c>
      <c r="D384" s="5">
        <f>(Cotacoes!D384-Cotacoes!D383)/Cotacoes!D383</f>
        <v>1.561065197428833E-2</v>
      </c>
      <c r="E384" s="5">
        <f>(Cotacoes!E384-Cotacoes!E383)/Cotacoes!E383</f>
        <v>1.0825439783491132E-2</v>
      </c>
      <c r="F384" s="5">
        <f>(Cotacoes!F384-Cotacoes!F383)/Cotacoes!F383</f>
        <v>1.4428857715430839E-2</v>
      </c>
      <c r="G384" s="5">
        <f>(Cotacoes!G384-Cotacoes!G383)/Cotacoes!G383</f>
        <v>0</v>
      </c>
      <c r="H384" s="5">
        <f>(Cotacoes!H384-Cotacoes!H383)/Cotacoes!H383</f>
        <v>9.3688362919131015E-3</v>
      </c>
      <c r="I384" s="5">
        <f>(Cotacoes!I384-Cotacoes!I383)/Cotacoes!I383</f>
        <v>2.0172910662824083E-2</v>
      </c>
      <c r="J384" s="5">
        <f>(Cotacoes!J384-Cotacoes!J383)/Cotacoes!J383</f>
        <v>8.3575581395348986E-3</v>
      </c>
      <c r="K384" s="5">
        <f>(Cotacoes!K384-Cotacoes!K383)/Cotacoes!K383</f>
        <v>2.4926686217008786E-2</v>
      </c>
      <c r="L384" s="5">
        <f>(Cotacoes!L384-Cotacoes!L383)/Cotacoes!L383</f>
        <v>2.2304832713754701E-2</v>
      </c>
      <c r="M384" s="5">
        <f>(Cotacoes!M384-Cotacoes!M383)/Cotacoes!M383</f>
        <v>4.615384615384654E-3</v>
      </c>
      <c r="N384" s="5">
        <f>(Cotacoes!N384-Cotacoes!N383)/Cotacoes!N383</f>
        <v>1.2345679012345659E-2</v>
      </c>
      <c r="O384" s="5">
        <f>(Cotacoes!O384-Cotacoes!O383)/Cotacoes!O383</f>
        <v>2.7659574468085084E-2</v>
      </c>
      <c r="P384" s="5">
        <f>(Cotacoes!P384-Cotacoes!P383)/Cotacoes!P383</f>
        <v>1.3559322033898417E-2</v>
      </c>
      <c r="Q384" s="5">
        <f>(Cotacoes!Q384-Cotacoes!Q383)/Cotacoes!Q383</f>
        <v>4.2694497153701813E-3</v>
      </c>
      <c r="R384" s="5">
        <f>(Cotacoes!R384-Cotacoes!R383)/Cotacoes!R383</f>
        <v>2.8466175485599512E-2</v>
      </c>
      <c r="S384" s="5">
        <f>(Cotacoes!S384-Cotacoes!S383)/Cotacoes!S383</f>
        <v>1.2139605462822414E-2</v>
      </c>
      <c r="T384" s="5">
        <f>(Cotacoes!T384-Cotacoes!T383)/Cotacoes!T383</f>
        <v>3.2304725168756113E-2</v>
      </c>
      <c r="U384" s="5">
        <f>(Cotacoes!U384-Cotacoes!U383)/Cotacoes!U383</f>
        <v>-1.2313375404032368E-3</v>
      </c>
      <c r="V384" s="5">
        <f>(Cotacoes!V384-Cotacoes!V383)/Cotacoes!V383</f>
        <v>2.4268617021276612E-2</v>
      </c>
      <c r="W384" s="5"/>
    </row>
    <row r="385" spans="1:23" x14ac:dyDescent="0.2">
      <c r="A385" s="4">
        <v>45121</v>
      </c>
      <c r="B385" s="5">
        <f>(Cotacoes!B385-Cotacoes!B384)/Cotacoes!B384</f>
        <v>1.1258955987717444E-3</v>
      </c>
      <c r="C385" s="5">
        <f>(Cotacoes!C385-Cotacoes!C384)/Cotacoes!C384</f>
        <v>0</v>
      </c>
      <c r="D385" s="5">
        <f>(Cotacoes!D385-Cotacoes!D384)/Cotacoes!D384</f>
        <v>-1.9439421338155502E-2</v>
      </c>
      <c r="E385" s="5">
        <f>(Cotacoes!E385-Cotacoes!E384)/Cotacoes!E384</f>
        <v>-1.0263275323516306E-2</v>
      </c>
      <c r="F385" s="5">
        <f>(Cotacoes!F385-Cotacoes!F384)/Cotacoes!F384</f>
        <v>-2.0940339786645501E-2</v>
      </c>
      <c r="G385" s="5">
        <f>(Cotacoes!G385-Cotacoes!G384)/Cotacoes!G384</f>
        <v>-1.7331022530327894E-3</v>
      </c>
      <c r="H385" s="5">
        <f>(Cotacoes!H385-Cotacoes!H384)/Cotacoes!H384</f>
        <v>-6.8392769907181525E-3</v>
      </c>
      <c r="I385" s="5">
        <f>(Cotacoes!I385-Cotacoes!I384)/Cotacoes!I384</f>
        <v>-2.3163841807909615E-2</v>
      </c>
      <c r="J385" s="5">
        <f>(Cotacoes!J385-Cotacoes!J384)/Cotacoes!J384</f>
        <v>-1.7477477477477459E-2</v>
      </c>
      <c r="K385" s="5">
        <f>(Cotacoes!K385-Cotacoes!K384)/Cotacoes!K384</f>
        <v>-1.2875536480686674E-2</v>
      </c>
      <c r="L385" s="5">
        <f>(Cotacoes!L385-Cotacoes!L384)/Cotacoes!L384</f>
        <v>-7.9999999999999585E-3</v>
      </c>
      <c r="M385" s="5">
        <f>(Cotacoes!M385-Cotacoes!M384)/Cotacoes!M384</f>
        <v>-1.5313935681471171E-3</v>
      </c>
      <c r="N385" s="5">
        <f>(Cotacoes!N385-Cotacoes!N384)/Cotacoes!N384</f>
        <v>-9.4850948509485489E-3</v>
      </c>
      <c r="O385" s="5">
        <f>(Cotacoes!O385-Cotacoes!O384)/Cotacoes!O384</f>
        <v>-1.6045548654244238E-2</v>
      </c>
      <c r="P385" s="5">
        <f>(Cotacoes!P385-Cotacoes!P384)/Cotacoes!P384</f>
        <v>-2.8428093645485035E-2</v>
      </c>
      <c r="Q385" s="5">
        <f>(Cotacoes!Q385-Cotacoes!Q384)/Cotacoes!Q384</f>
        <v>4.0151157298062021E-3</v>
      </c>
      <c r="R385" s="5">
        <f>(Cotacoes!R385-Cotacoes!R384)/Cotacoes!R384</f>
        <v>-1.7909475740801064E-2</v>
      </c>
      <c r="S385" s="5">
        <f>(Cotacoes!S385-Cotacoes!S384)/Cotacoes!S384</f>
        <v>-1.4692653673163478E-2</v>
      </c>
      <c r="T385" s="5">
        <f>(Cotacoes!T385-Cotacoes!T384)/Cotacoes!T384</f>
        <v>-3.1994395142456736E-2</v>
      </c>
      <c r="U385" s="5">
        <f>(Cotacoes!U385-Cotacoes!U384)/Cotacoes!U384</f>
        <v>-2.3424256433965219E-2</v>
      </c>
      <c r="V385" s="5">
        <f>(Cotacoes!V385-Cotacoes!V384)/Cotacoes!V384</f>
        <v>-1.038623823433951E-2</v>
      </c>
      <c r="W385" s="5"/>
    </row>
    <row r="386" spans="1:23" x14ac:dyDescent="0.2">
      <c r="A386" s="4">
        <v>45124</v>
      </c>
      <c r="B386" s="5">
        <f>(Cotacoes!B386-Cotacoes!B385)/Cotacoes!B385</f>
        <v>1.329107453225595E-3</v>
      </c>
      <c r="C386" s="5">
        <f>(Cotacoes!C386-Cotacoes!C385)/Cotacoes!C385</f>
        <v>-1.1073405965351037E-2</v>
      </c>
      <c r="D386" s="5">
        <f>(Cotacoes!D386-Cotacoes!D385)/Cotacoes!D385</f>
        <v>-2.3052097740894747E-3</v>
      </c>
      <c r="E386" s="5">
        <f>(Cotacoes!E386-Cotacoes!E385)/Cotacoes!E385</f>
        <v>1.938683498647429E-2</v>
      </c>
      <c r="F386" s="5">
        <f>(Cotacoes!F386-Cotacoes!F385)/Cotacoes!F385</f>
        <v>4.0355125100879783E-4</v>
      </c>
      <c r="G386" s="5">
        <f>(Cotacoes!G386-Cotacoes!G385)/Cotacoes!G385</f>
        <v>-1.9386574074074122E-2</v>
      </c>
      <c r="H386" s="5">
        <f>(Cotacoes!H386-Cotacoes!H385)/Cotacoes!H385</f>
        <v>8.8539104771275592E-3</v>
      </c>
      <c r="I386" s="5">
        <f>(Cotacoes!I386-Cotacoes!I385)/Cotacoes!I385</f>
        <v>4.6269519953731552E-3</v>
      </c>
      <c r="J386" s="5">
        <f>(Cotacoes!J386-Cotacoes!J385)/Cotacoes!J385</f>
        <v>-6.0517146524848393E-3</v>
      </c>
      <c r="K386" s="5">
        <f>(Cotacoes!K386-Cotacoes!K385)/Cotacoes!K385</f>
        <v>1.5942028985507162E-2</v>
      </c>
      <c r="L386" s="5">
        <f>(Cotacoes!L386-Cotacoes!L385)/Cotacoes!L385</f>
        <v>1.026392961876824E-2</v>
      </c>
      <c r="M386" s="5">
        <f>(Cotacoes!M386-Cotacoes!M385)/Cotacoes!M385</f>
        <v>5.3680981595092244E-3</v>
      </c>
      <c r="N386" s="5">
        <f>(Cotacoes!N386-Cotacoes!N385)/Cotacoes!N385</f>
        <v>1.3679890560875587E-2</v>
      </c>
      <c r="O386" s="5">
        <f>(Cotacoes!O386-Cotacoes!O385)/Cotacoes!O385</f>
        <v>-1.420305102577607E-2</v>
      </c>
      <c r="P386" s="5">
        <f>(Cotacoes!P386-Cotacoes!P385)/Cotacoes!P385</f>
        <v>2.8686173264486927E-3</v>
      </c>
      <c r="Q386" s="5">
        <f>(Cotacoes!Q386-Cotacoes!Q385)/Cotacoes!Q385</f>
        <v>-3.2933427428840406E-3</v>
      </c>
      <c r="R386" s="5">
        <f>(Cotacoes!R386-Cotacoes!R385)/Cotacoes!R385</f>
        <v>3.1167108753315693E-2</v>
      </c>
      <c r="S386" s="5">
        <f>(Cotacoes!S386-Cotacoes!S385)/Cotacoes!S385</f>
        <v>6.9993913572734016E-3</v>
      </c>
      <c r="T386" s="5">
        <f>(Cotacoes!T386-Cotacoes!T385)/Cotacoes!T385</f>
        <v>1.1338962605548826E-2</v>
      </c>
      <c r="U386" s="5">
        <f>(Cotacoes!U386-Cotacoes!U385)/Cotacoes!U385</f>
        <v>1.3255483667350423E-2</v>
      </c>
      <c r="V386" s="5">
        <f>(Cotacoes!V386-Cotacoes!V385)/Cotacoes!V385</f>
        <v>2.623811085601839E-2</v>
      </c>
      <c r="W386" s="5"/>
    </row>
    <row r="387" spans="1:23" x14ac:dyDescent="0.2">
      <c r="A387" s="4">
        <v>45125</v>
      </c>
      <c r="B387" s="5">
        <f>(Cotacoes!B387-Cotacoes!B386)/Cotacoes!B386</f>
        <v>-3.9820298141719475E-3</v>
      </c>
      <c r="C387" s="5">
        <f>(Cotacoes!C387-Cotacoes!C386)/Cotacoes!C386</f>
        <v>-6.3211125158026786E-3</v>
      </c>
      <c r="D387" s="5">
        <f>(Cotacoes!D387-Cotacoes!D386)/Cotacoes!D386</f>
        <v>-5.5452865064695468E-3</v>
      </c>
      <c r="E387" s="5">
        <f>(Cotacoes!E387-Cotacoes!E386)/Cotacoes!E386</f>
        <v>-1.9460415745245367E-2</v>
      </c>
      <c r="F387" s="5">
        <f>(Cotacoes!F387-Cotacoes!F386)/Cotacoes!F386</f>
        <v>-8.8745461879789784E-3</v>
      </c>
      <c r="G387" s="5">
        <f>(Cotacoes!G387-Cotacoes!G386)/Cotacoes!G386</f>
        <v>1.8294482148126213E-2</v>
      </c>
      <c r="H387" s="5">
        <f>(Cotacoes!H387-Cotacoes!H386)/Cotacoes!H386</f>
        <v>3.412969283276291E-3</v>
      </c>
      <c r="I387" s="5">
        <f>(Cotacoes!I387-Cotacoes!I386)/Cotacoes!I386</f>
        <v>-7.4841681059299109E-3</v>
      </c>
      <c r="J387" s="5">
        <f>(Cotacoes!J387-Cotacoes!J386)/Cotacoes!J386</f>
        <v>4.4280442804427098E-3</v>
      </c>
      <c r="K387" s="5">
        <f>(Cotacoes!K387-Cotacoes!K386)/Cotacoes!K386</f>
        <v>-1.4265335235377728E-3</v>
      </c>
      <c r="L387" s="5">
        <f>(Cotacoes!L387-Cotacoes!L386)/Cotacoes!L386</f>
        <v>7.9825834542816554E-3</v>
      </c>
      <c r="M387" s="5">
        <f>(Cotacoes!M387-Cotacoes!M386)/Cotacoes!M386</f>
        <v>-9.9160945842867287E-3</v>
      </c>
      <c r="N387" s="5">
        <f>(Cotacoes!N387-Cotacoes!N386)/Cotacoes!N386</f>
        <v>-1.3495276653171101E-3</v>
      </c>
      <c r="O387" s="5">
        <f>(Cotacoes!O387-Cotacoes!O386)/Cotacoes!O386</f>
        <v>-2.774813233724651E-2</v>
      </c>
      <c r="P387" s="5">
        <f>(Cotacoes!P387-Cotacoes!P386)/Cotacoes!P386</f>
        <v>-1.0297482837528588E-2</v>
      </c>
      <c r="Q387" s="5">
        <f>(Cotacoes!Q387-Cotacoes!Q386)/Cotacoes!Q386</f>
        <v>3.7762567854614988E-3</v>
      </c>
      <c r="R387" s="5">
        <f>(Cotacoes!R387-Cotacoes!R386)/Cotacoes!R386</f>
        <v>1.061093247588419E-2</v>
      </c>
      <c r="S387" s="5">
        <f>(Cotacoes!S387-Cotacoes!S386)/Cotacoes!S386</f>
        <v>1.2088244182532229E-3</v>
      </c>
      <c r="T387" s="5">
        <f>(Cotacoes!T387-Cotacoes!T386)/Cotacoes!T386</f>
        <v>2.8387404580152615E-2</v>
      </c>
      <c r="U387" s="5">
        <f>(Cotacoes!U387-Cotacoes!U386)/Cotacoes!U386</f>
        <v>-2.0246067590717252E-3</v>
      </c>
      <c r="V387" s="5">
        <f>(Cotacoes!V387-Cotacoes!V386)/Cotacoes!V386</f>
        <v>5.1134547778843124E-3</v>
      </c>
      <c r="W387" s="5"/>
    </row>
    <row r="388" spans="1:23" x14ac:dyDescent="0.2">
      <c r="A388" s="4">
        <v>45126</v>
      </c>
      <c r="B388" s="5">
        <f>(Cotacoes!B388-Cotacoes!B387)/Cotacoes!B387</f>
        <v>4.613018964633551E-3</v>
      </c>
      <c r="C388" s="5">
        <f>(Cotacoes!C388-Cotacoes!C387)/Cotacoes!C387</f>
        <v>-2.7262813522356539E-3</v>
      </c>
      <c r="D388" s="5">
        <f>(Cotacoes!D388-Cotacoes!D387)/Cotacoes!D387</f>
        <v>9.7583643122676981E-3</v>
      </c>
      <c r="E388" s="5">
        <f>(Cotacoes!E388-Cotacoes!E387)/Cotacoes!E387</f>
        <v>-1.0825439783491294E-2</v>
      </c>
      <c r="F388" s="5">
        <f>(Cotacoes!F388-Cotacoes!F387)/Cotacoes!F387</f>
        <v>5.6980056980057208E-3</v>
      </c>
      <c r="G388" s="5">
        <f>(Cotacoes!G388-Cotacoes!G387)/Cotacoes!G387</f>
        <v>5.4766734279918884E-2</v>
      </c>
      <c r="H388" s="5">
        <f>(Cotacoes!H388-Cotacoes!H387)/Cotacoes!H387</f>
        <v>-1.7492711370262364E-2</v>
      </c>
      <c r="I388" s="5">
        <f>(Cotacoes!I388-Cotacoes!I387)/Cotacoes!I387</f>
        <v>-4.6403712296982777E-3</v>
      </c>
      <c r="J388" s="5">
        <f>(Cotacoes!J388-Cotacoes!J387)/Cotacoes!J387</f>
        <v>-4.9595885378397511E-3</v>
      </c>
      <c r="K388" s="5">
        <f>(Cotacoes!K388-Cotacoes!K387)/Cotacoes!K387</f>
        <v>-3.5714285714286221E-3</v>
      </c>
      <c r="L388" s="5">
        <f>(Cotacoes!L388-Cotacoes!L387)/Cotacoes!L387</f>
        <v>-7.9193664506840324E-3</v>
      </c>
      <c r="M388" s="5">
        <f>(Cotacoes!M388-Cotacoes!M387)/Cotacoes!M387</f>
        <v>-3.0816640986133224E-3</v>
      </c>
      <c r="N388" s="5">
        <f>(Cotacoes!N388-Cotacoes!N387)/Cotacoes!N387</f>
        <v>-9.4594594594594981E-3</v>
      </c>
      <c r="O388" s="5">
        <f>(Cotacoes!O388-Cotacoes!O387)/Cotacoes!O387</f>
        <v>-5.4884742041701488E-4</v>
      </c>
      <c r="P388" s="5">
        <f>(Cotacoes!P388-Cotacoes!P387)/Cotacoes!P387</f>
        <v>4.0462427745664902E-3</v>
      </c>
      <c r="Q388" s="5">
        <f>(Cotacoes!Q388-Cotacoes!Q387)/Cotacoes!Q387</f>
        <v>-2.4688455208088506E-2</v>
      </c>
      <c r="R388" s="5">
        <f>(Cotacoes!R388-Cotacoes!R387)/Cotacoes!R387</f>
        <v>-1.1135857461024544E-2</v>
      </c>
      <c r="S388" s="5">
        <f>(Cotacoes!S388-Cotacoes!S387)/Cotacoes!S387</f>
        <v>6.9423483247810702E-3</v>
      </c>
      <c r="T388" s="5">
        <f>(Cotacoes!T388-Cotacoes!T387)/Cotacoes!T387</f>
        <v>2.2268615170494103E-2</v>
      </c>
      <c r="U388" s="5">
        <f>(Cotacoes!U388-Cotacoes!U387)/Cotacoes!U387</f>
        <v>3.1210986267166487E-3</v>
      </c>
      <c r="V388" s="5">
        <f>(Cotacoes!V388-Cotacoes!V387)/Cotacoes!V387</f>
        <v>-6.3593004769474002E-4</v>
      </c>
      <c r="W388" s="5"/>
    </row>
    <row r="389" spans="1:23" x14ac:dyDescent="0.2">
      <c r="A389" s="4">
        <v>45127</v>
      </c>
      <c r="B389" s="5">
        <f>(Cotacoes!B389-Cotacoes!B388)/Cotacoes!B388</f>
        <v>1.7346938775510232E-2</v>
      </c>
      <c r="C389" s="5">
        <f>(Cotacoes!C389-Cotacoes!C388)/Cotacoes!C388</f>
        <v>2.1869874248223904E-3</v>
      </c>
      <c r="D389" s="5">
        <f>(Cotacoes!D389-Cotacoes!D388)/Cotacoes!D388</f>
        <v>9.2038656235616991E-4</v>
      </c>
      <c r="E389" s="5">
        <f>(Cotacoes!E389-Cotacoes!E388)/Cotacoes!E388</f>
        <v>1.8695850433196541E-2</v>
      </c>
      <c r="F389" s="5">
        <f>(Cotacoes!F389-Cotacoes!F388)/Cotacoes!F388</f>
        <v>7.6891946580330923E-3</v>
      </c>
      <c r="G389" s="5">
        <f>(Cotacoes!G389-Cotacoes!G388)/Cotacoes!G388</f>
        <v>6.593406593406648E-3</v>
      </c>
      <c r="H389" s="5">
        <f>(Cotacoes!H389-Cotacoes!H388)/Cotacoes!H388</f>
        <v>1.1374876360039586E-2</v>
      </c>
      <c r="I389" s="5">
        <f>(Cotacoes!I389-Cotacoes!I388)/Cotacoes!I388</f>
        <v>5.8275058275067382E-4</v>
      </c>
      <c r="J389" s="5">
        <f>(Cotacoes!J389-Cotacoes!J388)/Cotacoes!J388</f>
        <v>-4.7997046335611056E-3</v>
      </c>
      <c r="K389" s="5">
        <f>(Cotacoes!K389-Cotacoes!K388)/Cotacoes!K388</f>
        <v>0</v>
      </c>
      <c r="L389" s="5">
        <f>(Cotacoes!L389-Cotacoes!L388)/Cotacoes!L388</f>
        <v>7.2568940493467256E-4</v>
      </c>
      <c r="M389" s="5">
        <f>(Cotacoes!M389-Cotacoes!M388)/Cotacoes!M388</f>
        <v>2.0092735703245733E-2</v>
      </c>
      <c r="N389" s="5">
        <f>(Cotacoes!N389-Cotacoes!N388)/Cotacoes!N388</f>
        <v>6.8212824010913812E-3</v>
      </c>
      <c r="O389" s="5">
        <f>(Cotacoes!O389-Cotacoes!O388)/Cotacoes!O388</f>
        <v>-8.7863811092806221E-3</v>
      </c>
      <c r="P389" s="5">
        <f>(Cotacoes!P389-Cotacoes!P388)/Cotacoes!P388</f>
        <v>-1.2089810017271205E-2</v>
      </c>
      <c r="Q389" s="5">
        <f>(Cotacoes!Q389-Cotacoes!Q388)/Cotacoes!Q388</f>
        <v>4.0983606557377468E-3</v>
      </c>
      <c r="R389" s="5">
        <f>(Cotacoes!R389-Cotacoes!R388)/Cotacoes!R388</f>
        <v>1.2870012870012939E-2</v>
      </c>
      <c r="S389" s="5">
        <f>(Cotacoes!S389-Cotacoes!S388)/Cotacoes!S388</f>
        <v>1.4388489208633212E-2</v>
      </c>
      <c r="T389" s="5">
        <f>(Cotacoes!T389-Cotacoes!T388)/Cotacoes!T388</f>
        <v>1.3614703880191121E-3</v>
      </c>
      <c r="U389" s="5">
        <f>(Cotacoes!U389-Cotacoes!U388)/Cotacoes!U388</f>
        <v>7.4673304293715612E-3</v>
      </c>
      <c r="V389" s="5">
        <f>(Cotacoes!V389-Cotacoes!V388)/Cotacoes!V388</f>
        <v>1.2408526885141602E-2</v>
      </c>
      <c r="W389" s="5"/>
    </row>
    <row r="390" spans="1:23" x14ac:dyDescent="0.2">
      <c r="A390" s="4">
        <v>45128</v>
      </c>
      <c r="B390" s="5">
        <f>(Cotacoes!B390-Cotacoes!B389)/Cotacoes!B389</f>
        <v>8.8264794383148982E-3</v>
      </c>
      <c r="C390" s="5">
        <f>(Cotacoes!C390-Cotacoes!C389)/Cotacoes!C389</f>
        <v>6.1829423531550515E-3</v>
      </c>
      <c r="D390" s="5">
        <f>(Cotacoes!D390-Cotacoes!D389)/Cotacoes!D389</f>
        <v>1.8850574712643686E-2</v>
      </c>
      <c r="E390" s="5">
        <f>(Cotacoes!E390-Cotacoes!E389)/Cotacoes!E389</f>
        <v>1.7905102954341924E-2</v>
      </c>
      <c r="F390" s="5">
        <f>(Cotacoes!F390-Cotacoes!F389)/Cotacoes!F389</f>
        <v>1.8473895582329352E-2</v>
      </c>
      <c r="G390" s="5">
        <f>(Cotacoes!G390-Cotacoes!G389)/Cotacoes!G389</f>
        <v>1.9104803493449857E-2</v>
      </c>
      <c r="H390" s="5">
        <f>(Cotacoes!H390-Cotacoes!H389)/Cotacoes!H389</f>
        <v>1.1735941320293496E-2</v>
      </c>
      <c r="I390" s="5">
        <f>(Cotacoes!I390-Cotacoes!I389)/Cotacoes!I389</f>
        <v>2.8829353523587502E-2</v>
      </c>
      <c r="J390" s="5">
        <f>(Cotacoes!J390-Cotacoes!J389)/Cotacoes!J389</f>
        <v>2.4485253199777415E-2</v>
      </c>
      <c r="K390" s="5">
        <f>(Cotacoes!K390-Cotacoes!K389)/Cotacoes!K389</f>
        <v>3.2974910394265297E-2</v>
      </c>
      <c r="L390" s="5">
        <f>(Cotacoes!L390-Cotacoes!L389)/Cotacoes!L389</f>
        <v>3.8433647570703493E-2</v>
      </c>
      <c r="M390" s="5">
        <f>(Cotacoes!M390-Cotacoes!M389)/Cotacoes!M389</f>
        <v>2.5757575757575746E-2</v>
      </c>
      <c r="N390" s="5">
        <f>(Cotacoes!N390-Cotacoes!N389)/Cotacoes!N389</f>
        <v>1.7615176151761502E-2</v>
      </c>
      <c r="O390" s="5">
        <f>(Cotacoes!O390-Cotacoes!O389)/Cotacoes!O389</f>
        <v>2.7700831024931143E-3</v>
      </c>
      <c r="P390" s="5">
        <f>(Cotacoes!P390-Cotacoes!P389)/Cotacoes!P389</f>
        <v>2.5058275058275042E-2</v>
      </c>
      <c r="Q390" s="5">
        <f>(Cotacoes!Q390-Cotacoes!Q389)/Cotacoes!Q389</f>
        <v>9.363745498199294E-3</v>
      </c>
      <c r="R390" s="5">
        <f>(Cotacoes!R390-Cotacoes!R389)/Cotacoes!R389</f>
        <v>2.2871664548920024E-2</v>
      </c>
      <c r="S390" s="5">
        <f>(Cotacoes!S390-Cotacoes!S389)/Cotacoes!S389</f>
        <v>7.9787234042552006E-3</v>
      </c>
      <c r="T390" s="5">
        <f>(Cotacoes!T390-Cotacoes!T389)/Cotacoes!T389</f>
        <v>2.1980512123272122E-2</v>
      </c>
      <c r="U390" s="5">
        <f>(Cotacoes!U390-Cotacoes!U389)/Cotacoes!U389</f>
        <v>5.0957381099443833E-3</v>
      </c>
      <c r="V390" s="5">
        <f>(Cotacoes!V390-Cotacoes!V389)/Cotacoes!V389</f>
        <v>3.4883720930232537E-2</v>
      </c>
      <c r="W390" s="5"/>
    </row>
    <row r="391" spans="1:23" x14ac:dyDescent="0.2">
      <c r="A391" s="4">
        <v>45131</v>
      </c>
      <c r="B391" s="5">
        <f>(Cotacoes!B391-Cotacoes!B390)/Cotacoes!B390</f>
        <v>8.4509842911116382E-3</v>
      </c>
      <c r="C391" s="5">
        <f>(Cotacoes!C391-Cotacoes!C390)/Cotacoes!C390</f>
        <v>3.0182541116934788E-2</v>
      </c>
      <c r="D391" s="5">
        <f>(Cotacoes!D391-Cotacoes!D390)/Cotacoes!D390</f>
        <v>2.0758122743682349E-2</v>
      </c>
      <c r="E391" s="5">
        <f>(Cotacoes!E391-Cotacoes!E390)/Cotacoes!E390</f>
        <v>-1.5831134564643776E-2</v>
      </c>
      <c r="F391" s="5">
        <f>(Cotacoes!F391-Cotacoes!F390)/Cotacoes!F390</f>
        <v>2.0504731861198722E-2</v>
      </c>
      <c r="G391" s="5">
        <f>(Cotacoes!G391-Cotacoes!G390)/Cotacoes!G390</f>
        <v>7.2040707016604116E-2</v>
      </c>
      <c r="H391" s="5">
        <f>(Cotacoes!H391-Cotacoes!H390)/Cotacoes!H390</f>
        <v>-1.9816336394393431E-2</v>
      </c>
      <c r="I391" s="5">
        <f>(Cotacoes!I391-Cotacoes!I390)/Cotacoes!I390</f>
        <v>-1.4152278516840408E-3</v>
      </c>
      <c r="J391" s="5">
        <f>(Cotacoes!J391-Cotacoes!J390)/Cotacoes!J390</f>
        <v>5.0697084917617442E-3</v>
      </c>
      <c r="K391" s="5">
        <f>(Cotacoes!K391-Cotacoes!K390)/Cotacoes!K390</f>
        <v>-2.7064538514920234E-2</v>
      </c>
      <c r="L391" s="5">
        <f>(Cotacoes!L391-Cotacoes!L390)/Cotacoes!L390</f>
        <v>-4.1899441340782469E-3</v>
      </c>
      <c r="M391" s="5">
        <f>(Cotacoes!M391-Cotacoes!M390)/Cotacoes!M390</f>
        <v>-1.1816838995568565E-2</v>
      </c>
      <c r="N391" s="5">
        <f>(Cotacoes!N391-Cotacoes!N390)/Cotacoes!N390</f>
        <v>-7.9893475366177909E-3</v>
      </c>
      <c r="O391" s="5">
        <f>(Cotacoes!O391-Cotacoes!O390)/Cotacoes!O390</f>
        <v>-1.1602209944751427E-2</v>
      </c>
      <c r="P391" s="5">
        <f>(Cotacoes!P391-Cotacoes!P390)/Cotacoes!P390</f>
        <v>4.377487208641271E-2</v>
      </c>
      <c r="Q391" s="5">
        <f>(Cotacoes!Q391-Cotacoes!Q390)/Cotacoes!Q390</f>
        <v>2.1883920076118023E-2</v>
      </c>
      <c r="R391" s="5">
        <f>(Cotacoes!R391-Cotacoes!R390)/Cotacoes!R390</f>
        <v>-1.1180124223602575E-2</v>
      </c>
      <c r="S391" s="5">
        <f>(Cotacoes!S391-Cotacoes!S390)/Cotacoes!S390</f>
        <v>1.026092055115806E-2</v>
      </c>
      <c r="T391" s="5">
        <f>(Cotacoes!T391-Cotacoes!T390)/Cotacoes!T390</f>
        <v>2.2172949002217293E-2</v>
      </c>
      <c r="U391" s="5">
        <f>(Cotacoes!U391-Cotacoes!U390)/Cotacoes!U390</f>
        <v>-1.1215240436319003E-2</v>
      </c>
      <c r="V391" s="5">
        <f>(Cotacoes!V391-Cotacoes!V390)/Cotacoes!V390</f>
        <v>4.0388703310051573E-2</v>
      </c>
      <c r="W391" s="5"/>
    </row>
    <row r="392" spans="1:23" x14ac:dyDescent="0.2">
      <c r="A392" s="4">
        <v>45132</v>
      </c>
      <c r="B392" s="5">
        <f>(Cotacoes!B392-Cotacoes!B391)/Cotacoes!B391</f>
        <v>6.9013112491366629E-4</v>
      </c>
      <c r="C392" s="5">
        <f>(Cotacoes!C392-Cotacoes!C391)/Cotacoes!C391</f>
        <v>3.0877192982456104E-2</v>
      </c>
      <c r="D392" s="5">
        <f>(Cotacoes!D392-Cotacoes!D391)/Cotacoes!D391</f>
        <v>2.2988505747126416E-2</v>
      </c>
      <c r="E392" s="5">
        <f>(Cotacoes!E392-Cotacoes!E391)/Cotacoes!E391</f>
        <v>2.2341376228776012E-3</v>
      </c>
      <c r="F392" s="5">
        <f>(Cotacoes!F392-Cotacoes!F391)/Cotacoes!F391</f>
        <v>1.816074188562606E-2</v>
      </c>
      <c r="G392" s="5">
        <f>(Cotacoes!G392-Cotacoes!G391)/Cotacoes!G391</f>
        <v>-2.4981264051961029E-2</v>
      </c>
      <c r="H392" s="5">
        <f>(Cotacoes!H392-Cotacoes!H391)/Cotacoes!H391</f>
        <v>-4.9309664694280773E-3</v>
      </c>
      <c r="I392" s="5">
        <f>(Cotacoes!I392-Cotacoes!I391)/Cotacoes!I391</f>
        <v>-2.5510204081633618E-3</v>
      </c>
      <c r="J392" s="5">
        <f>(Cotacoes!J392-Cotacoes!J391)/Cotacoes!J391</f>
        <v>4.863988470545904E-3</v>
      </c>
      <c r="K392" s="5">
        <f>(Cotacoes!K392-Cotacoes!K391)/Cotacoes!K391</f>
        <v>-3.5663338088444321E-3</v>
      </c>
      <c r="L392" s="5">
        <f>(Cotacoes!L392-Cotacoes!L391)/Cotacoes!L391</f>
        <v>-7.7138849929873372E-3</v>
      </c>
      <c r="M392" s="5">
        <f>(Cotacoes!M392-Cotacoes!M391)/Cotacoes!M391</f>
        <v>-5.9790732436472392E-3</v>
      </c>
      <c r="N392" s="5">
        <f>(Cotacoes!N392-Cotacoes!N391)/Cotacoes!N391</f>
        <v>8.0536912751677323E-3</v>
      </c>
      <c r="O392" s="5">
        <f>(Cotacoes!O392-Cotacoes!O391)/Cotacoes!O391</f>
        <v>2.2358859698154918E-3</v>
      </c>
      <c r="P392" s="5">
        <f>(Cotacoes!P392-Cotacoes!P391)/Cotacoes!P391</f>
        <v>-8.7145969498910753E-3</v>
      </c>
      <c r="Q392" s="5">
        <f>(Cotacoes!Q392-Cotacoes!Q391)/Cotacoes!Q391</f>
        <v>4.6554934823090253E-3</v>
      </c>
      <c r="R392" s="5">
        <f>(Cotacoes!R392-Cotacoes!R391)/Cotacoes!R391</f>
        <v>-4.0829145728642907E-3</v>
      </c>
      <c r="S392" s="5">
        <f>(Cotacoes!S392-Cotacoes!S391)/Cotacoes!S391</f>
        <v>-6.3842135809634029E-3</v>
      </c>
      <c r="T392" s="5">
        <f>(Cotacoes!T392-Cotacoes!T391)/Cotacoes!T391</f>
        <v>-2.6247288503253814E-2</v>
      </c>
      <c r="U392" s="5">
        <f>(Cotacoes!U392-Cotacoes!U391)/Cotacoes!U391</f>
        <v>-1.9888129272840293E-2</v>
      </c>
      <c r="V392" s="5">
        <f>(Cotacoes!V392-Cotacoes!V391)/Cotacoes!V391</f>
        <v>1.4010507880910799E-2</v>
      </c>
      <c r="W392" s="5"/>
    </row>
    <row r="393" spans="1:23" x14ac:dyDescent="0.2">
      <c r="A393" s="4">
        <v>45133</v>
      </c>
      <c r="B393" s="5">
        <f>(Cotacoes!B393-Cotacoes!B392)/Cotacoes!B392</f>
        <v>-1.7733990147783225E-2</v>
      </c>
      <c r="C393" s="5">
        <f>(Cotacoes!C393-Cotacoes!C392)/Cotacoes!C392</f>
        <v>-3.4036759700475788E-3</v>
      </c>
      <c r="D393" s="5">
        <f>(Cotacoes!D393-Cotacoes!D392)/Cotacoes!D392</f>
        <v>0</v>
      </c>
      <c r="E393" s="5">
        <f>(Cotacoes!E393-Cotacoes!E392)/Cotacoes!E392</f>
        <v>5.3499777084262592E-3</v>
      </c>
      <c r="F393" s="5">
        <f>(Cotacoes!F393-Cotacoes!F392)/Cotacoes!F392</f>
        <v>-4.5540796963947248E-3</v>
      </c>
      <c r="G393" s="5">
        <f>(Cotacoes!G393-Cotacoes!G392)/Cotacoes!G392</f>
        <v>-5.1242633871389001E-4</v>
      </c>
      <c r="H393" s="5">
        <f>(Cotacoes!H393-Cotacoes!H392)/Cotacoes!H392</f>
        <v>8.4241823587711453E-3</v>
      </c>
      <c r="I393" s="5">
        <f>(Cotacoes!I393-Cotacoes!I392)/Cotacoes!I392</f>
        <v>2.0744529695936459E-2</v>
      </c>
      <c r="J393" s="5">
        <f>(Cotacoes!J393-Cotacoes!J392)/Cotacoes!J392</f>
        <v>8.784510577267873E-3</v>
      </c>
      <c r="K393" s="5">
        <f>(Cotacoes!K393-Cotacoes!K392)/Cotacoes!K392</f>
        <v>1.0737294201861029E-2</v>
      </c>
      <c r="L393" s="5">
        <f>(Cotacoes!L393-Cotacoes!L392)/Cotacoes!L392</f>
        <v>-2.1201413427562642E-3</v>
      </c>
      <c r="M393" s="5">
        <f>(Cotacoes!M393-Cotacoes!M392)/Cotacoes!M392</f>
        <v>-3.7593984962406546E-3</v>
      </c>
      <c r="N393" s="5">
        <f>(Cotacoes!N393-Cotacoes!N392)/Cotacoes!N392</f>
        <v>-3.9946737683088365E-3</v>
      </c>
      <c r="O393" s="5">
        <f>(Cotacoes!O393-Cotacoes!O392)/Cotacoes!O392</f>
        <v>1.7847183491355285E-2</v>
      </c>
      <c r="P393" s="5">
        <f>(Cotacoes!P393-Cotacoes!P392)/Cotacoes!P392</f>
        <v>-1.0989010989010755E-3</v>
      </c>
      <c r="Q393" s="5">
        <f>(Cotacoes!Q393-Cotacoes!Q392)/Cotacoes!Q392</f>
        <v>2.7340129749768464E-2</v>
      </c>
      <c r="R393" s="5">
        <f>(Cotacoes!R393-Cotacoes!R392)/Cotacoes!R392</f>
        <v>7.8839482812992738E-3</v>
      </c>
      <c r="S393" s="5">
        <f>(Cotacoes!S393-Cotacoes!S392)/Cotacoes!S392</f>
        <v>-1.7523364485981972E-3</v>
      </c>
      <c r="T393" s="5">
        <f>(Cotacoes!T393-Cotacoes!T392)/Cotacoes!T392</f>
        <v>1.4034306081532692E-2</v>
      </c>
      <c r="U393" s="5">
        <f>(Cotacoes!U393-Cotacoes!U392)/Cotacoes!U392</f>
        <v>-1.5852885225111197E-3</v>
      </c>
      <c r="V393" s="5">
        <f>(Cotacoes!V393-Cotacoes!V392)/Cotacoes!V392</f>
        <v>1.5544041450777177E-2</v>
      </c>
      <c r="W393" s="5"/>
    </row>
    <row r="394" spans="1:23" x14ac:dyDescent="0.2">
      <c r="A394" s="4">
        <v>45134</v>
      </c>
      <c r="B394" s="5">
        <f>(Cotacoes!B394-Cotacoes!B393)/Cotacoes!B393</f>
        <v>-3.0090270812438451E-4</v>
      </c>
      <c r="C394" s="5">
        <f>(Cotacoes!C394-Cotacoes!C393)/Cotacoes!C393</f>
        <v>-1.8784153005464505E-2</v>
      </c>
      <c r="D394" s="5">
        <f>(Cotacoes!D394-Cotacoes!D393)/Cotacoes!D393</f>
        <v>-5.1858254105445083E-2</v>
      </c>
      <c r="E394" s="5">
        <f>(Cotacoes!E394-Cotacoes!E393)/Cotacoes!E393</f>
        <v>-2.2172949002217293E-2</v>
      </c>
      <c r="F394" s="5">
        <f>(Cotacoes!F394-Cotacoes!F393)/Cotacoes!F393</f>
        <v>-5.6042699199389964E-2</v>
      </c>
      <c r="G394" s="5">
        <f>(Cotacoes!G394-Cotacoes!G393)/Cotacoes!G393</f>
        <v>-3.3324788515764025E-3</v>
      </c>
      <c r="H394" s="5">
        <f>(Cotacoes!H394-Cotacoes!H393)/Cotacoes!H393</f>
        <v>-2.0638820638820721E-2</v>
      </c>
      <c r="I394" s="5">
        <f>(Cotacoes!I394-Cotacoes!I393)/Cotacoes!I393</f>
        <v>-3.4242761692650441E-2</v>
      </c>
      <c r="J394" s="5">
        <f>(Cotacoes!J394-Cotacoes!J393)/Cotacoes!J393</f>
        <v>3.7320063977251418E-3</v>
      </c>
      <c r="K394" s="5">
        <f>(Cotacoes!K394-Cotacoes!K393)/Cotacoes!K393</f>
        <v>-2.3371104815864029E-2</v>
      </c>
      <c r="L394" s="5">
        <f>(Cotacoes!L394-Cotacoes!L393)/Cotacoes!L393</f>
        <v>-2.4079320113314439E-2</v>
      </c>
      <c r="M394" s="5">
        <f>(Cotacoes!M394-Cotacoes!M393)/Cotacoes!M393</f>
        <v>-1.8113207547169826E-2</v>
      </c>
      <c r="N394" s="5">
        <f>(Cotacoes!N394-Cotacoes!N393)/Cotacoes!N393</f>
        <v>-1.3368983957219322E-2</v>
      </c>
      <c r="O394" s="5">
        <f>(Cotacoes!O394-Cotacoes!O393)/Cotacoes!O393</f>
        <v>-8.7671232876712409E-3</v>
      </c>
      <c r="P394" s="5">
        <f>(Cotacoes!P394-Cotacoes!P393)/Cotacoes!P393</f>
        <v>-3.8503850385038659E-3</v>
      </c>
      <c r="Q394" s="5">
        <f>(Cotacoes!Q394-Cotacoes!Q393)/Cotacoes!Q393</f>
        <v>1.578709968425791E-2</v>
      </c>
      <c r="R394" s="5">
        <f>(Cotacoes!R394-Cotacoes!R393)/Cotacoes!R393</f>
        <v>-8.1351689612015506E-3</v>
      </c>
      <c r="S394" s="5">
        <f>(Cotacoes!S394-Cotacoes!S393)/Cotacoes!S393</f>
        <v>-1.9016968987712071E-2</v>
      </c>
      <c r="T394" s="5">
        <f>(Cotacoes!T394-Cotacoes!T393)/Cotacoes!T393</f>
        <v>-1.0984182776801405E-2</v>
      </c>
      <c r="U394" s="5">
        <f>(Cotacoes!U394-Cotacoes!U393)/Cotacoes!U393</f>
        <v>-2.7945379485550939E-2</v>
      </c>
      <c r="V394" s="5">
        <f>(Cotacoes!V394-Cotacoes!V393)/Cotacoes!V393</f>
        <v>-9.6371882086168769E-3</v>
      </c>
      <c r="W394" s="5"/>
    </row>
    <row r="395" spans="1:23" x14ac:dyDescent="0.2">
      <c r="A395" s="4">
        <v>45135</v>
      </c>
      <c r="B395" s="5">
        <f>(Cotacoes!B395-Cotacoes!B394)/Cotacoes!B394</f>
        <v>1.4748670613022964E-2</v>
      </c>
      <c r="C395" s="5">
        <f>(Cotacoes!C395-Cotacoes!C394)/Cotacoes!C394</f>
        <v>-3.9505743125652679E-2</v>
      </c>
      <c r="D395" s="5">
        <f>(Cotacoes!D395-Cotacoes!D394)/Cotacoes!D394</f>
        <v>1.2762078395624319E-2</v>
      </c>
      <c r="E395" s="5">
        <f>(Cotacoes!E395-Cotacoes!E394)/Cotacoes!E394</f>
        <v>1.4965986394557745E-2</v>
      </c>
      <c r="F395" s="5">
        <f>(Cotacoes!F395-Cotacoes!F394)/Cotacoes!F394</f>
        <v>1.6962843295638051E-2</v>
      </c>
      <c r="G395" s="5">
        <f>(Cotacoes!G395-Cotacoes!G394)/Cotacoes!G394</f>
        <v>-5.1440329218115034E-4</v>
      </c>
      <c r="H395" s="5">
        <f>(Cotacoes!H395-Cotacoes!H394)/Cotacoes!H394</f>
        <v>1.1540391369794302E-2</v>
      </c>
      <c r="I395" s="5">
        <f>(Cotacoes!I395-Cotacoes!I394)/Cotacoes!I394</f>
        <v>-5.1888152205246387E-3</v>
      </c>
      <c r="J395" s="5">
        <f>(Cotacoes!J395-Cotacoes!J394)/Cotacoes!J394</f>
        <v>3.7181303116147462E-3</v>
      </c>
      <c r="K395" s="5">
        <f>(Cotacoes!K395-Cotacoes!K394)/Cotacoes!K394</f>
        <v>1.1602610587382172E-2</v>
      </c>
      <c r="L395" s="5">
        <f>(Cotacoes!L395-Cotacoes!L394)/Cotacoes!L394</f>
        <v>8.7082728592163278E-3</v>
      </c>
      <c r="M395" s="5">
        <f>(Cotacoes!M395-Cotacoes!M394)/Cotacoes!M394</f>
        <v>1.7678708685626474E-2</v>
      </c>
      <c r="N395" s="5">
        <f>(Cotacoes!N395-Cotacoes!N394)/Cotacoes!N394</f>
        <v>1.3550135501355086E-2</v>
      </c>
      <c r="O395" s="5">
        <f>(Cotacoes!O395-Cotacoes!O394)/Cotacoes!O394</f>
        <v>2.2111663902708599E-2</v>
      </c>
      <c r="P395" s="5">
        <f>(Cotacoes!P395-Cotacoes!P394)/Cotacoes!P394</f>
        <v>1.3252346769740585E-2</v>
      </c>
      <c r="Q395" s="5">
        <f>(Cotacoes!Q395-Cotacoes!Q394)/Cotacoes!Q394</f>
        <v>2.2202486678503576E-4</v>
      </c>
      <c r="R395" s="5">
        <f>(Cotacoes!R395-Cotacoes!R394)/Cotacoes!R394</f>
        <v>8.5173501577286929E-3</v>
      </c>
      <c r="S395" s="5">
        <f>(Cotacoes!S395-Cotacoes!S394)/Cotacoes!S394</f>
        <v>1.0736653742916774E-2</v>
      </c>
      <c r="T395" s="5">
        <f>(Cotacoes!T395-Cotacoes!T394)/Cotacoes!T394</f>
        <v>1.5548645046645998E-3</v>
      </c>
      <c r="U395" s="5">
        <f>(Cotacoes!U395-Cotacoes!U394)/Cotacoes!U394</f>
        <v>8.8206468474354652E-3</v>
      </c>
      <c r="V395" s="5">
        <f>(Cotacoes!V395-Cotacoes!V394)/Cotacoes!V394</f>
        <v>-6.296508299942727E-3</v>
      </c>
      <c r="W395" s="5"/>
    </row>
    <row r="396" spans="1:23" x14ac:dyDescent="0.2">
      <c r="A396" s="4">
        <v>45138</v>
      </c>
      <c r="B396" s="5">
        <f>(Cotacoes!B396-Cotacoes!B395)/Cotacoes!B395</f>
        <v>-7.1188451651176474E-3</v>
      </c>
      <c r="C396" s="5">
        <f>(Cotacoes!C396-Cotacoes!C395)/Cotacoes!C395</f>
        <v>2.2649030621489402E-2</v>
      </c>
      <c r="D396" s="5">
        <f>(Cotacoes!D396-Cotacoes!D395)/Cotacoes!D395</f>
        <v>4.5454545454545525E-2</v>
      </c>
      <c r="E396" s="5">
        <f>(Cotacoes!E396-Cotacoes!E395)/Cotacoes!E395</f>
        <v>3.5746201966041936E-3</v>
      </c>
      <c r="F396" s="5">
        <f>(Cotacoes!F396-Cotacoes!F395)/Cotacoes!F395</f>
        <v>5.2422557585385235E-2</v>
      </c>
      <c r="G396" s="5">
        <f>(Cotacoes!G396-Cotacoes!G395)/Cotacoes!G395</f>
        <v>-1.0036026762738048E-2</v>
      </c>
      <c r="H396" s="5">
        <f>(Cotacoes!H396-Cotacoes!H395)/Cotacoes!H395</f>
        <v>1.9345238095238124E-2</v>
      </c>
      <c r="I396" s="5">
        <f>(Cotacoes!I396-Cotacoes!I395)/Cotacoes!I395</f>
        <v>1.6516951608229507E-2</v>
      </c>
      <c r="J396" s="5">
        <f>(Cotacoes!J396-Cotacoes!J395)/Cotacoes!J395</f>
        <v>2.4872111483506858E-2</v>
      </c>
      <c r="K396" s="5">
        <f>(Cotacoes!K396-Cotacoes!K395)/Cotacoes!K395</f>
        <v>8.6021505376344797E-3</v>
      </c>
      <c r="L396" s="5">
        <f>(Cotacoes!L396-Cotacoes!L395)/Cotacoes!L395</f>
        <v>1.2230215827338124E-2</v>
      </c>
      <c r="M396" s="5">
        <f>(Cotacoes!M396-Cotacoes!M395)/Cotacoes!M395</f>
        <v>-6.7975830815709863E-3</v>
      </c>
      <c r="N396" s="5">
        <f>(Cotacoes!N396-Cotacoes!N395)/Cotacoes!N395</f>
        <v>1.3368983957218966E-3</v>
      </c>
      <c r="O396" s="5">
        <f>(Cotacoes!O396-Cotacoes!O395)/Cotacoes!O395</f>
        <v>1.5684153596538818E-2</v>
      </c>
      <c r="P396" s="5">
        <f>(Cotacoes!P396-Cotacoes!P395)/Cotacoes!P395</f>
        <v>7.6294277929153682E-3</v>
      </c>
      <c r="Q396" s="5">
        <f>(Cotacoes!Q396-Cotacoes!Q395)/Cotacoes!Q395</f>
        <v>1.8201997780244179E-2</v>
      </c>
      <c r="R396" s="5">
        <f>(Cotacoes!R396-Cotacoes!R395)/Cotacoes!R395</f>
        <v>5.0046918986551047E-3</v>
      </c>
      <c r="S396" s="5">
        <f>(Cotacoes!S396-Cotacoes!S395)/Cotacoes!S395</f>
        <v>-1.0327530244910045E-2</v>
      </c>
      <c r="T396" s="5">
        <f>(Cotacoes!T396-Cotacoes!T395)/Cotacoes!T395</f>
        <v>1.0201818585051979E-2</v>
      </c>
      <c r="U396" s="5">
        <f>(Cotacoes!U396-Cotacoes!U395)/Cotacoes!U395</f>
        <v>7.2862694300518593E-3</v>
      </c>
      <c r="V396" s="5">
        <f>(Cotacoes!V396-Cotacoes!V395)/Cotacoes!V395</f>
        <v>-1.0944700460829362E-2</v>
      </c>
      <c r="W396" s="5"/>
    </row>
    <row r="397" spans="1:23" x14ac:dyDescent="0.2">
      <c r="A397" s="4">
        <v>45139</v>
      </c>
      <c r="B397" s="5">
        <f>(Cotacoes!B397-Cotacoes!B396)/Cotacoes!B396</f>
        <v>-6.9707229635538129E-4</v>
      </c>
      <c r="C397" s="5">
        <f>(Cotacoes!C397-Cotacoes!C396)/Cotacoes!C396</f>
        <v>-1.3997165131112672E-2</v>
      </c>
      <c r="D397" s="5">
        <f>(Cotacoes!D397-Cotacoes!D396)/Cotacoes!D396</f>
        <v>-1.6358157554885882E-2</v>
      </c>
      <c r="E397" s="5">
        <f>(Cotacoes!E397-Cotacoes!E396)/Cotacoes!E396</f>
        <v>3.1166518254675101E-3</v>
      </c>
      <c r="F397" s="5">
        <f>(Cotacoes!F397-Cotacoes!F396)/Cotacoes!F396</f>
        <v>-2.0754716981132102E-2</v>
      </c>
      <c r="G397" s="5">
        <f>(Cotacoes!G397-Cotacoes!G396)/Cotacoes!G396</f>
        <v>-1.5596568754874518E-3</v>
      </c>
      <c r="H397" s="5">
        <f>(Cotacoes!H397-Cotacoes!H396)/Cotacoes!H396</f>
        <v>-1.7518248175182452E-2</v>
      </c>
      <c r="I397" s="5">
        <f>(Cotacoes!I397-Cotacoes!I396)/Cotacoes!I396</f>
        <v>-1.1402508551881374E-2</v>
      </c>
      <c r="J397" s="5">
        <f>(Cotacoes!J397-Cotacoes!J396)/Cotacoes!J396</f>
        <v>-4.1308089500860561E-2</v>
      </c>
      <c r="K397" s="5">
        <f>(Cotacoes!K397-Cotacoes!K396)/Cotacoes!K396</f>
        <v>-2.1321961620469889E-3</v>
      </c>
      <c r="L397" s="5">
        <f>(Cotacoes!L397-Cotacoes!L396)/Cotacoes!L396</f>
        <v>-1.0660980810234567E-2</v>
      </c>
      <c r="M397" s="5">
        <f>(Cotacoes!M397-Cotacoes!M396)/Cotacoes!M396</f>
        <v>7.6045627376425586E-3</v>
      </c>
      <c r="N397" s="5">
        <f>(Cotacoes!N397-Cotacoes!N396)/Cotacoes!N396</f>
        <v>-2.6702269692924514E-3</v>
      </c>
      <c r="O397" s="5">
        <f>(Cotacoes!O397-Cotacoes!O396)/Cotacoes!O396</f>
        <v>1.2779552715654868E-2</v>
      </c>
      <c r="P397" s="5">
        <f>(Cotacoes!P397-Cotacoes!P396)/Cotacoes!P396</f>
        <v>1.2979989183342457E-2</v>
      </c>
      <c r="Q397" s="5">
        <f>(Cotacoes!Q397-Cotacoes!Q396)/Cotacoes!Q396</f>
        <v>6.5402223675605905E-3</v>
      </c>
      <c r="R397" s="5">
        <f>(Cotacoes!R397-Cotacoes!R396)/Cotacoes!R396</f>
        <v>-5.9134765017118352E-3</v>
      </c>
      <c r="S397" s="5">
        <f>(Cotacoes!S397-Cotacoes!S396)/Cotacoes!S396</f>
        <v>-1.4609421586165832E-2</v>
      </c>
      <c r="T397" s="5">
        <f>(Cotacoes!T397-Cotacoes!T396)/Cotacoes!T396</f>
        <v>3.9517014270032871E-3</v>
      </c>
      <c r="U397" s="5">
        <f>(Cotacoes!U397-Cotacoes!U396)/Cotacoes!U396</f>
        <v>4.1793923806461662E-3</v>
      </c>
      <c r="V397" s="5">
        <f>(Cotacoes!V397-Cotacoes!V396)/Cotacoes!V396</f>
        <v>-1.3686662783925625E-2</v>
      </c>
      <c r="W397" s="5"/>
    </row>
    <row r="398" spans="1:23" x14ac:dyDescent="0.2">
      <c r="A398" s="4">
        <v>45140</v>
      </c>
      <c r="B398" s="5">
        <f>(Cotacoes!B398-Cotacoes!B397)/Cotacoes!B397</f>
        <v>6.975585450922511E-4</v>
      </c>
      <c r="C398" s="5">
        <f>(Cotacoes!C398-Cotacoes!C397)/Cotacoes!C397</f>
        <v>-1.6172506738544451E-2</v>
      </c>
      <c r="D398" s="5">
        <f>(Cotacoes!D398-Cotacoes!D397)/Cotacoes!D397</f>
        <v>-2.6258205689278892E-3</v>
      </c>
      <c r="E398" s="5">
        <f>(Cotacoes!E398-Cotacoes!E397)/Cotacoes!E397</f>
        <v>-3.1069684864625069E-3</v>
      </c>
      <c r="F398" s="5">
        <f>(Cotacoes!F398-Cotacoes!F397)/Cotacoes!F397</f>
        <v>-7.3217726396916276E-3</v>
      </c>
      <c r="G398" s="5">
        <f>(Cotacoes!G398-Cotacoes!G397)/Cotacoes!G397</f>
        <v>4.4259307472012946E-3</v>
      </c>
      <c r="H398" s="5">
        <f>(Cotacoes!H398-Cotacoes!H397)/Cotacoes!H397</f>
        <v>4.4576523031203494E-3</v>
      </c>
      <c r="I398" s="5">
        <f>(Cotacoes!I398-Cotacoes!I397)/Cotacoes!I397</f>
        <v>5.4786620530564512E-3</v>
      </c>
      <c r="J398" s="5">
        <f>(Cotacoes!J398-Cotacoes!J397)/Cotacoes!J397</f>
        <v>-7.5403949730700479E-3</v>
      </c>
      <c r="K398" s="5">
        <f>(Cotacoes!K398-Cotacoes!K397)/Cotacoes!K397</f>
        <v>4.2735042735043095E-3</v>
      </c>
      <c r="L398" s="5">
        <f>(Cotacoes!L398-Cotacoes!L397)/Cotacoes!L397</f>
        <v>2.1551724137930574E-3</v>
      </c>
      <c r="M398" s="5">
        <f>(Cotacoes!M398-Cotacoes!M397)/Cotacoes!M397</f>
        <v>5.2830188679245495E-3</v>
      </c>
      <c r="N398" s="5">
        <f>(Cotacoes!N398-Cotacoes!N397)/Cotacoes!N397</f>
        <v>5.3547523427041549E-3</v>
      </c>
      <c r="O398" s="5">
        <f>(Cotacoes!O398-Cotacoes!O397)/Cotacoes!O397</f>
        <v>2.5236593059936932E-2</v>
      </c>
      <c r="P398" s="5">
        <f>(Cotacoes!P398-Cotacoes!P397)/Cotacoes!P397</f>
        <v>-4.2712226374800773E-3</v>
      </c>
      <c r="Q398" s="5">
        <f>(Cotacoes!Q398-Cotacoes!Q397)/Cotacoes!Q397</f>
        <v>-1.0179770413688517E-2</v>
      </c>
      <c r="R398" s="5">
        <f>(Cotacoes!R398-Cotacoes!R397)/Cotacoes!R397</f>
        <v>-1.7532874139010717E-2</v>
      </c>
      <c r="S398" s="5">
        <f>(Cotacoes!S398-Cotacoes!S397)/Cotacoes!S397</f>
        <v>4.8411497730712167E-3</v>
      </c>
      <c r="T398" s="5">
        <f>(Cotacoes!T398-Cotacoes!T397)/Cotacoes!T397</f>
        <v>-1.2027115678985288E-2</v>
      </c>
      <c r="U398" s="5">
        <f>(Cotacoes!U398-Cotacoes!U397)/Cotacoes!U397</f>
        <v>2.2410757163438544E-3</v>
      </c>
      <c r="V398" s="5">
        <f>(Cotacoes!V398-Cotacoes!V397)/Cotacoes!V397</f>
        <v>-1.1514614703277254E-2</v>
      </c>
      <c r="W398" s="5"/>
    </row>
    <row r="399" spans="1:23" x14ac:dyDescent="0.2">
      <c r="A399" s="4">
        <v>45141</v>
      </c>
      <c r="B399" s="5">
        <f>(Cotacoes!B399-Cotacoes!B398)/Cotacoes!B398</f>
        <v>-1.1949810794662445E-2</v>
      </c>
      <c r="C399" s="5">
        <f>(Cotacoes!C399-Cotacoes!C398)/Cotacoes!C398</f>
        <v>6.2100456621005185E-3</v>
      </c>
      <c r="D399" s="5">
        <f>(Cotacoes!D399-Cotacoes!D398)/Cotacoes!D398</f>
        <v>1.272487933304077E-2</v>
      </c>
      <c r="E399" s="5">
        <f>(Cotacoes!E399-Cotacoes!E398)/Cotacoes!E398</f>
        <v>-8.0142475512021243E-3</v>
      </c>
      <c r="F399" s="5">
        <f>(Cotacoes!F399-Cotacoes!F398)/Cotacoes!F398</f>
        <v>1.4363354037266981E-2</v>
      </c>
      <c r="G399" s="5">
        <f>(Cotacoes!G399-Cotacoes!G398)/Cotacoes!G398</f>
        <v>9.8496630378435094E-3</v>
      </c>
      <c r="H399" s="5">
        <f>(Cotacoes!H399-Cotacoes!H398)/Cotacoes!H398</f>
        <v>1.9723865877711612E-3</v>
      </c>
      <c r="I399" s="5">
        <f>(Cotacoes!I399-Cotacoes!I398)/Cotacoes!I398</f>
        <v>-5.1333524519644375E-2</v>
      </c>
      <c r="J399" s="5">
        <f>(Cotacoes!J399-Cotacoes!J398)/Cotacoes!J398</f>
        <v>-3.0390738060781471E-2</v>
      </c>
      <c r="K399" s="5">
        <f>(Cotacoes!K399-Cotacoes!K398)/Cotacoes!K398</f>
        <v>-7.8014184397162721E-3</v>
      </c>
      <c r="L399" s="5">
        <f>(Cotacoes!L399-Cotacoes!L398)/Cotacoes!L398</f>
        <v>6.4516129032257969E-3</v>
      </c>
      <c r="M399" s="5">
        <f>(Cotacoes!M399-Cotacoes!M398)/Cotacoes!M398</f>
        <v>-2.8528528528528586E-2</v>
      </c>
      <c r="N399" s="5">
        <f>(Cotacoes!N399-Cotacoes!N398)/Cotacoes!N398</f>
        <v>-1.3315579227696122E-3</v>
      </c>
      <c r="O399" s="5">
        <f>(Cotacoes!O399-Cotacoes!O398)/Cotacoes!O398</f>
        <v>8.2051282051282121E-3</v>
      </c>
      <c r="P399" s="5">
        <f>(Cotacoes!P399-Cotacoes!P398)/Cotacoes!P398</f>
        <v>-1.3404825737265416E-2</v>
      </c>
      <c r="Q399" s="5">
        <f>(Cotacoes!Q399-Cotacoes!Q398)/Cotacoes!Q398</f>
        <v>3.6542669584244958E-2</v>
      </c>
      <c r="R399" s="5">
        <f>(Cotacoes!R399-Cotacoes!R398)/Cotacoes!R398</f>
        <v>5.4174633524538465E-3</v>
      </c>
      <c r="S399" s="5">
        <f>(Cotacoes!S399-Cotacoes!S398)/Cotacoes!S398</f>
        <v>-1.4152363745859646E-2</v>
      </c>
      <c r="T399" s="5">
        <f>(Cotacoes!T399-Cotacoes!T398)/Cotacoes!T398</f>
        <v>4.2054006197432464E-2</v>
      </c>
      <c r="U399" s="5">
        <f>(Cotacoes!U399-Cotacoes!U398)/Cotacoes!U398</f>
        <v>-1.3735824948091351E-2</v>
      </c>
      <c r="V399" s="5">
        <f>(Cotacoes!V399-Cotacoes!V398)/Cotacoes!V398</f>
        <v>-1.583034647550759E-2</v>
      </c>
      <c r="W399" s="5"/>
    </row>
    <row r="400" spans="1:23" x14ac:dyDescent="0.2">
      <c r="A400" s="4">
        <v>45142</v>
      </c>
      <c r="B400" s="5">
        <f>(Cotacoes!B400-Cotacoes!B399)/Cotacoes!B399</f>
        <v>-5.0393065914127355E-4</v>
      </c>
      <c r="C400" s="5">
        <f>(Cotacoes!C400-Cotacoes!C399)/Cotacoes!C399</f>
        <v>7.2608458885458607E-4</v>
      </c>
      <c r="D400" s="5">
        <f>(Cotacoes!D400-Cotacoes!D399)/Cotacoes!D399</f>
        <v>-2.9462738301559783E-2</v>
      </c>
      <c r="E400" s="5">
        <f>(Cotacoes!E400-Cotacoes!E399)/Cotacoes!E399</f>
        <v>-1.8402154398563738E-2</v>
      </c>
      <c r="F400" s="5">
        <f>(Cotacoes!F400-Cotacoes!F399)/Cotacoes!F399</f>
        <v>-4.2097206276310674E-2</v>
      </c>
      <c r="G400" s="5">
        <f>(Cotacoes!G400-Cotacoes!G399)/Cotacoes!G399</f>
        <v>1.0523613963038926E-2</v>
      </c>
      <c r="H400" s="5">
        <f>(Cotacoes!H400-Cotacoes!H399)/Cotacoes!H399</f>
        <v>-5.4133858267716257E-3</v>
      </c>
      <c r="I400" s="5">
        <f>(Cotacoes!I400-Cotacoes!I399)/Cotacoes!I399</f>
        <v>-9.0689238210402471E-4</v>
      </c>
      <c r="J400" s="5">
        <f>(Cotacoes!J400-Cotacoes!J399)/Cotacoes!J399</f>
        <v>-6.343283582089616E-3</v>
      </c>
      <c r="K400" s="5">
        <f>(Cotacoes!K400-Cotacoes!K399)/Cotacoes!K399</f>
        <v>-6.6476054324517489E-2</v>
      </c>
      <c r="L400" s="5">
        <f>(Cotacoes!L400-Cotacoes!L399)/Cotacoes!L399</f>
        <v>-1.0683760683760583E-2</v>
      </c>
      <c r="M400" s="5">
        <f>(Cotacoes!M400-Cotacoes!M399)/Cotacoes!M399</f>
        <v>6.1823802163833135E-3</v>
      </c>
      <c r="N400" s="5">
        <f>(Cotacoes!N400-Cotacoes!N399)/Cotacoes!N399</f>
        <v>-7.9999999999999481E-3</v>
      </c>
      <c r="O400" s="5">
        <f>(Cotacoes!O400-Cotacoes!O399)/Cotacoes!O399</f>
        <v>1.1190233977619474E-2</v>
      </c>
      <c r="P400" s="5">
        <f>(Cotacoes!P400-Cotacoes!P399)/Cotacoes!P399</f>
        <v>-4.9999999999999906E-2</v>
      </c>
      <c r="Q400" s="5">
        <f>(Cotacoes!Q400-Cotacoes!Q399)/Cotacoes!Q399</f>
        <v>1.266624445851808E-2</v>
      </c>
      <c r="R400" s="5">
        <f>(Cotacoes!R400-Cotacoes!R399)/Cotacoes!R399</f>
        <v>-1.3312202852614951E-2</v>
      </c>
      <c r="S400" s="5">
        <f>(Cotacoes!S400-Cotacoes!S399)/Cotacoes!S399</f>
        <v>-3.6652412950520627E-3</v>
      </c>
      <c r="T400" s="5">
        <f>(Cotacoes!T400-Cotacoes!T399)/Cotacoes!T399</f>
        <v>8.7085811384877594E-3</v>
      </c>
      <c r="U400" s="5">
        <f>(Cotacoes!U400-Cotacoes!U399)/Cotacoes!U399</f>
        <v>4.3724696356275813E-3</v>
      </c>
      <c r="V400" s="5">
        <f>(Cotacoes!V400-Cotacoes!V399)/Cotacoes!V399</f>
        <v>1.0015174506828475E-2</v>
      </c>
      <c r="W400" s="5"/>
    </row>
    <row r="401" spans="1:23" x14ac:dyDescent="0.2">
      <c r="A401" s="4">
        <v>45145</v>
      </c>
      <c r="B401" s="5">
        <f>(Cotacoes!B401-Cotacoes!B400)/Cotacoes!B400</f>
        <v>-1.8150650398306627E-3</v>
      </c>
      <c r="C401" s="5">
        <f>(Cotacoes!C401-Cotacoes!C400)/Cotacoes!C400</f>
        <v>5.0789044077633599E-3</v>
      </c>
      <c r="D401" s="5">
        <f>(Cotacoes!D401-Cotacoes!D400)/Cotacoes!D400</f>
        <v>6.2500000000000255E-3</v>
      </c>
      <c r="E401" s="5">
        <f>(Cotacoes!E401-Cotacoes!E400)/Cotacoes!E400</f>
        <v>-7.7732053040695795E-3</v>
      </c>
      <c r="F401" s="5">
        <f>(Cotacoes!F401-Cotacoes!F400)/Cotacoes!F400</f>
        <v>6.7918497802636098E-3</v>
      </c>
      <c r="G401" s="5">
        <f>(Cotacoes!G401-Cotacoes!G400)/Cotacoes!G400</f>
        <v>1.7780035560071193E-3</v>
      </c>
      <c r="H401" s="5">
        <f>(Cotacoes!H401-Cotacoes!H400)/Cotacoes!H400</f>
        <v>-1.4844136566056969E-3</v>
      </c>
      <c r="I401" s="5">
        <f>(Cotacoes!I401-Cotacoes!I400)/Cotacoes!I400</f>
        <v>-4.2360060514372343E-3</v>
      </c>
      <c r="J401" s="5">
        <f>(Cotacoes!J401-Cotacoes!J400)/Cotacoes!J400</f>
        <v>-1.5020653398422513E-3</v>
      </c>
      <c r="K401" s="5">
        <f>(Cotacoes!K401-Cotacoes!K400)/Cotacoes!K400</f>
        <v>-6.8912710566615505E-3</v>
      </c>
      <c r="L401" s="5">
        <f>(Cotacoes!L401-Cotacoes!L400)/Cotacoes!L400</f>
        <v>-5.7595392368610561E-3</v>
      </c>
      <c r="M401" s="5">
        <f>(Cotacoes!M401-Cotacoes!M400)/Cotacoes!M400</f>
        <v>-2.304147465437739E-3</v>
      </c>
      <c r="N401" s="5">
        <f>(Cotacoes!N401-Cotacoes!N400)/Cotacoes!N400</f>
        <v>0</v>
      </c>
      <c r="O401" s="5">
        <f>(Cotacoes!O401-Cotacoes!O400)/Cotacoes!O400</f>
        <v>-2.1629778672032179E-2</v>
      </c>
      <c r="P401" s="5">
        <f>(Cotacoes!P401-Cotacoes!P400)/Cotacoes!P400</f>
        <v>2.1739130434782553E-2</v>
      </c>
      <c r="Q401" s="5">
        <f>(Cotacoes!Q401-Cotacoes!Q400)/Cotacoes!Q400</f>
        <v>5.0031269543465082E-3</v>
      </c>
      <c r="R401" s="5">
        <f>(Cotacoes!R401-Cotacoes!R400)/Cotacoes!R400</f>
        <v>1.2528107934468378E-2</v>
      </c>
      <c r="S401" s="5">
        <f>(Cotacoes!S401-Cotacoes!S400)/Cotacoes!S400</f>
        <v>-1.8393623543836656E-3</v>
      </c>
      <c r="T401" s="5">
        <f>(Cotacoes!T401-Cotacoes!T400)/Cotacoes!T400</f>
        <v>5.0536955148451227E-3</v>
      </c>
      <c r="U401" s="5">
        <f>(Cotacoes!U401-Cotacoes!U400)/Cotacoes!U400</f>
        <v>-9.3518219929056012E-3</v>
      </c>
      <c r="V401" s="5">
        <f>(Cotacoes!V401-Cotacoes!V400)/Cotacoes!V400</f>
        <v>-7.5120192307692301E-3</v>
      </c>
      <c r="W401" s="5"/>
    </row>
    <row r="402" spans="1:23" x14ac:dyDescent="0.2">
      <c r="A402" s="4">
        <v>45146</v>
      </c>
      <c r="B402" s="5">
        <f>(Cotacoes!B402-Cotacoes!B401)/Cotacoes!B401</f>
        <v>-6.263258915041826E-3</v>
      </c>
      <c r="C402" s="5">
        <f>(Cotacoes!C402-Cotacoes!C401)/Cotacoes!C401</f>
        <v>-6.4970221981591669E-3</v>
      </c>
      <c r="D402" s="5">
        <f>(Cotacoes!D402-Cotacoes!D401)/Cotacoes!D401</f>
        <v>8.8731144631763867E-4</v>
      </c>
      <c r="E402" s="5">
        <f>(Cotacoes!E402-Cotacoes!E401)/Cotacoes!E401</f>
        <v>-2.304147465437821E-3</v>
      </c>
      <c r="F402" s="5">
        <f>(Cotacoes!F402-Cotacoes!F401)/Cotacoes!F401</f>
        <v>-7.9365079365077674E-4</v>
      </c>
      <c r="G402" s="5">
        <f>(Cotacoes!G402-Cotacoes!G401)/Cotacoes!G401</f>
        <v>-6.5922920892494425E-3</v>
      </c>
      <c r="H402" s="5">
        <f>(Cotacoes!H402-Cotacoes!H401)/Cotacoes!H401</f>
        <v>-6.9375619425173724E-3</v>
      </c>
      <c r="I402" s="5">
        <f>(Cotacoes!I402-Cotacoes!I401)/Cotacoes!I401</f>
        <v>1.9750835612276078E-2</v>
      </c>
      <c r="J402" s="5">
        <f>(Cotacoes!J402-Cotacoes!J401)/Cotacoes!J401</f>
        <v>1.1094396389620223E-2</v>
      </c>
      <c r="K402" s="5">
        <f>(Cotacoes!K402-Cotacoes!K401)/Cotacoes!K401</f>
        <v>4.6260601387817053E-3</v>
      </c>
      <c r="L402" s="5">
        <f>(Cotacoes!L402-Cotacoes!L401)/Cotacoes!L401</f>
        <v>-9.4134685010862258E-3</v>
      </c>
      <c r="M402" s="5">
        <f>(Cotacoes!M402-Cotacoes!M401)/Cotacoes!M401</f>
        <v>-1.2317167051578148E-2</v>
      </c>
      <c r="N402" s="5">
        <f>(Cotacoes!N402-Cotacoes!N401)/Cotacoes!N401</f>
        <v>-9.4086021505376729E-3</v>
      </c>
      <c r="O402" s="5">
        <f>(Cotacoes!O402-Cotacoes!O401)/Cotacoes!O401</f>
        <v>1.0282776349614176E-3</v>
      </c>
      <c r="P402" s="5">
        <f>(Cotacoes!P402-Cotacoes!P401)/Cotacoes!P401</f>
        <v>8.398656215005719E-3</v>
      </c>
      <c r="Q402" s="5">
        <f>(Cotacoes!Q402-Cotacoes!Q401)/Cotacoes!Q401</f>
        <v>-1.5349512549263679E-2</v>
      </c>
      <c r="R402" s="5">
        <f>(Cotacoes!R402-Cotacoes!R401)/Cotacoes!R401</f>
        <v>-3.1725888324866784E-4</v>
      </c>
      <c r="S402" s="5">
        <f>(Cotacoes!S402-Cotacoes!S401)/Cotacoes!S401</f>
        <v>-5.5282555282555193E-3</v>
      </c>
      <c r="T402" s="5">
        <f>(Cotacoes!T402-Cotacoes!T401)/Cotacoes!T401</f>
        <v>1.0475591870941603E-3</v>
      </c>
      <c r="U402" s="5">
        <f>(Cotacoes!U402-Cotacoes!U401)/Cotacoes!U401</f>
        <v>-3.2552083333326859E-4</v>
      </c>
      <c r="V402" s="5">
        <f>(Cotacoes!V402-Cotacoes!V401)/Cotacoes!V401</f>
        <v>-1.2412957917045222E-2</v>
      </c>
      <c r="W402" s="5"/>
    </row>
    <row r="403" spans="1:23" x14ac:dyDescent="0.2">
      <c r="A403" s="4">
        <v>45147</v>
      </c>
      <c r="B403" s="5">
        <f>(Cotacoes!B403-Cotacoes!B402)/Cotacoes!B402</f>
        <v>0</v>
      </c>
      <c r="C403" s="5">
        <f>(Cotacoes!C403-Cotacoes!C402)/Cotacoes!C402</f>
        <v>-9.0826521344232521E-3</v>
      </c>
      <c r="D403" s="5">
        <f>(Cotacoes!D403-Cotacoes!D402)/Cotacoes!D402</f>
        <v>7.9787234042553064E-3</v>
      </c>
      <c r="E403" s="5">
        <f>(Cotacoes!E403-Cotacoes!E402)/Cotacoes!E402</f>
        <v>-3.2332563510392744E-3</v>
      </c>
      <c r="F403" s="5">
        <f>(Cotacoes!F403-Cotacoes!F402)/Cotacoes!F402</f>
        <v>1.1517077045273993E-2</v>
      </c>
      <c r="G403" s="5">
        <f>(Cotacoes!G403-Cotacoes!G402)/Cotacoes!G402</f>
        <v>3.0627871362939622E-3</v>
      </c>
      <c r="H403" s="5">
        <f>(Cotacoes!H403-Cotacoes!H402)/Cotacoes!H402</f>
        <v>-5.4890219560877959E-3</v>
      </c>
      <c r="I403" s="5">
        <f>(Cotacoes!I403-Cotacoes!I402)/Cotacoes!I402</f>
        <v>4.1716328963051419E-3</v>
      </c>
      <c r="J403" s="5">
        <f>(Cotacoes!J403-Cotacoes!J402)/Cotacoes!J402</f>
        <v>-8.5549562953319853E-3</v>
      </c>
      <c r="K403" s="5">
        <f>(Cotacoes!K403-Cotacoes!K402)/Cotacoes!K402</f>
        <v>-5.3722179585570613E-3</v>
      </c>
      <c r="L403" s="5">
        <f>(Cotacoes!L403-Cotacoes!L402)/Cotacoes!L402</f>
        <v>-1.3157894736842085E-2</v>
      </c>
      <c r="M403" s="5">
        <f>(Cotacoes!M403-Cotacoes!M402)/Cotacoes!M402</f>
        <v>-8.5736554949337046E-3</v>
      </c>
      <c r="N403" s="5">
        <f>(Cotacoes!N403-Cotacoes!N402)/Cotacoes!N402</f>
        <v>-1.6282225237449131E-2</v>
      </c>
      <c r="O403" s="5">
        <f>(Cotacoes!O403-Cotacoes!O402)/Cotacoes!O402</f>
        <v>-1.0785824345146241E-2</v>
      </c>
      <c r="P403" s="5">
        <f>(Cotacoes!P403-Cotacoes!P402)/Cotacoes!P402</f>
        <v>0</v>
      </c>
      <c r="Q403" s="5">
        <f>(Cotacoes!Q403-Cotacoes!Q402)/Cotacoes!Q402</f>
        <v>-9.0583526437750094E-3</v>
      </c>
      <c r="R403" s="5">
        <f>(Cotacoes!R403-Cotacoes!R402)/Cotacoes!R402</f>
        <v>-2.5388765471279543E-3</v>
      </c>
      <c r="S403" s="5">
        <f>(Cotacoes!S403-Cotacoes!S402)/Cotacoes!S402</f>
        <v>1.2353304508955882E-3</v>
      </c>
      <c r="T403" s="5">
        <f>(Cotacoes!T403-Cotacoes!T402)/Cotacoes!T402</f>
        <v>5.4416073670991629E-3</v>
      </c>
      <c r="U403" s="5">
        <f>(Cotacoes!U403-Cotacoes!U402)/Cotacoes!U402</f>
        <v>-2.2793878215565055E-3</v>
      </c>
      <c r="V403" s="5">
        <f>(Cotacoes!V403-Cotacoes!V402)/Cotacoes!V402</f>
        <v>-7.3574494175350979E-3</v>
      </c>
      <c r="W403" s="5"/>
    </row>
    <row r="404" spans="1:23" x14ac:dyDescent="0.2">
      <c r="A404" s="4">
        <v>45148</v>
      </c>
      <c r="B404" s="5">
        <f>(Cotacoes!B404-Cotacoes!B403)/Cotacoes!B403</f>
        <v>-6.8110196198028026E-3</v>
      </c>
      <c r="C404" s="5">
        <f>(Cotacoes!C404-Cotacoes!C403)/Cotacoes!C403</f>
        <v>-1.1732355637030258E-2</v>
      </c>
      <c r="D404" s="5">
        <f>(Cotacoes!D404-Cotacoes!D403)/Cotacoes!D403</f>
        <v>5.7167985927881514E-3</v>
      </c>
      <c r="E404" s="5">
        <f>(Cotacoes!E404-Cotacoes!E403)/Cotacoes!E403</f>
        <v>3.2437442075996426E-3</v>
      </c>
      <c r="F404" s="5">
        <f>(Cotacoes!F404-Cotacoes!F403)/Cotacoes!F403</f>
        <v>0</v>
      </c>
      <c r="G404" s="5">
        <f>(Cotacoes!G404-Cotacoes!G403)/Cotacoes!G403</f>
        <v>-1.3231552162849772E-2</v>
      </c>
      <c r="H404" s="5">
        <f>(Cotacoes!H404-Cotacoes!H403)/Cotacoes!H403</f>
        <v>5.0175614651280188E-3</v>
      </c>
      <c r="I404" s="5">
        <f>(Cotacoes!I404-Cotacoes!I403)/Cotacoes!I403</f>
        <v>3.5608308605340486E-3</v>
      </c>
      <c r="J404" s="5">
        <f>(Cotacoes!J404-Cotacoes!J403)/Cotacoes!J403</f>
        <v>-2.8137310073158071E-3</v>
      </c>
      <c r="K404" s="5">
        <f>(Cotacoes!K404-Cotacoes!K403)/Cotacoes!K403</f>
        <v>8.4876543209876105E-3</v>
      </c>
      <c r="L404" s="5">
        <f>(Cotacoes!L404-Cotacoes!L403)/Cotacoes!L403</f>
        <v>-2.2222222222221749E-3</v>
      </c>
      <c r="M404" s="5">
        <f>(Cotacoes!M404-Cotacoes!M403)/Cotacoes!M403</f>
        <v>-7.8616352201256185E-4</v>
      </c>
      <c r="N404" s="5">
        <f>(Cotacoes!N404-Cotacoes!N403)/Cotacoes!N403</f>
        <v>1.3793103448275568E-3</v>
      </c>
      <c r="O404" s="5">
        <f>(Cotacoes!O404-Cotacoes!O403)/Cotacoes!O403</f>
        <v>6.2305295950154426E-3</v>
      </c>
      <c r="P404" s="5">
        <f>(Cotacoes!P404-Cotacoes!P403)/Cotacoes!P403</f>
        <v>0</v>
      </c>
      <c r="Q404" s="5">
        <f>(Cotacoes!Q404-Cotacoes!Q403)/Cotacoes!Q403</f>
        <v>1.0629251700681179E-3</v>
      </c>
      <c r="R404" s="5">
        <f>(Cotacoes!R404-Cotacoes!R403)/Cotacoes!R403</f>
        <v>-2.2271714922049088E-3</v>
      </c>
      <c r="S404" s="5">
        <f>(Cotacoes!S404-Cotacoes!S403)/Cotacoes!S403</f>
        <v>-2.7760641579273105E-3</v>
      </c>
      <c r="T404" s="5">
        <f>(Cotacoes!T404-Cotacoes!T403)/Cotacoes!T403</f>
        <v>-1.540383014154875E-2</v>
      </c>
      <c r="U404" s="5">
        <f>(Cotacoes!U404-Cotacoes!U403)/Cotacoes!U403</f>
        <v>5.0587467362924656E-3</v>
      </c>
      <c r="V404" s="5">
        <f>(Cotacoes!V404-Cotacoes!V403)/Cotacoes!V403</f>
        <v>-4.9413218035824623E-2</v>
      </c>
      <c r="W404" s="5"/>
    </row>
    <row r="405" spans="1:23" x14ac:dyDescent="0.2">
      <c r="A405" s="4">
        <v>45149</v>
      </c>
      <c r="B405" s="5">
        <f>(Cotacoes!B405-Cotacoes!B404)/Cotacoes!B404</f>
        <v>-7.1647901740020756E-3</v>
      </c>
      <c r="C405" s="5">
        <f>(Cotacoes!C405-Cotacoes!C404)/Cotacoes!C404</f>
        <v>-8.3472454090149466E-3</v>
      </c>
      <c r="D405" s="5">
        <f>(Cotacoes!D405-Cotacoes!D404)/Cotacoes!D404</f>
        <v>-2.1862702229995938E-3</v>
      </c>
      <c r="E405" s="5">
        <f>(Cotacoes!E405-Cotacoes!E404)/Cotacoes!E404</f>
        <v>1.8475750577368454E-3</v>
      </c>
      <c r="F405" s="5">
        <f>(Cotacoes!F405-Cotacoes!F404)/Cotacoes!F404</f>
        <v>3.9261876717713244E-4</v>
      </c>
      <c r="G405" s="5">
        <f>(Cotacoes!G405-Cotacoes!G404)/Cotacoes!G404</f>
        <v>-1.1088189788550792E-2</v>
      </c>
      <c r="H405" s="5">
        <f>(Cotacoes!H405-Cotacoes!H404)/Cotacoes!H404</f>
        <v>1.0983524712930546E-2</v>
      </c>
      <c r="I405" s="5">
        <f>(Cotacoes!I405-Cotacoes!I404)/Cotacoes!I404</f>
        <v>-1.0940272028385494E-2</v>
      </c>
      <c r="J405" s="5">
        <f>(Cotacoes!J405-Cotacoes!J404)/Cotacoes!J404</f>
        <v>5.6433408577878111E-2</v>
      </c>
      <c r="K405" s="5">
        <f>(Cotacoes!K405-Cotacoes!K404)/Cotacoes!K404</f>
        <v>-5.3557765876052245E-3</v>
      </c>
      <c r="L405" s="5">
        <f>(Cotacoes!L405-Cotacoes!L404)/Cotacoes!L404</f>
        <v>-4.4543429844098367E-3</v>
      </c>
      <c r="M405" s="5">
        <f>(Cotacoes!M405-Cotacoes!M404)/Cotacoes!M404</f>
        <v>0</v>
      </c>
      <c r="N405" s="5">
        <f>(Cotacoes!N405-Cotacoes!N404)/Cotacoes!N404</f>
        <v>8.264462809917425E-3</v>
      </c>
      <c r="O405" s="5">
        <f>(Cotacoes!O405-Cotacoes!O404)/Cotacoes!O404</f>
        <v>-1.5479876160989466E-3</v>
      </c>
      <c r="P405" s="5">
        <f>(Cotacoes!P405-Cotacoes!P404)/Cotacoes!P404</f>
        <v>2.3875624652970554E-2</v>
      </c>
      <c r="Q405" s="5">
        <f>(Cotacoes!Q405-Cotacoes!Q404)/Cotacoes!Q404</f>
        <v>1.6564026332554556E-2</v>
      </c>
      <c r="R405" s="5">
        <f>(Cotacoes!R405-Cotacoes!R404)/Cotacoes!R404</f>
        <v>-1.7219387755102015E-2</v>
      </c>
      <c r="S405" s="5">
        <f>(Cotacoes!S405-Cotacoes!S404)/Cotacoes!S404</f>
        <v>2.1651716671821928E-3</v>
      </c>
      <c r="T405" s="5">
        <f>(Cotacoes!T405-Cotacoes!T404)/Cotacoes!T404</f>
        <v>2.0718816067653363E-2</v>
      </c>
      <c r="U405" s="5">
        <f>(Cotacoes!U405-Cotacoes!U404)/Cotacoes!U404</f>
        <v>8.1182010066564627E-4</v>
      </c>
      <c r="V405" s="5">
        <f>(Cotacoes!V405-Cotacoes!V404)/Cotacoes!V404</f>
        <v>-2.5341130604288536E-2</v>
      </c>
      <c r="W405" s="5"/>
    </row>
    <row r="406" spans="1:23" x14ac:dyDescent="0.2">
      <c r="A406" s="4">
        <v>45152</v>
      </c>
      <c r="B406" s="5">
        <f>(Cotacoes!B406-Cotacoes!B405)/Cotacoes!B405</f>
        <v>-7.216494845360121E-4</v>
      </c>
      <c r="C406" s="5">
        <f>(Cotacoes!C406-Cotacoes!C405)/Cotacoes!C405</f>
        <v>-3.1051253273475566E-2</v>
      </c>
      <c r="D406" s="5">
        <f>(Cotacoes!D406-Cotacoes!D405)/Cotacoes!D405</f>
        <v>2.6292725679228188E-3</v>
      </c>
      <c r="E406" s="5">
        <f>(Cotacoes!E406-Cotacoes!E405)/Cotacoes!E405</f>
        <v>-1.4753342554172441E-2</v>
      </c>
      <c r="F406" s="5">
        <f>(Cotacoes!F406-Cotacoes!F405)/Cotacoes!F405</f>
        <v>4.7095761381476054E-3</v>
      </c>
      <c r="G406" s="5">
        <f>(Cotacoes!G406-Cotacoes!G405)/Cotacoes!G405</f>
        <v>-1.2255541069100361E-2</v>
      </c>
      <c r="H406" s="5">
        <f>(Cotacoes!H406-Cotacoes!H405)/Cotacoes!H405</f>
        <v>-1.0370370370370412E-2</v>
      </c>
      <c r="I406" s="5">
        <f>(Cotacoes!I406-Cotacoes!I405)/Cotacoes!I405</f>
        <v>-1.2257100149476941E-2</v>
      </c>
      <c r="J406" s="5">
        <f>(Cotacoes!J406-Cotacoes!J405)/Cotacoes!J405</f>
        <v>1.7806267806276917E-4</v>
      </c>
      <c r="K406" s="5">
        <f>(Cotacoes!K406-Cotacoes!K405)/Cotacoes!K405</f>
        <v>-5.3846153846154061E-3</v>
      </c>
      <c r="L406" s="5">
        <f>(Cotacoes!L406-Cotacoes!L405)/Cotacoes!L405</f>
        <v>-6.7114093959731438E-3</v>
      </c>
      <c r="M406" s="5">
        <f>(Cotacoes!M406-Cotacoes!M405)/Cotacoes!M405</f>
        <v>-2.3603461841070917E-3</v>
      </c>
      <c r="N406" s="5">
        <f>(Cotacoes!N406-Cotacoes!N405)/Cotacoes!N405</f>
        <v>-4.098360655737739E-3</v>
      </c>
      <c r="O406" s="5">
        <f>(Cotacoes!O406-Cotacoes!O405)/Cotacoes!O405</f>
        <v>1.5503875968990999E-3</v>
      </c>
      <c r="P406" s="5">
        <f>(Cotacoes!P406-Cotacoes!P405)/Cotacoes!P405</f>
        <v>-1.3015184381778849E-2</v>
      </c>
      <c r="Q406" s="5">
        <f>(Cotacoes!Q406-Cotacoes!Q405)/Cotacoes!Q405</f>
        <v>1.5040735324838229E-2</v>
      </c>
      <c r="R406" s="5">
        <f>(Cotacoes!R406-Cotacoes!R405)/Cotacoes!R405</f>
        <v>1.1031797534068782E-2</v>
      </c>
      <c r="S406" s="5">
        <f>(Cotacoes!S406-Cotacoes!S405)/Cotacoes!S405</f>
        <v>-2.7777777777776638E-3</v>
      </c>
      <c r="T406" s="5">
        <f>(Cotacoes!T406-Cotacoes!T405)/Cotacoes!T405</f>
        <v>4.7638773819386263E-3</v>
      </c>
      <c r="U406" s="5">
        <f>(Cotacoes!U406-Cotacoes!U405)/Cotacoes!U405</f>
        <v>-3.5042180402336205E-2</v>
      </c>
      <c r="V406" s="5">
        <f>(Cotacoes!V406-Cotacoes!V405)/Cotacoes!V405</f>
        <v>-1.7666666666666705E-2</v>
      </c>
      <c r="W406" s="5"/>
    </row>
    <row r="407" spans="1:23" x14ac:dyDescent="0.2">
      <c r="A407" s="4">
        <v>45153</v>
      </c>
      <c r="B407" s="5">
        <f>(Cotacoes!B407-Cotacoes!B406)/Cotacoes!B406</f>
        <v>-5.3646961724957204E-3</v>
      </c>
      <c r="C407" s="5">
        <f>(Cotacoes!C407-Cotacoes!C406)/Cotacoes!C406</f>
        <v>-9.8455598455598082E-3</v>
      </c>
      <c r="D407" s="5">
        <f>(Cotacoes!D407-Cotacoes!D406)/Cotacoes!D406</f>
        <v>6.9930069930069999E-3</v>
      </c>
      <c r="E407" s="5">
        <f>(Cotacoes!E407-Cotacoes!E406)/Cotacoes!E406</f>
        <v>-5.6153486195601775E-3</v>
      </c>
      <c r="F407" s="5">
        <f>(Cotacoes!F407-Cotacoes!F406)/Cotacoes!F406</f>
        <v>-1.9531250000000278E-3</v>
      </c>
      <c r="G407" s="5">
        <f>(Cotacoes!G407-Cotacoes!G406)/Cotacoes!G406</f>
        <v>1.0559662090812868E-3</v>
      </c>
      <c r="H407" s="5">
        <f>(Cotacoes!H407-Cotacoes!H406)/Cotacoes!H406</f>
        <v>-4.9900199600797345E-3</v>
      </c>
      <c r="I407" s="5">
        <f>(Cotacoes!I407-Cotacoes!I406)/Cotacoes!I406</f>
        <v>-3.45036319612591E-2</v>
      </c>
      <c r="J407" s="5">
        <f>(Cotacoes!J407-Cotacoes!J406)/Cotacoes!J406</f>
        <v>-2.4924336834609196E-2</v>
      </c>
      <c r="K407" s="5">
        <f>(Cotacoes!K407-Cotacoes!K406)/Cotacoes!K406</f>
        <v>2.3201856148492759E-3</v>
      </c>
      <c r="L407" s="5">
        <f>(Cotacoes!L407-Cotacoes!L406)/Cotacoes!L406</f>
        <v>-6.0060060060060112E-3</v>
      </c>
      <c r="M407" s="5">
        <f>(Cotacoes!M407-Cotacoes!M406)/Cotacoes!M406</f>
        <v>-9.4637223974762801E-3</v>
      </c>
      <c r="N407" s="5">
        <f>(Cotacoes!N407-Cotacoes!N406)/Cotacoes!N406</f>
        <v>-4.1152263374485938E-3</v>
      </c>
      <c r="O407" s="5">
        <f>(Cotacoes!O407-Cotacoes!O406)/Cotacoes!O406</f>
        <v>1.3415892672858698E-2</v>
      </c>
      <c r="P407" s="5">
        <f>(Cotacoes!P407-Cotacoes!P406)/Cotacoes!P406</f>
        <v>0</v>
      </c>
      <c r="Q407" s="5">
        <f>(Cotacoes!Q407-Cotacoes!Q406)/Cotacoes!Q406</f>
        <v>-1.7287507717637443E-2</v>
      </c>
      <c r="R407" s="5">
        <f>(Cotacoes!R407-Cotacoes!R406)/Cotacoes!R406</f>
        <v>-2.5994865211809971E-2</v>
      </c>
      <c r="S407" s="5">
        <f>(Cotacoes!S407-Cotacoes!S406)/Cotacoes!S406</f>
        <v>-1.9808108944599213E-2</v>
      </c>
      <c r="T407" s="5">
        <f>(Cotacoes!T407-Cotacoes!T406)/Cotacoes!T406</f>
        <v>-3.6487322201607837E-2</v>
      </c>
      <c r="U407" s="5">
        <f>(Cotacoes!U407-Cotacoes!U406)/Cotacoes!U406</f>
        <v>1.1096166778749222E-2</v>
      </c>
      <c r="V407" s="5">
        <f>(Cotacoes!V407-Cotacoes!V406)/Cotacoes!V406</f>
        <v>-4.7505938242280478E-3</v>
      </c>
      <c r="W407" s="5"/>
    </row>
    <row r="408" spans="1:23" x14ac:dyDescent="0.2">
      <c r="A408" s="4">
        <v>45154</v>
      </c>
      <c r="B408" s="5">
        <f>(Cotacoes!B408-Cotacoes!B407)/Cotacoes!B407</f>
        <v>-6.5345918473186963E-3</v>
      </c>
      <c r="C408" s="5">
        <f>(Cotacoes!C408-Cotacoes!C407)/Cotacoes!C407</f>
        <v>-3.8993955936828962E-3</v>
      </c>
      <c r="D408" s="5">
        <f>(Cotacoes!D408-Cotacoes!D407)/Cotacoes!D407</f>
        <v>2.2135416666666734E-2</v>
      </c>
      <c r="E408" s="5">
        <f>(Cotacoes!E408-Cotacoes!E407)/Cotacoes!E407</f>
        <v>-4.7058823529419122E-4</v>
      </c>
      <c r="F408" s="5">
        <f>(Cotacoes!F408-Cotacoes!F407)/Cotacoes!F407</f>
        <v>2.9354207436399216E-2</v>
      </c>
      <c r="G408" s="5">
        <f>(Cotacoes!G408-Cotacoes!G407)/Cotacoes!G407</f>
        <v>-4.4303797468354424E-2</v>
      </c>
      <c r="H408" s="5">
        <f>(Cotacoes!H408-Cotacoes!H407)/Cotacoes!H407</f>
        <v>8.5255767301904792E-3</v>
      </c>
      <c r="I408" s="5">
        <f>(Cotacoes!I408-Cotacoes!I407)/Cotacoes!I407</f>
        <v>-3.5423197492162981E-2</v>
      </c>
      <c r="J408" s="5">
        <f>(Cotacoes!J408-Cotacoes!J407)/Cotacoes!J407</f>
        <v>5.532225670987756E-2</v>
      </c>
      <c r="K408" s="5">
        <f>(Cotacoes!K408-Cotacoes!K407)/Cotacoes!K407</f>
        <v>-5.401234567901256E-3</v>
      </c>
      <c r="L408" s="5">
        <f>(Cotacoes!L408-Cotacoes!L407)/Cotacoes!L407</f>
        <v>-1.5105740181268963E-2</v>
      </c>
      <c r="M408" s="5">
        <f>(Cotacoes!M408-Cotacoes!M407)/Cotacoes!M407</f>
        <v>-7.961783439490276E-4</v>
      </c>
      <c r="N408" s="5">
        <f>(Cotacoes!N408-Cotacoes!N407)/Cotacoes!N407</f>
        <v>-6.887052341597772E-3</v>
      </c>
      <c r="O408" s="5">
        <f>(Cotacoes!O408-Cotacoes!O407)/Cotacoes!O407</f>
        <v>-1.2729124236252545E-2</v>
      </c>
      <c r="P408" s="5">
        <f>(Cotacoes!P408-Cotacoes!P407)/Cotacoes!P407</f>
        <v>-5.4945054945044016E-4</v>
      </c>
      <c r="Q408" s="5">
        <f>(Cotacoes!Q408-Cotacoes!Q407)/Cotacoes!Q407</f>
        <v>-2.5130890052355486E-3</v>
      </c>
      <c r="R408" s="5">
        <f>(Cotacoes!R408-Cotacoes!R407)/Cotacoes!R407</f>
        <v>-2.2075782537067601E-2</v>
      </c>
      <c r="S408" s="5">
        <f>(Cotacoes!S408-Cotacoes!S407)/Cotacoes!S407</f>
        <v>-9.4726870855699613E-3</v>
      </c>
      <c r="T408" s="5">
        <f>(Cotacoes!T408-Cotacoes!T407)/Cotacoes!T407</f>
        <v>-1.7757809157039055E-2</v>
      </c>
      <c r="U408" s="5">
        <f>(Cotacoes!U408-Cotacoes!U407)/Cotacoes!U407</f>
        <v>-1.3801130695044867E-2</v>
      </c>
      <c r="V408" s="5">
        <f>(Cotacoes!V408-Cotacoes!V407)/Cotacoes!V407</f>
        <v>-2.2502557108762245E-2</v>
      </c>
      <c r="W408" s="5"/>
    </row>
    <row r="409" spans="1:23" x14ac:dyDescent="0.2">
      <c r="A409" s="4">
        <v>45155</v>
      </c>
      <c r="B409" s="5">
        <f>(Cotacoes!B409-Cotacoes!B408)/Cotacoes!B408</f>
        <v>3.23658383796202E-3</v>
      </c>
      <c r="C409" s="5">
        <f>(Cotacoes!C409-Cotacoes!C408)/Cotacoes!C408</f>
        <v>1.4092777451556054E-2</v>
      </c>
      <c r="D409" s="5">
        <f>(Cotacoes!D409-Cotacoes!D408)/Cotacoes!D408</f>
        <v>-3.3970276008493351E-3</v>
      </c>
      <c r="E409" s="5">
        <f>(Cotacoes!E409-Cotacoes!E408)/Cotacoes!E408</f>
        <v>-1.177024482109228E-2</v>
      </c>
      <c r="F409" s="5">
        <f>(Cotacoes!F409-Cotacoes!F408)/Cotacoes!F408</f>
        <v>-7.6045627376425586E-3</v>
      </c>
      <c r="G409" s="5">
        <f>(Cotacoes!G409-Cotacoes!G408)/Cotacoes!G408</f>
        <v>-1.8487858719646845E-2</v>
      </c>
      <c r="H409" s="5">
        <f>(Cotacoes!H409-Cotacoes!H408)/Cotacoes!H408</f>
        <v>9.4480358030831074E-3</v>
      </c>
      <c r="I409" s="5">
        <f>(Cotacoes!I409-Cotacoes!I408)/Cotacoes!I408</f>
        <v>2.144946376340592E-2</v>
      </c>
      <c r="J409" s="5">
        <f>(Cotacoes!J409-Cotacoes!J408)/Cotacoes!J408</f>
        <v>1.2975778546712804E-2</v>
      </c>
      <c r="K409" s="5">
        <f>(Cotacoes!K409-Cotacoes!K408)/Cotacoes!K408</f>
        <v>-1.0085337470907741E-2</v>
      </c>
      <c r="L409" s="5">
        <f>(Cotacoes!L409-Cotacoes!L408)/Cotacoes!L408</f>
        <v>-2.7607361963190143E-2</v>
      </c>
      <c r="M409" s="5">
        <f>(Cotacoes!M409-Cotacoes!M408)/Cotacoes!M408</f>
        <v>2.3904382470119009E-3</v>
      </c>
      <c r="N409" s="5">
        <f>(Cotacoes!N409-Cotacoes!N408)/Cotacoes!N408</f>
        <v>-8.3217753120665202E-3</v>
      </c>
      <c r="O409" s="5">
        <f>(Cotacoes!O409-Cotacoes!O408)/Cotacoes!O408</f>
        <v>3.0943785456420173E-3</v>
      </c>
      <c r="P409" s="5">
        <f>(Cotacoes!P409-Cotacoes!P408)/Cotacoes!P408</f>
        <v>1.0445299615173046E-2</v>
      </c>
      <c r="Q409" s="5">
        <f>(Cotacoes!Q409-Cotacoes!Q408)/Cotacoes!Q408</f>
        <v>9.6577787108965106E-3</v>
      </c>
      <c r="R409" s="5">
        <f>(Cotacoes!R409-Cotacoes!R408)/Cotacoes!R408</f>
        <v>-2.695417789757415E-2</v>
      </c>
      <c r="S409" s="5">
        <f>(Cotacoes!S409-Cotacoes!S408)/Cotacoes!S408</f>
        <v>-6.3755180108382447E-4</v>
      </c>
      <c r="T409" s="5">
        <f>(Cotacoes!T409-Cotacoes!T408)/Cotacoes!T408</f>
        <v>-1.3069048137660518E-2</v>
      </c>
      <c r="U409" s="5">
        <f>(Cotacoes!U409-Cotacoes!U408)/Cotacoes!U408</f>
        <v>-2.0907098297083156E-2</v>
      </c>
      <c r="V409" s="5">
        <f>(Cotacoes!V409-Cotacoes!V408)/Cotacoes!V408</f>
        <v>8.0223229856992272E-3</v>
      </c>
      <c r="W409" s="5"/>
    </row>
    <row r="410" spans="1:23" x14ac:dyDescent="0.2">
      <c r="A410" s="4">
        <v>45156</v>
      </c>
      <c r="B410" s="5">
        <f>(Cotacoes!B410-Cotacoes!B409)/Cotacoes!B409</f>
        <v>-8.2214590488084733E-3</v>
      </c>
      <c r="C410" s="5">
        <f>(Cotacoes!C410-Cotacoes!C409)/Cotacoes!C409</f>
        <v>-1.1194750048253337E-2</v>
      </c>
      <c r="D410" s="5">
        <f>(Cotacoes!D410-Cotacoes!D409)/Cotacoes!D409</f>
        <v>2.5564550489988189E-3</v>
      </c>
      <c r="E410" s="5">
        <f>(Cotacoes!E410-Cotacoes!E409)/Cotacoes!E409</f>
        <v>7.6226774654597502E-3</v>
      </c>
      <c r="F410" s="5">
        <f>(Cotacoes!F410-Cotacoes!F409)/Cotacoes!F409</f>
        <v>6.1302681992337219E-3</v>
      </c>
      <c r="G410" s="5">
        <f>(Cotacoes!G410-Cotacoes!G409)/Cotacoes!G409</f>
        <v>-1.771155468091095E-2</v>
      </c>
      <c r="H410" s="5">
        <f>(Cotacoes!H410-Cotacoes!H409)/Cotacoes!H409</f>
        <v>3.9408866995073047E-3</v>
      </c>
      <c r="I410" s="5">
        <f>(Cotacoes!I410-Cotacoes!I409)/Cotacoes!I409</f>
        <v>6.3633471205852923E-4</v>
      </c>
      <c r="J410" s="5">
        <f>(Cotacoes!J410-Cotacoes!J409)/Cotacoes!J409</f>
        <v>2.2032450896669623E-2</v>
      </c>
      <c r="K410" s="5">
        <f>(Cotacoes!K410-Cotacoes!K409)/Cotacoes!K409</f>
        <v>6.269592476489034E-3</v>
      </c>
      <c r="L410" s="5">
        <f>(Cotacoes!L410-Cotacoes!L409)/Cotacoes!L409</f>
        <v>1.7350157728706676E-2</v>
      </c>
      <c r="M410" s="5">
        <f>(Cotacoes!M410-Cotacoes!M409)/Cotacoes!M409</f>
        <v>1.0333863275039807E-2</v>
      </c>
      <c r="N410" s="5">
        <f>(Cotacoes!N410-Cotacoes!N409)/Cotacoes!N409</f>
        <v>1.3986013986013687E-3</v>
      </c>
      <c r="O410" s="5">
        <f>(Cotacoes!O410-Cotacoes!O409)/Cotacoes!O409</f>
        <v>-1.2339331619537194E-2</v>
      </c>
      <c r="P410" s="5">
        <f>(Cotacoes!P410-Cotacoes!P409)/Cotacoes!P409</f>
        <v>1.5778019586507222E-2</v>
      </c>
      <c r="Q410" s="5">
        <f>(Cotacoes!Q410-Cotacoes!Q409)/Cotacoes!Q409</f>
        <v>5.6144728633810773E-3</v>
      </c>
      <c r="R410" s="5">
        <f>(Cotacoes!R410-Cotacoes!R409)/Cotacoes!R409</f>
        <v>1.4889196675900268E-2</v>
      </c>
      <c r="S410" s="5">
        <f>(Cotacoes!S410-Cotacoes!S409)/Cotacoes!S409</f>
        <v>1.7543859649122716E-2</v>
      </c>
      <c r="T410" s="5">
        <f>(Cotacoes!T410-Cotacoes!T409)/Cotacoes!T409</f>
        <v>-4.6347384683293061E-3</v>
      </c>
      <c r="U410" s="5">
        <f>(Cotacoes!U410-Cotacoes!U409)/Cotacoes!U409</f>
        <v>3.6163251248493345E-3</v>
      </c>
      <c r="V410" s="5">
        <f>(Cotacoes!V410-Cotacoes!V409)/Cotacoes!V409</f>
        <v>-1.8339100346020678E-2</v>
      </c>
      <c r="W410" s="5"/>
    </row>
    <row r="411" spans="1:23" x14ac:dyDescent="0.2">
      <c r="A411" s="4">
        <v>45159</v>
      </c>
      <c r="B411" s="5">
        <f>(Cotacoes!B411-Cotacoes!B410)/Cotacoes!B410</f>
        <v>1.30115424973768E-2</v>
      </c>
      <c r="C411" s="5">
        <f>(Cotacoes!C411-Cotacoes!C410)/Cotacoes!C410</f>
        <v>-3.9039625219590125E-4</v>
      </c>
      <c r="D411" s="5">
        <f>(Cotacoes!D411-Cotacoes!D410)/Cotacoes!D410</f>
        <v>-6.7998300042498997E-3</v>
      </c>
      <c r="E411" s="5">
        <f>(Cotacoes!E411-Cotacoes!E410)/Cotacoes!E410</f>
        <v>-3.7825059101654042E-3</v>
      </c>
      <c r="F411" s="5">
        <f>(Cotacoes!F411-Cotacoes!F410)/Cotacoes!F410</f>
        <v>-9.9009900990099601E-3</v>
      </c>
      <c r="G411" s="5">
        <f>(Cotacoes!G411-Cotacoes!G410)/Cotacoes!G410</f>
        <v>-6.0103033772181133E-3</v>
      </c>
      <c r="H411" s="5">
        <f>(Cotacoes!H411-Cotacoes!H410)/Cotacoes!H410</f>
        <v>-3.434739941118758E-3</v>
      </c>
      <c r="I411" s="5">
        <f>(Cotacoes!I411-Cotacoes!I410)/Cotacoes!I410</f>
        <v>-2.257551669316378E-2</v>
      </c>
      <c r="J411" s="5">
        <f>(Cotacoes!J411-Cotacoes!J410)/Cotacoes!J410</f>
        <v>-2.2894385026738042E-2</v>
      </c>
      <c r="K411" s="5">
        <f>(Cotacoes!K411-Cotacoes!K410)/Cotacoes!K410</f>
        <v>-7.009345794392512E-3</v>
      </c>
      <c r="L411" s="5">
        <f>(Cotacoes!L411-Cotacoes!L410)/Cotacoes!L410</f>
        <v>-1.3178294573643405E-2</v>
      </c>
      <c r="M411" s="5">
        <f>(Cotacoes!M411-Cotacoes!M410)/Cotacoes!M410</f>
        <v>-3.9339103068450594E-3</v>
      </c>
      <c r="N411" s="5">
        <f>(Cotacoes!N411-Cotacoes!N410)/Cotacoes!N410</f>
        <v>-1.5363128491620156E-2</v>
      </c>
      <c r="O411" s="5">
        <f>(Cotacoes!O411-Cotacoes!O410)/Cotacoes!O410</f>
        <v>-2.7069234773555415E-2</v>
      </c>
      <c r="P411" s="5">
        <f>(Cotacoes!P411-Cotacoes!P410)/Cotacoes!P410</f>
        <v>2.1424745581145764E-3</v>
      </c>
      <c r="Q411" s="5">
        <f>(Cotacoes!Q411-Cotacoes!Q410)/Cotacoes!Q410</f>
        <v>-1.1786600496277921E-2</v>
      </c>
      <c r="R411" s="5">
        <f>(Cotacoes!R411-Cotacoes!R410)/Cotacoes!R410</f>
        <v>-8.1883316274308574E-3</v>
      </c>
      <c r="S411" s="5">
        <f>(Cotacoes!S411-Cotacoes!S410)/Cotacoes!S410</f>
        <v>-7.8369905956112863E-3</v>
      </c>
      <c r="T411" s="5">
        <f>(Cotacoes!T411-Cotacoes!T410)/Cotacoes!T410</f>
        <v>-9.3126385809313011E-3</v>
      </c>
      <c r="U411" s="5">
        <f>(Cotacoes!U411-Cotacoes!U410)/Cotacoes!U410</f>
        <v>-7.5497597803705855E-3</v>
      </c>
      <c r="V411" s="5">
        <f>(Cotacoes!V411-Cotacoes!V410)/Cotacoes!V410</f>
        <v>8.1071554458935647E-3</v>
      </c>
      <c r="W411" s="5"/>
    </row>
    <row r="412" spans="1:23" x14ac:dyDescent="0.2">
      <c r="A412" s="4">
        <v>45160</v>
      </c>
      <c r="B412" s="5">
        <f>(Cotacoes!B412-Cotacoes!B411)/Cotacoes!B411</f>
        <v>1.6159105034182598E-2</v>
      </c>
      <c r="C412" s="5">
        <f>(Cotacoes!C412-Cotacoes!C411)/Cotacoes!C411</f>
        <v>2.2651825815270386E-2</v>
      </c>
      <c r="D412" s="5">
        <f>(Cotacoes!D412-Cotacoes!D411)/Cotacoes!D411</f>
        <v>1.3264869490800116E-2</v>
      </c>
      <c r="E412" s="5">
        <f>(Cotacoes!E412-Cotacoes!E411)/Cotacoes!E411</f>
        <v>1.5662078785002292E-2</v>
      </c>
      <c r="F412" s="5">
        <f>(Cotacoes!F412-Cotacoes!F411)/Cotacoes!F411</f>
        <v>1.3461538461538516E-2</v>
      </c>
      <c r="G412" s="5">
        <f>(Cotacoes!G412-Cotacoes!G411)/Cotacoes!G411</f>
        <v>1.2093291102793025E-2</v>
      </c>
      <c r="H412" s="5">
        <f>(Cotacoes!H412-Cotacoes!H411)/Cotacoes!H411</f>
        <v>2.2648941408173359E-2</v>
      </c>
      <c r="I412" s="5">
        <f>(Cotacoes!I412-Cotacoes!I411)/Cotacoes!I411</f>
        <v>9.7592713077423784E-3</v>
      </c>
      <c r="J412" s="5">
        <f>(Cotacoes!J412-Cotacoes!J411)/Cotacoes!J411</f>
        <v>2.1891568325637097E-2</v>
      </c>
      <c r="K412" s="5">
        <f>(Cotacoes!K412-Cotacoes!K411)/Cotacoes!K411</f>
        <v>7.0588235294117537E-3</v>
      </c>
      <c r="L412" s="5">
        <f>(Cotacoes!L412-Cotacoes!L411)/Cotacoes!L411</f>
        <v>2.8279654359780002E-2</v>
      </c>
      <c r="M412" s="5">
        <f>(Cotacoes!M412-Cotacoes!M411)/Cotacoes!M411</f>
        <v>7.8988941548182971E-3</v>
      </c>
      <c r="N412" s="5">
        <f>(Cotacoes!N412-Cotacoes!N411)/Cotacoes!N411</f>
        <v>1.5602836879432669E-2</v>
      </c>
      <c r="O412" s="5">
        <f>(Cotacoes!O412-Cotacoes!O411)/Cotacoes!O411</f>
        <v>-8.5607276618512636E-3</v>
      </c>
      <c r="P412" s="5">
        <f>(Cotacoes!P412-Cotacoes!P411)/Cotacoes!P411</f>
        <v>2.1378941742383674E-2</v>
      </c>
      <c r="Q412" s="5">
        <f>(Cotacoes!Q412-Cotacoes!Q411)/Cotacoes!Q411</f>
        <v>-4.6034735300271787E-3</v>
      </c>
      <c r="R412" s="5">
        <f>(Cotacoes!R412-Cotacoes!R411)/Cotacoes!R411</f>
        <v>3.3711730306157567E-2</v>
      </c>
      <c r="S412" s="5">
        <f>(Cotacoes!S412-Cotacoes!S411)/Cotacoes!S411</f>
        <v>6.0031595576619679E-3</v>
      </c>
      <c r="T412" s="5">
        <f>(Cotacoes!T412-Cotacoes!T411)/Cotacoes!T411</f>
        <v>7.8334825425246512E-3</v>
      </c>
      <c r="U412" s="5">
        <f>(Cotacoes!U412-Cotacoes!U411)/Cotacoes!U411</f>
        <v>3.526970954356845E-2</v>
      </c>
      <c r="V412" s="5">
        <f>(Cotacoes!V412-Cotacoes!V411)/Cotacoes!V411</f>
        <v>-3.1468531468531419E-3</v>
      </c>
      <c r="W412" s="5"/>
    </row>
    <row r="413" spans="1:23" x14ac:dyDescent="0.2">
      <c r="A413" s="4">
        <v>45161</v>
      </c>
      <c r="B413" s="5">
        <f>(Cotacoes!B413-Cotacoes!B412)/Cotacoes!B412</f>
        <v>-8.1549439347604197E-3</v>
      </c>
      <c r="C413" s="5">
        <f>(Cotacoes!C413-Cotacoes!C412)/Cotacoes!C412</f>
        <v>7.2560626312774979E-3</v>
      </c>
      <c r="D413" s="5">
        <f>(Cotacoes!D413-Cotacoes!D412)/Cotacoes!D412</f>
        <v>5.3209459459459527E-2</v>
      </c>
      <c r="E413" s="5">
        <f>(Cotacoes!E413-Cotacoes!E412)/Cotacoes!E412</f>
        <v>1.2149532710280448E-2</v>
      </c>
      <c r="F413" s="5">
        <f>(Cotacoes!F413-Cotacoes!F412)/Cotacoes!F412</f>
        <v>5.6925996204933584E-2</v>
      </c>
      <c r="G413" s="5">
        <f>(Cotacoes!G413-Cotacoes!G412)/Cotacoes!G412</f>
        <v>-5.6899004267414006E-4</v>
      </c>
      <c r="H413" s="5">
        <f>(Cotacoes!H413-Cotacoes!H412)/Cotacoes!H412</f>
        <v>4.3331728454501619E-3</v>
      </c>
      <c r="I413" s="5">
        <f>(Cotacoes!I413-Cotacoes!I412)/Cotacoes!I412</f>
        <v>7.3131443298969173E-2</v>
      </c>
      <c r="J413" s="5">
        <f>(Cotacoes!J413-Cotacoes!J412)/Cotacoes!J412</f>
        <v>-1.1715481171548164E-2</v>
      </c>
      <c r="K413" s="5">
        <f>(Cotacoes!K413-Cotacoes!K412)/Cotacoes!K412</f>
        <v>1.3239875389408094E-2</v>
      </c>
      <c r="L413" s="5">
        <f>(Cotacoes!L413-Cotacoes!L412)/Cotacoes!L412</f>
        <v>2.4446142093200937E-2</v>
      </c>
      <c r="M413" s="5">
        <f>(Cotacoes!M413-Cotacoes!M412)/Cotacoes!M412</f>
        <v>2.3510971786833354E-3</v>
      </c>
      <c r="N413" s="5">
        <f>(Cotacoes!N413-Cotacoes!N412)/Cotacoes!N412</f>
        <v>1.9553072625698279E-2</v>
      </c>
      <c r="O413" s="5">
        <f>(Cotacoes!O413-Cotacoes!O412)/Cotacoes!O412</f>
        <v>6.4759848893684527E-3</v>
      </c>
      <c r="P413" s="5">
        <f>(Cotacoes!P413-Cotacoes!P412)/Cotacoes!P412</f>
        <v>1.2035583464154915E-2</v>
      </c>
      <c r="Q413" s="5">
        <f>(Cotacoes!Q413-Cotacoes!Q412)/Cotacoes!Q412</f>
        <v>-7.3575783056548539E-3</v>
      </c>
      <c r="R413" s="5">
        <f>(Cotacoes!R413-Cotacoes!R412)/Cotacoes!R412</f>
        <v>3.7936772046589039E-2</v>
      </c>
      <c r="S413" s="5">
        <f>(Cotacoes!S413-Cotacoes!S412)/Cotacoes!S412</f>
        <v>7.2236180904522744E-3</v>
      </c>
      <c r="T413" s="5">
        <f>(Cotacoes!T413-Cotacoes!T412)/Cotacoes!T412</f>
        <v>1.6655562958027982E-2</v>
      </c>
      <c r="U413" s="5">
        <f>(Cotacoes!U413-Cotacoes!U412)/Cotacoes!U412</f>
        <v>2.621910487641951E-2</v>
      </c>
      <c r="V413" s="5">
        <f>(Cotacoes!V413-Cotacoes!V412)/Cotacoes!V412</f>
        <v>3.5075412136091849E-3</v>
      </c>
      <c r="W413" s="5"/>
    </row>
    <row r="414" spans="1:23" x14ac:dyDescent="0.2">
      <c r="A414" s="4">
        <v>45162</v>
      </c>
      <c r="B414" s="5">
        <f>(Cotacoes!B414-Cotacoes!B413)/Cotacoes!B413</f>
        <v>-1.1408016443987661E-2</v>
      </c>
      <c r="C414" s="5">
        <f>(Cotacoes!C414-Cotacoes!C413)/Cotacoes!C413</f>
        <v>-1.327014218009484E-2</v>
      </c>
      <c r="D414" s="5">
        <f>(Cotacoes!D414-Cotacoes!D413)/Cotacoes!D413</f>
        <v>-1.60384923817172E-3</v>
      </c>
      <c r="E414" s="5">
        <f>(Cotacoes!E414-Cotacoes!E413)/Cotacoes!E413</f>
        <v>-1.1542012927054477E-2</v>
      </c>
      <c r="F414" s="5">
        <f>(Cotacoes!F414-Cotacoes!F413)/Cotacoes!F413</f>
        <v>-2.5134649910233493E-3</v>
      </c>
      <c r="G414" s="5">
        <f>(Cotacoes!G414-Cotacoes!G413)/Cotacoes!G413</f>
        <v>-1.3094221463136943E-2</v>
      </c>
      <c r="H414" s="5">
        <f>(Cotacoes!H414-Cotacoes!H413)/Cotacoes!H413</f>
        <v>-1.2943432406519635E-2</v>
      </c>
      <c r="I414" s="5">
        <f>(Cotacoes!I414-Cotacoes!I413)/Cotacoes!I413</f>
        <v>1.380966676673674E-2</v>
      </c>
      <c r="J414" s="5">
        <f>(Cotacoes!J414-Cotacoes!J413)/Cotacoes!J413</f>
        <v>2.3708721422523384E-3</v>
      </c>
      <c r="K414" s="5">
        <f>(Cotacoes!K414-Cotacoes!K413)/Cotacoes!K413</f>
        <v>-2.3827824750192197E-2</v>
      </c>
      <c r="L414" s="5">
        <f>(Cotacoes!L414-Cotacoes!L413)/Cotacoes!L413</f>
        <v>-3.5794183445190191E-2</v>
      </c>
      <c r="M414" s="5">
        <f>(Cotacoes!M414-Cotacoes!M413)/Cotacoes!M413</f>
        <v>-1.7982799061766901E-2</v>
      </c>
      <c r="N414" s="5">
        <f>(Cotacoes!N414-Cotacoes!N413)/Cotacoes!N413</f>
        <v>-1.2328767123287652E-2</v>
      </c>
      <c r="O414" s="5">
        <f>(Cotacoes!O414-Cotacoes!O413)/Cotacoes!O413</f>
        <v>-3.7533512064343317E-3</v>
      </c>
      <c r="P414" s="5">
        <f>(Cotacoes!P414-Cotacoes!P413)/Cotacoes!P413</f>
        <v>-3.4126163391933827E-2</v>
      </c>
      <c r="Q414" s="5">
        <f>(Cotacoes!Q414-Cotacoes!Q413)/Cotacoes!Q413</f>
        <v>-2.753070732740268E-3</v>
      </c>
      <c r="R414" s="5">
        <f>(Cotacoes!R414-Cotacoes!R413)/Cotacoes!R413</f>
        <v>-1.92369349150376E-3</v>
      </c>
      <c r="S414" s="5">
        <f>(Cotacoes!S414-Cotacoes!S413)/Cotacoes!S413</f>
        <v>9.3545369504213088E-4</v>
      </c>
      <c r="T414" s="5">
        <f>(Cotacoes!T414-Cotacoes!T413)/Cotacoes!T413</f>
        <v>4.5871559633027708E-3</v>
      </c>
      <c r="U414" s="5">
        <f>(Cotacoes!U414-Cotacoes!U413)/Cotacoes!U413</f>
        <v>-1.3181448331977253E-2</v>
      </c>
      <c r="V414" s="5">
        <f>(Cotacoes!V414-Cotacoes!V413)/Cotacoes!V413</f>
        <v>-1.118490038448096E-2</v>
      </c>
      <c r="W414" s="5"/>
    </row>
    <row r="415" spans="1:23" x14ac:dyDescent="0.2">
      <c r="A415" s="4">
        <v>45163</v>
      </c>
      <c r="B415" s="5">
        <f>(Cotacoes!B415-Cotacoes!B414)/Cotacoes!B414</f>
        <v>6.1336937311571209E-3</v>
      </c>
      <c r="C415" s="5">
        <f>(Cotacoes!C415-Cotacoes!C414)/Cotacoes!C414</f>
        <v>-2.1133525456291918E-3</v>
      </c>
      <c r="D415" s="5">
        <f>(Cotacoes!D415-Cotacoes!D414)/Cotacoes!D414</f>
        <v>-6.8273092369477177E-3</v>
      </c>
      <c r="E415" s="5">
        <f>(Cotacoes!E415-Cotacoes!E414)/Cotacoes!E414</f>
        <v>-1.5880429705744971E-2</v>
      </c>
      <c r="F415" s="5">
        <f>(Cotacoes!F415-Cotacoes!F414)/Cotacoes!F414</f>
        <v>-7.9193664506840324E-3</v>
      </c>
      <c r="G415" s="5">
        <f>(Cotacoes!G415-Cotacoes!G414)/Cotacoes!G414</f>
        <v>1.0672050764349508E-2</v>
      </c>
      <c r="H415" s="5">
        <f>(Cotacoes!H415-Cotacoes!H414)/Cotacoes!H414</f>
        <v>-1.3113161728994637E-2</v>
      </c>
      <c r="I415" s="5">
        <f>(Cotacoes!I415-Cotacoes!I414)/Cotacoes!I414</f>
        <v>-2.0432336393248585E-2</v>
      </c>
      <c r="J415" s="5">
        <f>(Cotacoes!J415-Cotacoes!J414)/Cotacoes!J414</f>
        <v>-4.2236864335191754E-3</v>
      </c>
      <c r="K415" s="5">
        <f>(Cotacoes!K415-Cotacoes!K414)/Cotacoes!K414</f>
        <v>-1.2598425196850406E-2</v>
      </c>
      <c r="L415" s="5">
        <f>(Cotacoes!L415-Cotacoes!L414)/Cotacoes!L414</f>
        <v>-1.4694508894044819E-2</v>
      </c>
      <c r="M415" s="5">
        <f>(Cotacoes!M415-Cotacoes!M414)/Cotacoes!M414</f>
        <v>-1.4331210191082779E-2</v>
      </c>
      <c r="N415" s="5">
        <f>(Cotacoes!N415-Cotacoes!N414)/Cotacoes!N414</f>
        <v>-1.1095700416088776E-2</v>
      </c>
      <c r="O415" s="5">
        <f>(Cotacoes!O415-Cotacoes!O414)/Cotacoes!O414</f>
        <v>-2.691065662002E-3</v>
      </c>
      <c r="P415" s="5">
        <f>(Cotacoes!P415-Cotacoes!P414)/Cotacoes!P414</f>
        <v>-1.1241970021413321E-2</v>
      </c>
      <c r="Q415" s="5">
        <f>(Cotacoes!Q415-Cotacoes!Q414)/Cotacoes!Q414</f>
        <v>1.1255043533658823E-2</v>
      </c>
      <c r="R415" s="5">
        <f>(Cotacoes!R415-Cotacoes!R414)/Cotacoes!R414</f>
        <v>-1.2528107934468378E-2</v>
      </c>
      <c r="S415" s="5">
        <f>(Cotacoes!S415-Cotacoes!S414)/Cotacoes!S414</f>
        <v>-1.5264797507788223E-2</v>
      </c>
      <c r="T415" s="5">
        <f>(Cotacoes!T415-Cotacoes!T414)/Cotacoes!T414</f>
        <v>7.1754729288975487E-3</v>
      </c>
      <c r="U415" s="5">
        <f>(Cotacoes!U415-Cotacoes!U414)/Cotacoes!U414</f>
        <v>-3.8423482849604194E-2</v>
      </c>
      <c r="V415" s="5">
        <f>(Cotacoes!V415-Cotacoes!V414)/Cotacoes!V414</f>
        <v>-1.519971721456344E-2</v>
      </c>
      <c r="W415" s="5"/>
    </row>
    <row r="416" spans="1:23" x14ac:dyDescent="0.2">
      <c r="A416" s="4">
        <v>45166</v>
      </c>
      <c r="B416" s="5">
        <f>(Cotacoes!B416-Cotacoes!B415)/Cotacoes!B415</f>
        <v>1.5292415788386072E-2</v>
      </c>
      <c r="C416" s="5">
        <f>(Cotacoes!C416-Cotacoes!C415)/Cotacoes!C415</f>
        <v>1.4439738159414709E-2</v>
      </c>
      <c r="D416" s="5">
        <f>(Cotacoes!D416-Cotacoes!D415)/Cotacoes!D415</f>
        <v>1.1322280630812824E-2</v>
      </c>
      <c r="E416" s="5">
        <f>(Cotacoes!E416-Cotacoes!E415)/Cotacoes!E415</f>
        <v>3.4171808258186942E-2</v>
      </c>
      <c r="F416" s="5">
        <f>(Cotacoes!F416-Cotacoes!F415)/Cotacoes!F415</f>
        <v>1.0159651669085673E-2</v>
      </c>
      <c r="G416" s="5">
        <f>(Cotacoes!G416-Cotacoes!G415)/Cotacoes!G415</f>
        <v>7.1347031963470324E-3</v>
      </c>
      <c r="H416" s="5">
        <f>(Cotacoes!H416-Cotacoes!H415)/Cotacoes!H415</f>
        <v>2.8543307086614088E-2</v>
      </c>
      <c r="I416" s="5">
        <f>(Cotacoes!I416-Cotacoes!I415)/Cotacoes!I415</f>
        <v>5.4413542926239336E-3</v>
      </c>
      <c r="J416" s="5">
        <f>(Cotacoes!J416-Cotacoes!J415)/Cotacoes!J415</f>
        <v>1.5269765863590672E-3</v>
      </c>
      <c r="K416" s="5">
        <f>(Cotacoes!K416-Cotacoes!K415)/Cotacoes!K415</f>
        <v>3.2695374800637972E-2</v>
      </c>
      <c r="L416" s="5">
        <f>(Cotacoes!L416-Cotacoes!L415)/Cotacoes!L415</f>
        <v>2.3547880690737333E-3</v>
      </c>
      <c r="M416" s="5">
        <f>(Cotacoes!M416-Cotacoes!M415)/Cotacoes!M415</f>
        <v>1.5347334410339216E-2</v>
      </c>
      <c r="N416" s="5">
        <f>(Cotacoes!N416-Cotacoes!N415)/Cotacoes!N415</f>
        <v>1.6830294530154295E-2</v>
      </c>
      <c r="O416" s="5">
        <f>(Cotacoes!O416-Cotacoes!O415)/Cotacoes!O415</f>
        <v>1.0793308148947613E-2</v>
      </c>
      <c r="P416" s="5">
        <f>(Cotacoes!P416-Cotacoes!P415)/Cotacoes!P415</f>
        <v>2.8695181375203094E-2</v>
      </c>
      <c r="Q416" s="5">
        <f>(Cotacoes!Q416-Cotacoes!Q415)/Cotacoes!Q415</f>
        <v>7.9798404031919904E-3</v>
      </c>
      <c r="R416" s="5">
        <f>(Cotacoes!R416-Cotacoes!R415)/Cotacoes!R415</f>
        <v>7.8074170461939494E-3</v>
      </c>
      <c r="S416" s="5">
        <f>(Cotacoes!S416-Cotacoes!S415)/Cotacoes!S415</f>
        <v>1.2654223347041806E-3</v>
      </c>
      <c r="T416" s="5">
        <f>(Cotacoes!T416-Cotacoes!T415)/Cotacoes!T415</f>
        <v>6.4766839378237731E-3</v>
      </c>
      <c r="U416" s="5">
        <f>(Cotacoes!U416-Cotacoes!U415)/Cotacoes!U415</f>
        <v>-2.4009603841536713E-3</v>
      </c>
      <c r="V416" s="5">
        <f>(Cotacoes!V416-Cotacoes!V415)/Cotacoes!V415</f>
        <v>-2.1536252692031127E-3</v>
      </c>
      <c r="W416" s="5"/>
    </row>
    <row r="417" spans="1:23" x14ac:dyDescent="0.2">
      <c r="A417" s="4">
        <v>45167</v>
      </c>
      <c r="B417" s="5">
        <f>(Cotacoes!B417-Cotacoes!B416)/Cotacoes!B416</f>
        <v>-5.0885406065540404E-3</v>
      </c>
      <c r="C417" s="5">
        <f>(Cotacoes!C417-Cotacoes!C416)/Cotacoes!C416</f>
        <v>3.188460808502562E-2</v>
      </c>
      <c r="D417" s="5">
        <f>(Cotacoes!D417-Cotacoes!D416)/Cotacoes!D416</f>
        <v>2.3990403838464102E-3</v>
      </c>
      <c r="E417" s="5">
        <f>(Cotacoes!E417-Cotacoes!E416)/Cotacoes!E416</f>
        <v>1.5603487838458002E-2</v>
      </c>
      <c r="F417" s="5">
        <f>(Cotacoes!F417-Cotacoes!F416)/Cotacoes!F416</f>
        <v>3.5919540229885569E-3</v>
      </c>
      <c r="G417" s="5">
        <f>(Cotacoes!G417-Cotacoes!G416)/Cotacoes!G416</f>
        <v>-3.6837631056957369E-3</v>
      </c>
      <c r="H417" s="5">
        <f>(Cotacoes!H417-Cotacoes!H416)/Cotacoes!H416</f>
        <v>5.7416267942584209E-3</v>
      </c>
      <c r="I417" s="5">
        <f>(Cotacoes!I417-Cotacoes!I416)/Cotacoes!I416</f>
        <v>1.8039687312087274E-3</v>
      </c>
      <c r="J417" s="5">
        <f>(Cotacoes!J417-Cotacoes!J416)/Cotacoes!J416</f>
        <v>3.3881077418255161E-4</v>
      </c>
      <c r="K417" s="5">
        <f>(Cotacoes!K417-Cotacoes!K416)/Cotacoes!K416</f>
        <v>1.1583011583011612E-2</v>
      </c>
      <c r="L417" s="5">
        <f>(Cotacoes!L417-Cotacoes!L416)/Cotacoes!L416</f>
        <v>3.1323414252154209E-3</v>
      </c>
      <c r="M417" s="5">
        <f>(Cotacoes!M417-Cotacoes!M416)/Cotacoes!M416</f>
        <v>3.977724741447807E-3</v>
      </c>
      <c r="N417" s="5">
        <f>(Cotacoes!N417-Cotacoes!N416)/Cotacoes!N416</f>
        <v>9.6551724137931422E-3</v>
      </c>
      <c r="O417" s="5">
        <f>(Cotacoes!O417-Cotacoes!O416)/Cotacoes!O416</f>
        <v>1.0144153764015017E-2</v>
      </c>
      <c r="P417" s="5">
        <f>(Cotacoes!P417-Cotacoes!P416)/Cotacoes!P416</f>
        <v>1.5789473684211124E-3</v>
      </c>
      <c r="Q417" s="5">
        <f>(Cotacoes!Q417-Cotacoes!Q416)/Cotacoes!Q416</f>
        <v>1.6875000000000046E-2</v>
      </c>
      <c r="R417" s="5">
        <f>(Cotacoes!R417-Cotacoes!R416)/Cotacoes!R416</f>
        <v>2.1304067140090387E-2</v>
      </c>
      <c r="S417" s="5">
        <f>(Cotacoes!S417-Cotacoes!S416)/Cotacoes!S416</f>
        <v>1.6113744075829321E-2</v>
      </c>
      <c r="T417" s="5">
        <f>(Cotacoes!T417-Cotacoes!T416)/Cotacoes!T416</f>
        <v>-1.8018018018017938E-2</v>
      </c>
      <c r="U417" s="5">
        <f>(Cotacoes!U417-Cotacoes!U416)/Cotacoes!U416</f>
        <v>1.2549424101770618E-2</v>
      </c>
      <c r="V417" s="5">
        <f>(Cotacoes!V417-Cotacoes!V416)/Cotacoes!V416</f>
        <v>1.4388489208633042E-2</v>
      </c>
      <c r="W417" s="5"/>
    </row>
    <row r="418" spans="1:23" x14ac:dyDescent="0.2">
      <c r="A418" s="4">
        <v>45168</v>
      </c>
      <c r="B418" s="5">
        <f>(Cotacoes!B418-Cotacoes!B417)/Cotacoes!B417</f>
        <v>-1.3195581014730014E-2</v>
      </c>
      <c r="C418" s="5">
        <f>(Cotacoes!C418-Cotacoes!C417)/Cotacoes!C417</f>
        <v>1.8392495861697841E-4</v>
      </c>
      <c r="D418" s="5">
        <f>(Cotacoes!D418-Cotacoes!D417)/Cotacoes!D417</f>
        <v>6.7810131631431255E-3</v>
      </c>
      <c r="E418" s="5">
        <f>(Cotacoes!E418-Cotacoes!E417)/Cotacoes!E417</f>
        <v>-1.897876186172608E-2</v>
      </c>
      <c r="F418" s="5">
        <f>(Cotacoes!F418-Cotacoes!F417)/Cotacoes!F417</f>
        <v>-7.1581961345739342E-4</v>
      </c>
      <c r="G418" s="5">
        <f>(Cotacoes!G418-Cotacoes!G417)/Cotacoes!G417</f>
        <v>-5.1194539249146678E-3</v>
      </c>
      <c r="H418" s="5">
        <f>(Cotacoes!H418-Cotacoes!H417)/Cotacoes!H417</f>
        <v>-1.4272121788772631E-2</v>
      </c>
      <c r="I418" s="5">
        <f>(Cotacoes!I418-Cotacoes!I417)/Cotacoes!I417</f>
        <v>-9.9039615846338025E-3</v>
      </c>
      <c r="J418" s="5">
        <f>(Cotacoes!J418-Cotacoes!J417)/Cotacoes!J417</f>
        <v>-5.0804403048263702E-3</v>
      </c>
      <c r="K418" s="5">
        <f>(Cotacoes!K418-Cotacoes!K417)/Cotacoes!K417</f>
        <v>-2.1374045801526669E-2</v>
      </c>
      <c r="L418" s="5">
        <f>(Cotacoes!L418-Cotacoes!L417)/Cotacoes!L417</f>
        <v>-2.5761124121779864E-2</v>
      </c>
      <c r="M418" s="5">
        <f>(Cotacoes!M418-Cotacoes!M417)/Cotacoes!M417</f>
        <v>-5.5467511885894227E-3</v>
      </c>
      <c r="N418" s="5">
        <f>(Cotacoes!N418-Cotacoes!N417)/Cotacoes!N417</f>
        <v>-1.5027322404371627E-2</v>
      </c>
      <c r="O418" s="5">
        <f>(Cotacoes!O418-Cotacoes!O417)/Cotacoes!O417</f>
        <v>-6.3424947145877897E-3</v>
      </c>
      <c r="P418" s="5">
        <f>(Cotacoes!P418-Cotacoes!P417)/Cotacoes!P417</f>
        <v>1.4188124014713586E-2</v>
      </c>
      <c r="Q418" s="5">
        <f>(Cotacoes!Q418-Cotacoes!Q417)/Cotacoes!Q417</f>
        <v>-6.3511575496824884E-3</v>
      </c>
      <c r="R418" s="5">
        <f>(Cotacoes!R418-Cotacoes!R417)/Cotacoes!R417</f>
        <v>-8.5335018963337405E-3</v>
      </c>
      <c r="S418" s="5">
        <f>(Cotacoes!S418-Cotacoes!S417)/Cotacoes!S417</f>
        <v>4.3532338308457895E-3</v>
      </c>
      <c r="T418" s="5">
        <f>(Cotacoes!T418-Cotacoes!T417)/Cotacoes!T417</f>
        <v>-8.7374399301002941E-4</v>
      </c>
      <c r="U418" s="5">
        <f>(Cotacoes!U418-Cotacoes!U417)/Cotacoes!U417</f>
        <v>-2.7164685908318605E-3</v>
      </c>
      <c r="V418" s="5">
        <f>(Cotacoes!V418-Cotacoes!V417)/Cotacoes!V417</f>
        <v>-3.1205673758865213E-2</v>
      </c>
      <c r="W418" s="5"/>
    </row>
    <row r="419" spans="1:23" x14ac:dyDescent="0.2">
      <c r="A419" s="4">
        <v>45169</v>
      </c>
      <c r="B419" s="5">
        <f>(Cotacoes!B419-Cotacoes!B418)/Cotacoes!B418</f>
        <v>1.6170830309940938E-2</v>
      </c>
      <c r="C419" s="5">
        <f>(Cotacoes!C419-Cotacoes!C418)/Cotacoes!C418</f>
        <v>1.4711290915777546E-3</v>
      </c>
      <c r="D419" s="5">
        <f>(Cotacoes!D419-Cotacoes!D418)/Cotacoes!D418</f>
        <v>-2.0998415213946024E-2</v>
      </c>
      <c r="E419" s="5">
        <f>(Cotacoes!E419-Cotacoes!E418)/Cotacoes!E418</f>
        <v>-8.7517273146016251E-3</v>
      </c>
      <c r="F419" s="5">
        <f>(Cotacoes!F419-Cotacoes!F418)/Cotacoes!F418</f>
        <v>-2.6862464183381087E-2</v>
      </c>
      <c r="G419" s="5">
        <f>(Cotacoes!G419-Cotacoes!G418)/Cotacoes!G418</f>
        <v>-1.1435105774728376E-2</v>
      </c>
      <c r="H419" s="5">
        <f>(Cotacoes!H419-Cotacoes!H418)/Cotacoes!H418</f>
        <v>-1.5926640926640846E-2</v>
      </c>
      <c r="I419" s="5">
        <f>(Cotacoes!I419-Cotacoes!I418)/Cotacoes!I418</f>
        <v>-3.0009093664746953E-2</v>
      </c>
      <c r="J419" s="5">
        <f>(Cotacoes!J419-Cotacoes!J418)/Cotacoes!J418</f>
        <v>-1.4127659574468055E-2</v>
      </c>
      <c r="K419" s="5">
        <f>(Cotacoes!K419-Cotacoes!K418)/Cotacoes!K418</f>
        <v>-1.4040561622464877E-2</v>
      </c>
      <c r="L419" s="5">
        <f>(Cotacoes!L419-Cotacoes!L418)/Cotacoes!L418</f>
        <v>-2.1634615384615349E-2</v>
      </c>
      <c r="M419" s="5">
        <f>(Cotacoes!M419-Cotacoes!M418)/Cotacoes!M418</f>
        <v>-2.3904382470119577E-2</v>
      </c>
      <c r="N419" s="5">
        <f>(Cotacoes!N419-Cotacoes!N418)/Cotacoes!N418</f>
        <v>-2.0804438280166485E-2</v>
      </c>
      <c r="O419" s="5">
        <f>(Cotacoes!O419-Cotacoes!O418)/Cotacoes!O418</f>
        <v>-2.1276595744680965E-2</v>
      </c>
      <c r="P419" s="5">
        <f>(Cotacoes!P419-Cotacoes!P418)/Cotacoes!P418</f>
        <v>8.8082901554403185E-3</v>
      </c>
      <c r="Q419" s="5">
        <f>(Cotacoes!Q419-Cotacoes!Q418)/Cotacoes!Q418</f>
        <v>-1.3195876288659805E-2</v>
      </c>
      <c r="R419" s="5">
        <f>(Cotacoes!R419-Cotacoes!R418)/Cotacoes!R418</f>
        <v>-1.1794708320051035E-2</v>
      </c>
      <c r="S419" s="5">
        <f>(Cotacoes!S419-Cotacoes!S418)/Cotacoes!S418</f>
        <v>-1.9814241486068022E-2</v>
      </c>
      <c r="T419" s="5">
        <f>(Cotacoes!T419-Cotacoes!T418)/Cotacoes!T418</f>
        <v>1.333624836029732E-2</v>
      </c>
      <c r="U419" s="5">
        <f>(Cotacoes!U419-Cotacoes!U418)/Cotacoes!U418</f>
        <v>-3.5750766087844885E-3</v>
      </c>
      <c r="V419" s="5">
        <f>(Cotacoes!V419-Cotacoes!V418)/Cotacoes!V418</f>
        <v>7.3206442166909129E-4</v>
      </c>
      <c r="W419" s="5"/>
    </row>
    <row r="420" spans="1:23" x14ac:dyDescent="0.2">
      <c r="A420" s="4">
        <v>45170</v>
      </c>
      <c r="B420" s="5">
        <f>(Cotacoes!B420-Cotacoes!B419)/Cotacoes!B419</f>
        <v>-1.0200958890135092E-3</v>
      </c>
      <c r="C420" s="5">
        <f>(Cotacoes!C420-Cotacoes!C419)/Cotacoes!C419</f>
        <v>5.8575100991553393E-2</v>
      </c>
      <c r="D420" s="5">
        <f>(Cotacoes!D420-Cotacoes!D419)/Cotacoes!D419</f>
        <v>2.1448806151355627E-2</v>
      </c>
      <c r="E420" s="5">
        <f>(Cotacoes!E420-Cotacoes!E419)/Cotacoes!E419</f>
        <v>8.8289962825279407E-3</v>
      </c>
      <c r="F420" s="5">
        <f>(Cotacoes!F420-Cotacoes!F419)/Cotacoes!F419</f>
        <v>3.3124769966875175E-2</v>
      </c>
      <c r="G420" s="5">
        <f>(Cotacoes!G420-Cotacoes!G419)/Cotacoes!G419</f>
        <v>1.7351069982649589E-3</v>
      </c>
      <c r="H420" s="5">
        <f>(Cotacoes!H420-Cotacoes!H419)/Cotacoes!H419</f>
        <v>6.8661108386464231E-3</v>
      </c>
      <c r="I420" s="5">
        <f>(Cotacoes!I420-Cotacoes!I419)/Cotacoes!I419</f>
        <v>3.7499999999999201E-3</v>
      </c>
      <c r="J420" s="5">
        <f>(Cotacoes!J420-Cotacoes!J419)/Cotacoes!J419</f>
        <v>1.3812154696132548E-2</v>
      </c>
      <c r="K420" s="5">
        <f>(Cotacoes!K420-Cotacoes!K419)/Cotacoes!K419</f>
        <v>2.3734177215189367E-3</v>
      </c>
      <c r="L420" s="5">
        <f>(Cotacoes!L420-Cotacoes!L419)/Cotacoes!L419</f>
        <v>4.0950040950040074E-3</v>
      </c>
      <c r="M420" s="5">
        <f>(Cotacoes!M420-Cotacoes!M419)/Cotacoes!M419</f>
        <v>1.6326530612244549E-3</v>
      </c>
      <c r="N420" s="5">
        <f>(Cotacoes!N420-Cotacoes!N419)/Cotacoes!N419</f>
        <v>9.9150141643059905E-3</v>
      </c>
      <c r="O420" s="5">
        <f>(Cotacoes!O420-Cotacoes!O419)/Cotacoes!O419</f>
        <v>5.9782608695653798E-3</v>
      </c>
      <c r="P420" s="5">
        <f>(Cotacoes!P420-Cotacoes!P419)/Cotacoes!P419</f>
        <v>1.5921931176168583E-2</v>
      </c>
      <c r="Q420" s="5">
        <f>(Cotacoes!Q420-Cotacoes!Q419)/Cotacoes!Q419</f>
        <v>1.8804847471792698E-2</v>
      </c>
      <c r="R420" s="5">
        <f>(Cotacoes!R420-Cotacoes!R419)/Cotacoes!R419</f>
        <v>-5.1612903225806495E-3</v>
      </c>
      <c r="S420" s="5">
        <f>(Cotacoes!S420-Cotacoes!S419)/Cotacoes!S419</f>
        <v>7.5805432722677963E-3</v>
      </c>
      <c r="T420" s="5">
        <f>(Cotacoes!T420-Cotacoes!T419)/Cotacoes!T419</f>
        <v>1.1218985976267443E-2</v>
      </c>
      <c r="U420" s="5">
        <f>(Cotacoes!U420-Cotacoes!U419)/Cotacoes!U419</f>
        <v>7.6883649410557954E-3</v>
      </c>
      <c r="V420" s="5">
        <f>(Cotacoes!V420-Cotacoes!V419)/Cotacoes!V419</f>
        <v>6.9495245062180426E-3</v>
      </c>
      <c r="W420" s="5"/>
    </row>
    <row r="421" spans="1:23" x14ac:dyDescent="0.2">
      <c r="A421" s="4">
        <v>45173</v>
      </c>
      <c r="B421" s="5">
        <f>(Cotacoes!B421-Cotacoes!B420)/Cotacoes!B420</f>
        <v>-1.021137547228134E-4</v>
      </c>
      <c r="C421" s="5">
        <f>(Cotacoes!C421-Cotacoes!C420)/Cotacoes!C420</f>
        <v>7.458803122289674E-3</v>
      </c>
      <c r="D421" s="5">
        <f>(Cotacoes!D421-Cotacoes!D420)/Cotacoes!D420</f>
        <v>-1.030110935023764E-2</v>
      </c>
      <c r="E421" s="5">
        <f>(Cotacoes!E421-Cotacoes!E420)/Cotacoes!E420</f>
        <v>-9.2123445416858254E-3</v>
      </c>
      <c r="F421" s="5">
        <f>(Cotacoes!F421-Cotacoes!F420)/Cotacoes!F420</f>
        <v>-1.3537584609903777E-2</v>
      </c>
      <c r="G421" s="5">
        <f>(Cotacoes!G421-Cotacoes!G420)/Cotacoes!G420</f>
        <v>5.1963048498845183E-3</v>
      </c>
      <c r="H421" s="5">
        <f>(Cotacoes!H421-Cotacoes!H420)/Cotacoes!H420</f>
        <v>-3.4096444227959223E-3</v>
      </c>
      <c r="I421" s="5">
        <f>(Cotacoes!I421-Cotacoes!I420)/Cotacoes!I420</f>
        <v>-4.3586550435864577E-3</v>
      </c>
      <c r="J421" s="5">
        <f>(Cotacoes!J421-Cotacoes!J420)/Cotacoes!J420</f>
        <v>2.2138964577657111E-3</v>
      </c>
      <c r="K421" s="5">
        <f>(Cotacoes!K421-Cotacoes!K420)/Cotacoes!K420</f>
        <v>-4.7355958958169297E-3</v>
      </c>
      <c r="L421" s="5">
        <f>(Cotacoes!L421-Cotacoes!L420)/Cotacoes!L420</f>
        <v>5.7096247960848516E-3</v>
      </c>
      <c r="M421" s="5">
        <f>(Cotacoes!M421-Cotacoes!M420)/Cotacoes!M420</f>
        <v>-8.1499592502035751E-4</v>
      </c>
      <c r="N421" s="5">
        <f>(Cotacoes!N421-Cotacoes!N420)/Cotacoes!N420</f>
        <v>-9.8176718092567016E-3</v>
      </c>
      <c r="O421" s="5">
        <f>(Cotacoes!O421-Cotacoes!O420)/Cotacoes!O420</f>
        <v>4.8622366288492624E-3</v>
      </c>
      <c r="P421" s="5">
        <f>(Cotacoes!P421-Cotacoes!P420)/Cotacoes!P420</f>
        <v>9.1001011122345647E-3</v>
      </c>
      <c r="Q421" s="5">
        <f>(Cotacoes!Q421-Cotacoes!Q420)/Cotacoes!Q420</f>
        <v>-2.4610336341262806E-3</v>
      </c>
      <c r="R421" s="5">
        <f>(Cotacoes!R421-Cotacoes!R420)/Cotacoes!R420</f>
        <v>-1.6536964980544799E-2</v>
      </c>
      <c r="S421" s="5">
        <f>(Cotacoes!S421-Cotacoes!S420)/Cotacoes!S420</f>
        <v>4.0752351097179491E-3</v>
      </c>
      <c r="T421" s="5">
        <f>(Cotacoes!T421-Cotacoes!T420)/Cotacoes!T420</f>
        <v>-7.0407510134413978E-3</v>
      </c>
      <c r="U421" s="5">
        <f>(Cotacoes!U421-Cotacoes!U420)/Cotacoes!U420</f>
        <v>-5.9342149881314744E-3</v>
      </c>
      <c r="V421" s="5">
        <f>(Cotacoes!V421-Cotacoes!V420)/Cotacoes!V420</f>
        <v>8.354522339266271E-3</v>
      </c>
      <c r="W421" s="5"/>
    </row>
    <row r="422" spans="1:23" x14ac:dyDescent="0.2">
      <c r="A422" s="4">
        <v>45174</v>
      </c>
      <c r="B422" s="5">
        <f>(Cotacoes!B422-Cotacoes!B421)/Cotacoes!B421</f>
        <v>-1.1642156862745104E-2</v>
      </c>
      <c r="C422" s="5">
        <f>(Cotacoes!C422-Cotacoes!C421)/Cotacoes!C421</f>
        <v>-4.3044077134986227E-3</v>
      </c>
      <c r="D422" s="5">
        <f>(Cotacoes!D422-Cotacoes!D421)/Cotacoes!D421</f>
        <v>3.3626901521216966E-2</v>
      </c>
      <c r="E422" s="5">
        <f>(Cotacoes!E422-Cotacoes!E421)/Cotacoes!E421</f>
        <v>-1.487680148768016E-2</v>
      </c>
      <c r="F422" s="5">
        <f>(Cotacoes!F422-Cotacoes!F421)/Cotacoes!F421</f>
        <v>4.5864933188876834E-2</v>
      </c>
      <c r="G422" s="5">
        <f>(Cotacoes!G422-Cotacoes!G421)/Cotacoes!G421</f>
        <v>-6.0310166570936487E-3</v>
      </c>
      <c r="H422" s="5">
        <f>(Cotacoes!H422-Cotacoes!H421)/Cotacoes!H421</f>
        <v>-3.42130987292279E-3</v>
      </c>
      <c r="I422" s="5">
        <f>(Cotacoes!I422-Cotacoes!I421)/Cotacoes!I421</f>
        <v>-8.7554721701063511E-3</v>
      </c>
      <c r="J422" s="5">
        <f>(Cotacoes!J422-Cotacoes!J421)/Cotacoes!J421</f>
        <v>-4.7578589634664596E-3</v>
      </c>
      <c r="K422" s="5">
        <f>(Cotacoes!K422-Cotacoes!K421)/Cotacoes!K421</f>
        <v>-2.1411578112609006E-2</v>
      </c>
      <c r="L422" s="5">
        <f>(Cotacoes!L422-Cotacoes!L421)/Cotacoes!L421</f>
        <v>-2.1897810218978069E-2</v>
      </c>
      <c r="M422" s="5">
        <f>(Cotacoes!M422-Cotacoes!M421)/Cotacoes!M421</f>
        <v>1.1419249592169703E-2</v>
      </c>
      <c r="N422" s="5">
        <f>(Cotacoes!N422-Cotacoes!N421)/Cotacoes!N421</f>
        <v>-1.2747875354107629E-2</v>
      </c>
      <c r="O422" s="5">
        <f>(Cotacoes!O422-Cotacoes!O421)/Cotacoes!O421</f>
        <v>4.8387096774193472E-3</v>
      </c>
      <c r="P422" s="5">
        <f>(Cotacoes!P422-Cotacoes!P421)/Cotacoes!P421</f>
        <v>-2.7054108216432823E-2</v>
      </c>
      <c r="Q422" s="5">
        <f>(Cotacoes!Q422-Cotacoes!Q421)/Cotacoes!Q421</f>
        <v>-5.9621710526315611E-3</v>
      </c>
      <c r="R422" s="5">
        <f>(Cotacoes!R422-Cotacoes!R421)/Cotacoes!R421</f>
        <v>-9.5614902736564176E-3</v>
      </c>
      <c r="S422" s="5">
        <f>(Cotacoes!S422-Cotacoes!S421)/Cotacoes!S421</f>
        <v>-2.1854511395566743E-2</v>
      </c>
      <c r="T422" s="5">
        <f>(Cotacoes!T422-Cotacoes!T421)/Cotacoes!T421</f>
        <v>1.8693596905887355E-2</v>
      </c>
      <c r="U422" s="5">
        <f>(Cotacoes!U422-Cotacoes!U421)/Cotacoes!U421</f>
        <v>-1.8079481494115677E-2</v>
      </c>
      <c r="V422" s="5">
        <f>(Cotacoes!V422-Cotacoes!V421)/Cotacoes!V421</f>
        <v>-1.2608069164265181E-2</v>
      </c>
      <c r="W422" s="5"/>
    </row>
    <row r="423" spans="1:23" x14ac:dyDescent="0.2">
      <c r="A423" s="4">
        <v>45175</v>
      </c>
      <c r="B423" s="5">
        <f>(Cotacoes!B423-Cotacoes!B422)/Cotacoes!B422</f>
        <v>-8.6794792312461597E-3</v>
      </c>
      <c r="C423" s="5">
        <f>(Cotacoes!C423-Cotacoes!C422)/Cotacoes!C422</f>
        <v>-1.5908697907660415E-2</v>
      </c>
      <c r="D423" s="5">
        <f>(Cotacoes!D423-Cotacoes!D422)/Cotacoes!D422</f>
        <v>4.2602633617350666E-3</v>
      </c>
      <c r="E423" s="5">
        <f>(Cotacoes!E423-Cotacoes!E422)/Cotacoes!E422</f>
        <v>-9.9103350637093357E-3</v>
      </c>
      <c r="F423" s="5">
        <f>(Cotacoes!F423-Cotacoes!F422)/Cotacoes!F422</f>
        <v>4.8342541436464286E-3</v>
      </c>
      <c r="G423" s="5">
        <f>(Cotacoes!G423-Cotacoes!G422)/Cotacoes!G422</f>
        <v>-1.0112684195319313E-2</v>
      </c>
      <c r="H423" s="5">
        <f>(Cotacoes!H423-Cotacoes!H422)/Cotacoes!H422</f>
        <v>-6.8661108386464231E-3</v>
      </c>
      <c r="I423" s="5">
        <f>(Cotacoes!I423-Cotacoes!I422)/Cotacoes!I422</f>
        <v>-2.1451104100946364E-2</v>
      </c>
      <c r="J423" s="5">
        <f>(Cotacoes!J423-Cotacoes!J422)/Cotacoes!J422</f>
        <v>-1.2122246884070358E-2</v>
      </c>
      <c r="K423" s="5">
        <f>(Cotacoes!K423-Cotacoes!K422)/Cotacoes!K422</f>
        <v>-1.3776337115072928E-2</v>
      </c>
      <c r="L423" s="5">
        <f>(Cotacoes!L423-Cotacoes!L422)/Cotacoes!L422</f>
        <v>-1.8242122719734712E-2</v>
      </c>
      <c r="M423" s="5">
        <f>(Cotacoes!M423-Cotacoes!M422)/Cotacoes!M422</f>
        <v>-2.419354838709769E-3</v>
      </c>
      <c r="N423" s="5">
        <f>(Cotacoes!N423-Cotacoes!N422)/Cotacoes!N422</f>
        <v>-1.291248206599711E-2</v>
      </c>
      <c r="O423" s="5">
        <f>(Cotacoes!O423-Cotacoes!O422)/Cotacoes!O422</f>
        <v>-7.4906367041198798E-3</v>
      </c>
      <c r="P423" s="5">
        <f>(Cotacoes!P423-Cotacoes!P422)/Cotacoes!P422</f>
        <v>-1.5447991761071646E-3</v>
      </c>
      <c r="Q423" s="5">
        <f>(Cotacoes!Q423-Cotacoes!Q422)/Cotacoes!Q422</f>
        <v>-1.5925542916235845E-2</v>
      </c>
      <c r="R423" s="5">
        <f>(Cotacoes!R423-Cotacoes!R422)/Cotacoes!R422</f>
        <v>-1.59786950732357E-2</v>
      </c>
      <c r="S423" s="5">
        <f>(Cotacoes!S423-Cotacoes!S422)/Cotacoes!S422</f>
        <v>-2.010852218321095E-2</v>
      </c>
      <c r="T423" s="5">
        <f>(Cotacoes!T423-Cotacoes!T422)/Cotacoes!T422</f>
        <v>-1.4764817549040198E-2</v>
      </c>
      <c r="U423" s="5">
        <f>(Cotacoes!U423-Cotacoes!U422)/Cotacoes!U422</f>
        <v>-2.6055237102657634E-2</v>
      </c>
      <c r="V423" s="5">
        <f>(Cotacoes!V423-Cotacoes!V422)/Cotacoes!V422</f>
        <v>-1.4228383801532308E-2</v>
      </c>
      <c r="W423" s="5"/>
    </row>
    <row r="424" spans="1:23" x14ac:dyDescent="0.2">
      <c r="A424" s="4">
        <v>45177</v>
      </c>
      <c r="B424" s="5">
        <f>(Cotacoes!B424-Cotacoes!B423)/Cotacoes!B423</f>
        <v>1.6260162601626039E-2</v>
      </c>
      <c r="C424" s="5">
        <f>(Cotacoes!C424-Cotacoes!C423)/Cotacoes!C423</f>
        <v>-1.8977332630469131E-2</v>
      </c>
      <c r="D424" s="5">
        <f>(Cotacoes!D424-Cotacoes!D423)/Cotacoes!D423</f>
        <v>-3.470883146934048E-3</v>
      </c>
      <c r="E424" s="5">
        <f>(Cotacoes!E424-Cotacoes!E423)/Cotacoes!E423</f>
        <v>1.9065776930409508E-3</v>
      </c>
      <c r="F424" s="5">
        <f>(Cotacoes!F424-Cotacoes!F423)/Cotacoes!F423</f>
        <v>-7.9037800687285359E-3</v>
      </c>
      <c r="G424" s="5">
        <f>(Cotacoes!G424-Cotacoes!G423)/Cotacoes!G423</f>
        <v>-4.3782837127845468E-3</v>
      </c>
      <c r="H424" s="5">
        <f>(Cotacoes!H424-Cotacoes!H423)/Cotacoes!H423</f>
        <v>-2.9629629629628999E-3</v>
      </c>
      <c r="I424" s="5">
        <f>(Cotacoes!I424-Cotacoes!I423)/Cotacoes!I423</f>
        <v>5.8027079303674955E-3</v>
      </c>
      <c r="J424" s="5">
        <f>(Cotacoes!J424-Cotacoes!J423)/Cotacoes!J423</f>
        <v>-3.1109574835810529E-3</v>
      </c>
      <c r="K424" s="5">
        <f>(Cotacoes!K424-Cotacoes!K423)/Cotacoes!K423</f>
        <v>0</v>
      </c>
      <c r="L424" s="5">
        <f>(Cotacoes!L424-Cotacoes!L423)/Cotacoes!L423</f>
        <v>0</v>
      </c>
      <c r="M424" s="5">
        <f>(Cotacoes!M424-Cotacoes!M423)/Cotacoes!M423</f>
        <v>-2.021018593371059E-2</v>
      </c>
      <c r="N424" s="5">
        <f>(Cotacoes!N424-Cotacoes!N423)/Cotacoes!N423</f>
        <v>0</v>
      </c>
      <c r="O424" s="5">
        <f>(Cotacoes!O424-Cotacoes!O423)/Cotacoes!O423</f>
        <v>-6.4690026954178428E-3</v>
      </c>
      <c r="P424" s="5">
        <f>(Cotacoes!P424-Cotacoes!P423)/Cotacoes!P423</f>
        <v>-5.0025786487880287E-2</v>
      </c>
      <c r="Q424" s="5">
        <f>(Cotacoes!Q424-Cotacoes!Q423)/Cotacoes!Q423</f>
        <v>-2.1227406473308071E-2</v>
      </c>
      <c r="R424" s="5">
        <f>(Cotacoes!R424-Cotacoes!R423)/Cotacoes!R423</f>
        <v>-9.8105548037888748E-3</v>
      </c>
      <c r="S424" s="5">
        <f>(Cotacoes!S424-Cotacoes!S423)/Cotacoes!S423</f>
        <v>1.4657980456026036E-2</v>
      </c>
      <c r="T424" s="5">
        <f>(Cotacoes!T424-Cotacoes!T423)/Cotacoes!T423</f>
        <v>1.4986084350246108E-2</v>
      </c>
      <c r="U424" s="5">
        <f>(Cotacoes!U424-Cotacoes!U423)/Cotacoes!U423</f>
        <v>-3.9236668450151396E-3</v>
      </c>
      <c r="V424" s="5">
        <f>(Cotacoes!V424-Cotacoes!V423)/Cotacoes!V423</f>
        <v>-2.5906735751295442E-3</v>
      </c>
      <c r="W424" s="5"/>
    </row>
    <row r="425" spans="1:23" x14ac:dyDescent="0.2">
      <c r="A425" s="4">
        <v>45180</v>
      </c>
      <c r="B425" s="5">
        <f>(Cotacoes!B425-Cotacoes!B424)/Cotacoes!B424</f>
        <v>5.5384615384616023E-3</v>
      </c>
      <c r="C425" s="5">
        <f>(Cotacoes!C425-Cotacoes!C424)/Cotacoes!C424</f>
        <v>1.4329213684399145E-2</v>
      </c>
      <c r="D425" s="5">
        <f>(Cotacoes!D425-Cotacoes!D424)/Cotacoes!D424</f>
        <v>-7.7399380804951906E-4</v>
      </c>
      <c r="E425" s="5">
        <f>(Cotacoes!E425-Cotacoes!E424)/Cotacoes!E424</f>
        <v>2.5214081826831644E-2</v>
      </c>
      <c r="F425" s="5">
        <f>(Cotacoes!F425-Cotacoes!F424)/Cotacoes!F424</f>
        <v>-6.5812261863526589E-3</v>
      </c>
      <c r="G425" s="5">
        <f>(Cotacoes!G425-Cotacoes!G424)/Cotacoes!G424</f>
        <v>-3.2248607446496462E-3</v>
      </c>
      <c r="H425" s="5">
        <f>(Cotacoes!H425-Cotacoes!H424)/Cotacoes!H424</f>
        <v>1.5849430411094614E-2</v>
      </c>
      <c r="I425" s="5">
        <f>(Cotacoes!I425-Cotacoes!I424)/Cotacoes!I424</f>
        <v>2.2435897435897415E-2</v>
      </c>
      <c r="J425" s="5">
        <f>(Cotacoes!J425-Cotacoes!J424)/Cotacoes!J424</f>
        <v>2.2884882108183083E-2</v>
      </c>
      <c r="K425" s="5">
        <f>(Cotacoes!K425-Cotacoes!K424)/Cotacoes!K424</f>
        <v>1.889893179950702E-2</v>
      </c>
      <c r="L425" s="5">
        <f>(Cotacoes!L425-Cotacoes!L424)/Cotacoes!L424</f>
        <v>2.9560810810810779E-2</v>
      </c>
      <c r="M425" s="5">
        <f>(Cotacoes!M425-Cotacoes!M424)/Cotacoes!M424</f>
        <v>1.2376237623762406E-2</v>
      </c>
      <c r="N425" s="5">
        <f>(Cotacoes!N425-Cotacoes!N424)/Cotacoes!N424</f>
        <v>2.4709302325581384E-2</v>
      </c>
      <c r="O425" s="5">
        <f>(Cotacoes!O425-Cotacoes!O424)/Cotacoes!O424</f>
        <v>1.5735214324470927E-2</v>
      </c>
      <c r="P425" s="5">
        <f>(Cotacoes!P425-Cotacoes!P424)/Cotacoes!P424</f>
        <v>-6.5146579804560793E-3</v>
      </c>
      <c r="Q425" s="5">
        <f>(Cotacoes!Q425-Cotacoes!Q424)/Cotacoes!Q424</f>
        <v>2.3835086965857837E-2</v>
      </c>
      <c r="R425" s="5">
        <f>(Cotacoes!R425-Cotacoes!R424)/Cotacoes!R424</f>
        <v>1.0591048855483386E-2</v>
      </c>
      <c r="S425" s="5">
        <f>(Cotacoes!S425-Cotacoes!S424)/Cotacoes!S424</f>
        <v>2.086677367576251E-2</v>
      </c>
      <c r="T425" s="5">
        <f>(Cotacoes!T425-Cotacoes!T424)/Cotacoes!T424</f>
        <v>4.6403712296985023E-3</v>
      </c>
      <c r="U425" s="5">
        <f>(Cotacoes!U425-Cotacoes!U424)/Cotacoes!U424</f>
        <v>1.4682184422560434E-2</v>
      </c>
      <c r="V425" s="5">
        <f>(Cotacoes!V425-Cotacoes!V424)/Cotacoes!V424</f>
        <v>4.0074211502783001E-2</v>
      </c>
      <c r="W425" s="5"/>
    </row>
    <row r="426" spans="1:23" x14ac:dyDescent="0.2">
      <c r="A426" s="4">
        <v>45181</v>
      </c>
      <c r="B426" s="5">
        <f>(Cotacoes!B426-Cotacoes!B425)/Cotacoes!B425</f>
        <v>4.9979600163198171E-3</v>
      </c>
      <c r="C426" s="5">
        <f>(Cotacoes!C426-Cotacoes!C425)/Cotacoes!C425</f>
        <v>-7.0633939607980128E-4</v>
      </c>
      <c r="D426" s="5">
        <f>(Cotacoes!D426-Cotacoes!D425)/Cotacoes!D425</f>
        <v>4.6475600309837722E-3</v>
      </c>
      <c r="E426" s="5">
        <f>(Cotacoes!E426-Cotacoes!E425)/Cotacoes!E425</f>
        <v>5.5684454756380966E-3</v>
      </c>
      <c r="F426" s="5">
        <f>(Cotacoes!F426-Cotacoes!F425)/Cotacoes!F425</f>
        <v>1.0808926080892563E-2</v>
      </c>
      <c r="G426" s="5">
        <f>(Cotacoes!G426-Cotacoes!G425)/Cotacoes!G425</f>
        <v>1.0294117647058865E-2</v>
      </c>
      <c r="H426" s="5">
        <f>(Cotacoes!H426-Cotacoes!H425)/Cotacoes!H425</f>
        <v>4.3881033642125724E-3</v>
      </c>
      <c r="I426" s="5">
        <f>(Cotacoes!I426-Cotacoes!I425)/Cotacoes!I425</f>
        <v>2.1003134796238297E-2</v>
      </c>
      <c r="J426" s="5">
        <f>(Cotacoes!J426-Cotacoes!J425)/Cotacoes!J425</f>
        <v>8.1355932203389294E-3</v>
      </c>
      <c r="K426" s="5">
        <f>(Cotacoes!K426-Cotacoes!K425)/Cotacoes!K425</f>
        <v>1.2096774193548416E-2</v>
      </c>
      <c r="L426" s="5">
        <f>(Cotacoes!L426-Cotacoes!L425)/Cotacoes!L425</f>
        <v>1.9688269073010682E-2</v>
      </c>
      <c r="M426" s="5">
        <f>(Cotacoes!M426-Cotacoes!M425)/Cotacoes!M425</f>
        <v>-1.140994295028515E-2</v>
      </c>
      <c r="N426" s="5">
        <f>(Cotacoes!N426-Cotacoes!N425)/Cotacoes!N425</f>
        <v>4.2553191489362058E-3</v>
      </c>
      <c r="O426" s="5">
        <f>(Cotacoes!O426-Cotacoes!O425)/Cotacoes!O425</f>
        <v>1.2820512820512928E-2</v>
      </c>
      <c r="P426" s="5">
        <f>(Cotacoes!P426-Cotacoes!P425)/Cotacoes!P425</f>
        <v>-1.147540983606562E-2</v>
      </c>
      <c r="Q426" s="5">
        <f>(Cotacoes!Q426-Cotacoes!Q425)/Cotacoes!Q425</f>
        <v>6.0822147651006537E-3</v>
      </c>
      <c r="R426" s="5">
        <f>(Cotacoes!R426-Cotacoes!R425)/Cotacoes!R425</f>
        <v>2.1636240703177843E-2</v>
      </c>
      <c r="S426" s="5">
        <f>(Cotacoes!S426-Cotacoes!S425)/Cotacoes!S425</f>
        <v>1.6352201257861621E-2</v>
      </c>
      <c r="T426" s="5">
        <f>(Cotacoes!T426-Cotacoes!T425)/Cotacoes!T425</f>
        <v>8.3980684442577901E-3</v>
      </c>
      <c r="U426" s="5">
        <f>(Cotacoes!U426-Cotacoes!U425)/Cotacoes!U425</f>
        <v>1.5352038115404931E-2</v>
      </c>
      <c r="V426" s="5">
        <f>(Cotacoes!V426-Cotacoes!V425)/Cotacoes!V425</f>
        <v>-1.0346057795219504E-2</v>
      </c>
      <c r="W426" s="5"/>
    </row>
    <row r="427" spans="1:23" x14ac:dyDescent="0.2">
      <c r="A427" s="4">
        <v>45182</v>
      </c>
      <c r="B427" s="5">
        <f>(Cotacoes!B427-Cotacoes!B426)/Cotacoes!B426</f>
        <v>9.3372576880138194E-3</v>
      </c>
      <c r="C427" s="5">
        <f>(Cotacoes!C427-Cotacoes!C426)/Cotacoes!C426</f>
        <v>-3.8876126524121923E-3</v>
      </c>
      <c r="D427" s="5">
        <f>(Cotacoes!D427-Cotacoes!D426)/Cotacoes!D426</f>
        <v>-1.5034695451040884E-2</v>
      </c>
      <c r="E427" s="5">
        <f>(Cotacoes!E427-Cotacoes!E426)/Cotacoes!E426</f>
        <v>5.076142131979669E-3</v>
      </c>
      <c r="F427" s="5">
        <f>(Cotacoes!F427-Cotacoes!F426)/Cotacoes!F426</f>
        <v>-1.3107968264918904E-2</v>
      </c>
      <c r="G427" s="5">
        <f>(Cotacoes!G427-Cotacoes!G426)/Cotacoes!G426</f>
        <v>3.6098981077147076E-2</v>
      </c>
      <c r="H427" s="5">
        <f>(Cotacoes!H427-Cotacoes!H426)/Cotacoes!H426</f>
        <v>-9.7087378640791874E-4</v>
      </c>
      <c r="I427" s="5">
        <f>(Cotacoes!I427-Cotacoes!I426)/Cotacoes!I426</f>
        <v>1.565858151673313E-2</v>
      </c>
      <c r="J427" s="5">
        <f>(Cotacoes!J427-Cotacoes!J426)/Cotacoes!J426</f>
        <v>1.0087424344317442E-2</v>
      </c>
      <c r="K427" s="5">
        <f>(Cotacoes!K427-Cotacoes!K426)/Cotacoes!K426</f>
        <v>3.9840637450198352E-3</v>
      </c>
      <c r="L427" s="5">
        <f>(Cotacoes!L427-Cotacoes!L426)/Cotacoes!L426</f>
        <v>3.2180209171360358E-3</v>
      </c>
      <c r="M427" s="5">
        <f>(Cotacoes!M427-Cotacoes!M426)/Cotacoes!M426</f>
        <v>-4.9464138499588205E-3</v>
      </c>
      <c r="N427" s="5">
        <f>(Cotacoes!N427-Cotacoes!N426)/Cotacoes!N426</f>
        <v>0</v>
      </c>
      <c r="O427" s="5">
        <f>(Cotacoes!O427-Cotacoes!O426)/Cotacoes!O426</f>
        <v>3.691983122362884E-3</v>
      </c>
      <c r="P427" s="5">
        <f>(Cotacoes!P427-Cotacoes!P426)/Cotacoes!P426</f>
        <v>8.8446655610834798E-3</v>
      </c>
      <c r="Q427" s="5">
        <f>(Cotacoes!Q427-Cotacoes!Q426)/Cotacoes!Q426</f>
        <v>-4.1692724619545594E-4</v>
      </c>
      <c r="R427" s="5">
        <f>(Cotacoes!R427-Cotacoes!R426)/Cotacoes!R426</f>
        <v>3.7392455327597704E-2</v>
      </c>
      <c r="S427" s="5">
        <f>(Cotacoes!S427-Cotacoes!S426)/Cotacoes!S426</f>
        <v>2.5990099009900874E-2</v>
      </c>
      <c r="T427" s="5">
        <f>(Cotacoes!T427-Cotacoes!T426)/Cotacoes!T426</f>
        <v>1.8738288569643204E-3</v>
      </c>
      <c r="U427" s="5">
        <f>(Cotacoes!U427-Cotacoes!U426)/Cotacoes!U426</f>
        <v>1.2165450121654551E-2</v>
      </c>
      <c r="V427" s="5">
        <f>(Cotacoes!V427-Cotacoes!V426)/Cotacoes!V426</f>
        <v>1.0093727469358368E-2</v>
      </c>
      <c r="W427" s="5"/>
    </row>
    <row r="428" spans="1:23" x14ac:dyDescent="0.2">
      <c r="A428" s="4">
        <v>45183</v>
      </c>
      <c r="B428" s="5">
        <f>(Cotacoes!B428-Cotacoes!B427)/Cotacoes!B427</f>
        <v>-4.8265460030166314E-3</v>
      </c>
      <c r="C428" s="5">
        <f>(Cotacoes!C428-Cotacoes!C427)/Cotacoes!C427</f>
        <v>4.0979244278871785E-2</v>
      </c>
      <c r="D428" s="5">
        <f>(Cotacoes!D428-Cotacoes!D427)/Cotacoes!D427</f>
        <v>2.5440313111545931E-2</v>
      </c>
      <c r="E428" s="5">
        <f>(Cotacoes!E428-Cotacoes!E427)/Cotacoes!E427</f>
        <v>-3.6730945821855758E-3</v>
      </c>
      <c r="F428" s="5">
        <f>(Cotacoes!F428-Cotacoes!F427)/Cotacoes!F427</f>
        <v>2.936036350926249E-2</v>
      </c>
      <c r="G428" s="5">
        <f>(Cotacoes!G428-Cotacoes!G427)/Cotacoes!G427</f>
        <v>-2.3040179825793768E-2</v>
      </c>
      <c r="H428" s="5">
        <f>(Cotacoes!H428-Cotacoes!H427)/Cotacoes!H427</f>
        <v>2.9154518950438423E-3</v>
      </c>
      <c r="I428" s="5">
        <f>(Cotacoes!I428-Cotacoes!I427)/Cotacoes!I427</f>
        <v>3.022974607013344E-3</v>
      </c>
      <c r="J428" s="5">
        <f>(Cotacoes!J428-Cotacoes!J427)/Cotacoes!J427</f>
        <v>2.0472703062583288E-2</v>
      </c>
      <c r="K428" s="5">
        <f>(Cotacoes!K428-Cotacoes!K427)/Cotacoes!K427</f>
        <v>3.9682539682540244E-3</v>
      </c>
      <c r="L428" s="5">
        <f>(Cotacoes!L428-Cotacoes!L427)/Cotacoes!L427</f>
        <v>7.217321571772242E-3</v>
      </c>
      <c r="M428" s="5">
        <f>(Cotacoes!M428-Cotacoes!M427)/Cotacoes!M427</f>
        <v>-8.2850041425020417E-3</v>
      </c>
      <c r="N428" s="5">
        <f>(Cotacoes!N428-Cotacoes!N427)/Cotacoes!N427</f>
        <v>7.0621468926553421E-3</v>
      </c>
      <c r="O428" s="5">
        <f>(Cotacoes!O428-Cotacoes!O427)/Cotacoes!O427</f>
        <v>-2.6274303730951503E-3</v>
      </c>
      <c r="P428" s="5">
        <f>(Cotacoes!P428-Cotacoes!P427)/Cotacoes!P427</f>
        <v>-2.6301369863013721E-2</v>
      </c>
      <c r="Q428" s="5">
        <f>(Cotacoes!Q428-Cotacoes!Q427)/Cotacoes!Q427</f>
        <v>1.9603753910323204E-2</v>
      </c>
      <c r="R428" s="5">
        <f>(Cotacoes!R428-Cotacoes!R427)/Cotacoes!R427</f>
        <v>2.3285486443381079E-2</v>
      </c>
      <c r="S428" s="5">
        <f>(Cotacoes!S428-Cotacoes!S427)/Cotacoes!S427</f>
        <v>6.9360675512667074E-3</v>
      </c>
      <c r="T428" s="5">
        <f>(Cotacoes!T428-Cotacoes!T427)/Cotacoes!T427</f>
        <v>2.1820448877805577E-2</v>
      </c>
      <c r="U428" s="5">
        <f>(Cotacoes!U428-Cotacoes!U427)/Cotacoes!U427</f>
        <v>-1.7685439560439581E-2</v>
      </c>
      <c r="V428" s="5">
        <f>(Cotacoes!V428-Cotacoes!V427)/Cotacoes!V427</f>
        <v>-2.4982155603140589E-2</v>
      </c>
      <c r="W428" s="5"/>
    </row>
    <row r="429" spans="1:23" x14ac:dyDescent="0.2">
      <c r="A429" s="4">
        <v>45184</v>
      </c>
      <c r="B429" s="5">
        <f>(Cotacoes!B429-Cotacoes!B428)/Cotacoes!B428</f>
        <v>-5.7593210063654962E-3</v>
      </c>
      <c r="C429" s="5">
        <f>(Cotacoes!C429-Cotacoes!C428)/Cotacoes!C428</f>
        <v>-8.3503749147921264E-3</v>
      </c>
      <c r="D429" s="5">
        <f>(Cotacoes!D429-Cotacoes!D428)/Cotacoes!D428</f>
        <v>7.6335877862593793E-4</v>
      </c>
      <c r="E429" s="5">
        <f>(Cotacoes!E429-Cotacoes!E428)/Cotacoes!E428</f>
        <v>-2.304147465437821E-3</v>
      </c>
      <c r="F429" s="5">
        <f>(Cotacoes!F429-Cotacoes!F428)/Cotacoes!F428</f>
        <v>-1.4601018675721552E-2</v>
      </c>
      <c r="G429" s="5">
        <f>(Cotacoes!G429-Cotacoes!G428)/Cotacoes!G428</f>
        <v>5.7520851308587913E-4</v>
      </c>
      <c r="H429" s="5">
        <f>(Cotacoes!H429-Cotacoes!H428)/Cotacoes!H428</f>
        <v>3.3914728682170681E-3</v>
      </c>
      <c r="I429" s="5">
        <f>(Cotacoes!I429-Cotacoes!I428)/Cotacoes!I428</f>
        <v>-2.2302591922845148E-2</v>
      </c>
      <c r="J429" s="5">
        <f>(Cotacoes!J429-Cotacoes!J428)/Cotacoes!J428</f>
        <v>-2.104061327679007E-2</v>
      </c>
      <c r="K429" s="5">
        <f>(Cotacoes!K429-Cotacoes!K428)/Cotacoes!K428</f>
        <v>-1.5810276679841559E-3</v>
      </c>
      <c r="L429" s="5">
        <f>(Cotacoes!L429-Cotacoes!L428)/Cotacoes!L428</f>
        <v>-7.9617834394904181E-3</v>
      </c>
      <c r="M429" s="5">
        <f>(Cotacoes!M429-Cotacoes!M428)/Cotacoes!M428</f>
        <v>-8.3542188805347875E-3</v>
      </c>
      <c r="N429" s="5">
        <f>(Cotacoes!N429-Cotacoes!N428)/Cotacoes!N428</f>
        <v>0</v>
      </c>
      <c r="O429" s="5">
        <f>(Cotacoes!O429-Cotacoes!O428)/Cotacoes!O428</f>
        <v>-3.1612223393044634E-3</v>
      </c>
      <c r="P429" s="5">
        <f>(Cotacoes!P429-Cotacoes!P428)/Cotacoes!P428</f>
        <v>-3.939223410241997E-3</v>
      </c>
      <c r="Q429" s="5">
        <f>(Cotacoes!Q429-Cotacoes!Q428)/Cotacoes!Q428</f>
        <v>2.5363059930456167E-2</v>
      </c>
      <c r="R429" s="5">
        <f>(Cotacoes!R429-Cotacoes!R428)/Cotacoes!R428</f>
        <v>-2.3690773067331611E-2</v>
      </c>
      <c r="S429" s="5">
        <f>(Cotacoes!S429-Cotacoes!S428)/Cotacoes!S428</f>
        <v>1.7070979335130288E-2</v>
      </c>
      <c r="T429" s="5">
        <f>(Cotacoes!T429-Cotacoes!T428)/Cotacoes!T428</f>
        <v>3.0506406345332231E-3</v>
      </c>
      <c r="U429" s="5">
        <f>(Cotacoes!U429-Cotacoes!U428)/Cotacoes!U428</f>
        <v>-2.4646040901940284E-2</v>
      </c>
      <c r="V429" s="5">
        <f>(Cotacoes!V429-Cotacoes!V428)/Cotacoes!V428</f>
        <v>4.7584187408491584E-3</v>
      </c>
      <c r="W429" s="5"/>
    </row>
    <row r="430" spans="1:23" x14ac:dyDescent="0.2">
      <c r="A430" s="4">
        <v>45187</v>
      </c>
      <c r="B430" s="5">
        <f>(Cotacoes!B430-Cotacoes!B429)/Cotacoes!B429</f>
        <v>-1.7276422764227815E-3</v>
      </c>
      <c r="C430" s="5">
        <f>(Cotacoes!C430-Cotacoes!C429)/Cotacoes!C429</f>
        <v>-1.1685856676404876E-2</v>
      </c>
      <c r="D430" s="5">
        <f>(Cotacoes!D430-Cotacoes!D429)/Cotacoes!D429</f>
        <v>6.8649885583523919E-3</v>
      </c>
      <c r="E430" s="5">
        <f>(Cotacoes!E430-Cotacoes!E429)/Cotacoes!E429</f>
        <v>-2.3094688221707697E-3</v>
      </c>
      <c r="F430" s="5">
        <f>(Cotacoes!F430-Cotacoes!F429)/Cotacoes!F429</f>
        <v>1.2405237767057183E-2</v>
      </c>
      <c r="G430" s="5">
        <f>(Cotacoes!G430-Cotacoes!G429)/Cotacoes!G429</f>
        <v>-8.6231675768898286E-3</v>
      </c>
      <c r="H430" s="5">
        <f>(Cotacoes!H430-Cotacoes!H429)/Cotacoes!H429</f>
        <v>-4.3457267020762845E-3</v>
      </c>
      <c r="I430" s="5">
        <f>(Cotacoes!I430-Cotacoes!I429)/Cotacoes!I429</f>
        <v>-4.0073982737359884E-3</v>
      </c>
      <c r="J430" s="5">
        <f>(Cotacoes!J430-Cotacoes!J429)/Cotacoes!J429</f>
        <v>9.1636121292901895E-3</v>
      </c>
      <c r="K430" s="5">
        <f>(Cotacoes!K430-Cotacoes!K429)/Cotacoes!K429</f>
        <v>0</v>
      </c>
      <c r="L430" s="5">
        <f>(Cotacoes!L430-Cotacoes!L429)/Cotacoes!L429</f>
        <v>-8.8282504012842048E-3</v>
      </c>
      <c r="M430" s="5">
        <f>(Cotacoes!M430-Cotacoes!M429)/Cotacoes!M429</f>
        <v>-1.6849199663015648E-3</v>
      </c>
      <c r="N430" s="5">
        <f>(Cotacoes!N430-Cotacoes!N429)/Cotacoes!N429</f>
        <v>1.4025245441794932E-3</v>
      </c>
      <c r="O430" s="5">
        <f>(Cotacoes!O430-Cotacoes!O429)/Cotacoes!O429</f>
        <v>-1.3213530655391119E-2</v>
      </c>
      <c r="P430" s="5">
        <f>(Cotacoes!P430-Cotacoes!P429)/Cotacoes!P429</f>
        <v>1.2994350282485901E-2</v>
      </c>
      <c r="Q430" s="5">
        <f>(Cotacoes!Q430-Cotacoes!Q429)/Cotacoes!Q429</f>
        <v>-9.1761420307201434E-3</v>
      </c>
      <c r="R430" s="5">
        <f>(Cotacoes!R430-Cotacoes!R429)/Cotacoes!R429</f>
        <v>-1.6922094508301441E-2</v>
      </c>
      <c r="S430" s="5">
        <f>(Cotacoes!S430-Cotacoes!S429)/Cotacoes!S429</f>
        <v>-2.2968197879858689E-2</v>
      </c>
      <c r="T430" s="5">
        <f>(Cotacoes!T430-Cotacoes!T429)/Cotacoes!T429</f>
        <v>-2.5141930251419344E-2</v>
      </c>
      <c r="U430" s="5">
        <f>(Cotacoes!U430-Cotacoes!U429)/Cotacoes!U429</f>
        <v>-5.555555555555469E-3</v>
      </c>
      <c r="V430" s="5">
        <f>(Cotacoes!V430-Cotacoes!V429)/Cotacoes!V429</f>
        <v>-1.4207650273224065E-2</v>
      </c>
      <c r="W430" s="5"/>
    </row>
    <row r="431" spans="1:23" x14ac:dyDescent="0.2">
      <c r="A431" s="4">
        <v>45188</v>
      </c>
      <c r="B431" s="5">
        <f>(Cotacoes!B431-Cotacoes!B430)/Cotacoes!B430</f>
        <v>1.0689198819098005E-2</v>
      </c>
      <c r="C431" s="5">
        <f>(Cotacoes!C431-Cotacoes!C430)/Cotacoes!C430</f>
        <v>1.9127108328986166E-3</v>
      </c>
      <c r="D431" s="5">
        <f>(Cotacoes!D431-Cotacoes!D430)/Cotacoes!D430</f>
        <v>2.6515151515151625E-3</v>
      </c>
      <c r="E431" s="5">
        <f>(Cotacoes!E431-Cotacoes!E430)/Cotacoes!E430</f>
        <v>-4.6296296296296953E-3</v>
      </c>
      <c r="F431" s="5">
        <f>(Cotacoes!F431-Cotacoes!F430)/Cotacoes!F430</f>
        <v>0</v>
      </c>
      <c r="G431" s="5">
        <f>(Cotacoes!G431-Cotacoes!G430)/Cotacoes!G430</f>
        <v>5.218904030153659E-3</v>
      </c>
      <c r="H431" s="5">
        <f>(Cotacoes!H431-Cotacoes!H430)/Cotacoes!H430</f>
        <v>-1.4548981571290561E-3</v>
      </c>
      <c r="I431" s="5">
        <f>(Cotacoes!I431-Cotacoes!I430)/Cotacoes!I430</f>
        <v>-4.6425255338906121E-3</v>
      </c>
      <c r="J431" s="5">
        <f>(Cotacoes!J431-Cotacoes!J430)/Cotacoes!J430</f>
        <v>3.7972593693246966E-3</v>
      </c>
      <c r="K431" s="5">
        <f>(Cotacoes!K431-Cotacoes!K430)/Cotacoes!K430</f>
        <v>-1.1084718923198778E-2</v>
      </c>
      <c r="L431" s="5">
        <f>(Cotacoes!L431-Cotacoes!L430)/Cotacoes!L430</f>
        <v>-1.2145748987854281E-2</v>
      </c>
      <c r="M431" s="5">
        <f>(Cotacoes!M431-Cotacoes!M430)/Cotacoes!M430</f>
        <v>2.5316455696203491E-3</v>
      </c>
      <c r="N431" s="5">
        <f>(Cotacoes!N431-Cotacoes!N430)/Cotacoes!N430</f>
        <v>-4.201680672268818E-3</v>
      </c>
      <c r="O431" s="5">
        <f>(Cotacoes!O431-Cotacoes!O430)/Cotacoes!O430</f>
        <v>-1.6068559185860275E-3</v>
      </c>
      <c r="P431" s="5">
        <f>(Cotacoes!P431-Cotacoes!P430)/Cotacoes!P430</f>
        <v>-2.2308979364194008E-2</v>
      </c>
      <c r="Q431" s="5">
        <f>(Cotacoes!Q431-Cotacoes!Q430)/Cotacoes!Q430</f>
        <v>1.4093013891685036E-2</v>
      </c>
      <c r="R431" s="5">
        <f>(Cotacoes!R431-Cotacoes!R430)/Cotacoes!R430</f>
        <v>-2.6307242611237375E-2</v>
      </c>
      <c r="S431" s="5">
        <f>(Cotacoes!S431-Cotacoes!S430)/Cotacoes!S430</f>
        <v>3.0138637733574873E-3</v>
      </c>
      <c r="T431" s="5">
        <f>(Cotacoes!T431-Cotacoes!T430)/Cotacoes!T430</f>
        <v>1.143926788685533E-2</v>
      </c>
      <c r="U431" s="5">
        <f>(Cotacoes!U431-Cotacoes!U430)/Cotacoes!U430</f>
        <v>-1.0812759055686119E-3</v>
      </c>
      <c r="V431" s="5">
        <f>(Cotacoes!V431-Cotacoes!V430)/Cotacoes!V430</f>
        <v>-1.9955654101995533E-2</v>
      </c>
      <c r="W431" s="5"/>
    </row>
    <row r="432" spans="1:23" x14ac:dyDescent="0.2">
      <c r="A432" s="4">
        <v>45189</v>
      </c>
      <c r="B432" s="5">
        <f>(Cotacoes!B432-Cotacoes!B431)/Cotacoes!B431</f>
        <v>-2.4879129734085403E-2</v>
      </c>
      <c r="C432" s="5">
        <f>(Cotacoes!C432-Cotacoes!C431)/Cotacoes!C431</f>
        <v>6.5949323151683892E-3</v>
      </c>
      <c r="D432" s="5">
        <f>(Cotacoes!D432-Cotacoes!D431)/Cotacoes!D431</f>
        <v>2.2667170381564894E-3</v>
      </c>
      <c r="E432" s="5">
        <f>(Cotacoes!E432-Cotacoes!E431)/Cotacoes!E431</f>
        <v>1.6744186046511601E-2</v>
      </c>
      <c r="F432" s="5">
        <f>(Cotacoes!F432-Cotacoes!F431)/Cotacoes!F431</f>
        <v>1.3614703880191524E-3</v>
      </c>
      <c r="G432" s="5">
        <f>(Cotacoes!G432-Cotacoes!G431)/Cotacoes!G431</f>
        <v>-5.1918084799538423E-3</v>
      </c>
      <c r="H432" s="5">
        <f>(Cotacoes!H432-Cotacoes!H431)/Cotacoes!H431</f>
        <v>8.7421078193297575E-3</v>
      </c>
      <c r="I432" s="5">
        <f>(Cotacoes!I432-Cotacoes!I431)/Cotacoes!I431</f>
        <v>1.9589552238806051E-2</v>
      </c>
      <c r="J432" s="5">
        <f>(Cotacoes!J432-Cotacoes!J431)/Cotacoes!J431</f>
        <v>-5.5921052631578341E-3</v>
      </c>
      <c r="K432" s="5">
        <f>(Cotacoes!K432-Cotacoes!K431)/Cotacoes!K431</f>
        <v>4.0032025620495544E-3</v>
      </c>
      <c r="L432" s="5">
        <f>(Cotacoes!L432-Cotacoes!L431)/Cotacoes!L431</f>
        <v>1.6393442622950907E-2</v>
      </c>
      <c r="M432" s="5">
        <f>(Cotacoes!M432-Cotacoes!M431)/Cotacoes!M431</f>
        <v>3.3670033670032949E-3</v>
      </c>
      <c r="N432" s="5">
        <f>(Cotacoes!N432-Cotacoes!N431)/Cotacoes!N431</f>
        <v>8.4388185654007894E-3</v>
      </c>
      <c r="O432" s="5">
        <f>(Cotacoes!O432-Cotacoes!O431)/Cotacoes!O431</f>
        <v>-1.072961373390535E-3</v>
      </c>
      <c r="P432" s="5">
        <f>(Cotacoes!P432-Cotacoes!P431)/Cotacoes!P431</f>
        <v>2.1106674272675267E-2</v>
      </c>
      <c r="Q432" s="5">
        <f>(Cotacoes!Q432-Cotacoes!Q431)/Cotacoes!Q431</f>
        <v>3.9904705181655849E-2</v>
      </c>
      <c r="R432" s="5">
        <f>(Cotacoes!R432-Cotacoes!R431)/Cotacoes!R431</f>
        <v>-1.1007338225483717E-2</v>
      </c>
      <c r="S432" s="5">
        <f>(Cotacoes!S432-Cotacoes!S431)/Cotacoes!S431</f>
        <v>7.8124999999999402E-3</v>
      </c>
      <c r="T432" s="5">
        <f>(Cotacoes!T432-Cotacoes!T431)/Cotacoes!T431</f>
        <v>0</v>
      </c>
      <c r="U432" s="5">
        <f>(Cotacoes!U432-Cotacoes!U431)/Cotacoes!U431</f>
        <v>-2.3453003788562613E-3</v>
      </c>
      <c r="V432" s="5">
        <f>(Cotacoes!V432-Cotacoes!V431)/Cotacoes!V431</f>
        <v>-1.1312217194570163E-2</v>
      </c>
      <c r="W432" s="5"/>
    </row>
    <row r="433" spans="1:23" x14ac:dyDescent="0.2">
      <c r="A433" s="4">
        <v>45190</v>
      </c>
      <c r="B433" s="5">
        <f>(Cotacoes!B433-Cotacoes!B432)/Cotacoes!B432</f>
        <v>9.2965602726994537E-4</v>
      </c>
      <c r="C433" s="5">
        <f>(Cotacoes!C433-Cotacoes!C432)/Cotacoes!C432</f>
        <v>-2.6034482758620657E-2</v>
      </c>
      <c r="D433" s="5">
        <f>(Cotacoes!D433-Cotacoes!D432)/Cotacoes!D432</f>
        <v>-1.5454202789295142E-2</v>
      </c>
      <c r="E433" s="5">
        <f>(Cotacoes!E433-Cotacoes!E432)/Cotacoes!E432</f>
        <v>-2.2415370539798647E-2</v>
      </c>
      <c r="F433" s="5">
        <f>(Cotacoes!F433-Cotacoes!F432)/Cotacoes!F432</f>
        <v>-1.427600271923867E-2</v>
      </c>
      <c r="G433" s="5">
        <f>(Cotacoes!G433-Cotacoes!G432)/Cotacoes!G432</f>
        <v>-2.2615250797332592E-2</v>
      </c>
      <c r="H433" s="5">
        <f>(Cotacoes!H433-Cotacoes!H432)/Cotacoes!H432</f>
        <v>-2.2628791526239714E-2</v>
      </c>
      <c r="I433" s="5">
        <f>(Cotacoes!I433-Cotacoes!I432)/Cotacoes!I432</f>
        <v>-3.2631899969502907E-2</v>
      </c>
      <c r="J433" s="5">
        <f>(Cotacoes!J433-Cotacoes!J432)/Cotacoes!J432</f>
        <v>2.0344029110155423E-2</v>
      </c>
      <c r="K433" s="5">
        <f>(Cotacoes!K433-Cotacoes!K432)/Cotacoes!K432</f>
        <v>-3.7480063795853183E-2</v>
      </c>
      <c r="L433" s="5">
        <f>(Cotacoes!L433-Cotacoes!L432)/Cotacoes!L432</f>
        <v>-4.1129032258064496E-2</v>
      </c>
      <c r="M433" s="5">
        <f>(Cotacoes!M433-Cotacoes!M432)/Cotacoes!M432</f>
        <v>-1.6778523489932827E-2</v>
      </c>
      <c r="N433" s="5">
        <f>(Cotacoes!N433-Cotacoes!N432)/Cotacoes!N432</f>
        <v>-1.9525801952580153E-2</v>
      </c>
      <c r="O433" s="5">
        <f>(Cotacoes!O433-Cotacoes!O432)/Cotacoes!O432</f>
        <v>-1.6111707841031185E-2</v>
      </c>
      <c r="P433" s="5">
        <f>(Cotacoes!P433-Cotacoes!P432)/Cotacoes!P432</f>
        <v>-2.0111731843575387E-2</v>
      </c>
      <c r="Q433" s="5">
        <f>(Cotacoes!Q433-Cotacoes!Q432)/Cotacoes!Q432</f>
        <v>2.042764413898435E-2</v>
      </c>
      <c r="R433" s="5">
        <f>(Cotacoes!R433-Cotacoes!R432)/Cotacoes!R432</f>
        <v>-7.4198988195615136E-3</v>
      </c>
      <c r="S433" s="5">
        <f>(Cotacoes!S433-Cotacoes!S432)/Cotacoes!S432</f>
        <v>-1.1627906976744203E-2</v>
      </c>
      <c r="T433" s="5">
        <f>(Cotacoes!T433-Cotacoes!T432)/Cotacoes!T432</f>
        <v>-4.6473370347522205E-2</v>
      </c>
      <c r="U433" s="5">
        <f>(Cotacoes!U433-Cotacoes!U432)/Cotacoes!U432</f>
        <v>-2.0795660036166341E-2</v>
      </c>
      <c r="V433" s="5">
        <f>(Cotacoes!V433-Cotacoes!V432)/Cotacoes!V432</f>
        <v>-3.5850495804729127E-2</v>
      </c>
      <c r="W433" s="5"/>
    </row>
    <row r="434" spans="1:23" x14ac:dyDescent="0.2">
      <c r="A434" s="4">
        <v>45191</v>
      </c>
      <c r="B434" s="5">
        <f>(Cotacoes!B434-Cotacoes!B433)/Cotacoes!B433</f>
        <v>-5.0567595459237264E-3</v>
      </c>
      <c r="C434" s="5">
        <f>(Cotacoes!C434-Cotacoes!C433)/Cotacoes!C433</f>
        <v>7.4349442379181199E-3</v>
      </c>
      <c r="D434" s="5">
        <f>(Cotacoes!D434-Cotacoes!D433)/Cotacoes!D433</f>
        <v>8.0398162327717185E-3</v>
      </c>
      <c r="E434" s="5">
        <f>(Cotacoes!E434-Cotacoes!E433)/Cotacoes!E433</f>
        <v>-2.8076743097801716E-3</v>
      </c>
      <c r="F434" s="5">
        <f>(Cotacoes!F434-Cotacoes!F433)/Cotacoes!F433</f>
        <v>7.2413793103448566E-3</v>
      </c>
      <c r="G434" s="5">
        <f>(Cotacoes!G434-Cotacoes!G433)/Cotacoes!G433</f>
        <v>-1.127261940077136E-2</v>
      </c>
      <c r="H434" s="5">
        <f>(Cotacoes!H434-Cotacoes!H433)/Cotacoes!H433</f>
        <v>1.4778325123151518E-3</v>
      </c>
      <c r="I434" s="5">
        <f>(Cotacoes!I434-Cotacoes!I433)/Cotacoes!I433</f>
        <v>8.8272383354350923E-3</v>
      </c>
      <c r="J434" s="5">
        <f>(Cotacoes!J434-Cotacoes!J433)/Cotacoes!J433</f>
        <v>-5.6735289349974767E-3</v>
      </c>
      <c r="K434" s="5">
        <f>(Cotacoes!K434-Cotacoes!K433)/Cotacoes!K433</f>
        <v>-7.4565037282518518E-3</v>
      </c>
      <c r="L434" s="5">
        <f>(Cotacoes!L434-Cotacoes!L433)/Cotacoes!L433</f>
        <v>-1.3456686291000853E-2</v>
      </c>
      <c r="M434" s="5">
        <f>(Cotacoes!M434-Cotacoes!M433)/Cotacoes!M433</f>
        <v>-9.3856655290103421E-3</v>
      </c>
      <c r="N434" s="5">
        <f>(Cotacoes!N434-Cotacoes!N433)/Cotacoes!N433</f>
        <v>-9.9573257467994707E-3</v>
      </c>
      <c r="O434" s="5">
        <f>(Cotacoes!O434-Cotacoes!O433)/Cotacoes!O433</f>
        <v>-5.4585152838428725E-3</v>
      </c>
      <c r="P434" s="5">
        <f>(Cotacoes!P434-Cotacoes!P433)/Cotacoes!P433</f>
        <v>-5.7012542759395731E-4</v>
      </c>
      <c r="Q434" s="5">
        <f>(Cotacoes!Q434-Cotacoes!Q433)/Cotacoes!Q433</f>
        <v>-1.122544434050517E-2</v>
      </c>
      <c r="R434" s="5">
        <f>(Cotacoes!R434-Cotacoes!R433)/Cotacoes!R433</f>
        <v>6.4559972816853987E-3</v>
      </c>
      <c r="S434" s="5">
        <f>(Cotacoes!S434-Cotacoes!S433)/Cotacoes!S433</f>
        <v>-8.1447963800903786E-3</v>
      </c>
      <c r="T434" s="5">
        <f>(Cotacoes!T434-Cotacoes!T433)/Cotacoes!T433</f>
        <v>6.9010135863705043E-3</v>
      </c>
      <c r="U434" s="5">
        <f>(Cotacoes!U434-Cotacoes!U433)/Cotacoes!U433</f>
        <v>-6.2788550323175677E-3</v>
      </c>
      <c r="V434" s="5">
        <f>(Cotacoes!V434-Cotacoes!V433)/Cotacoes!V433</f>
        <v>-3.1645569620253893E-3</v>
      </c>
      <c r="W434" s="5"/>
    </row>
    <row r="435" spans="1:23" x14ac:dyDescent="0.2">
      <c r="A435" s="4">
        <v>45194</v>
      </c>
      <c r="B435" s="5">
        <f>(Cotacoes!B435-Cotacoes!B434)/Cotacoes!B434</f>
        <v>-1.2654288974172792E-2</v>
      </c>
      <c r="C435" s="5">
        <f>(Cotacoes!C435-Cotacoes!C434)/Cotacoes!C434</f>
        <v>-2.0734493059216302E-2</v>
      </c>
      <c r="D435" s="5">
        <f>(Cotacoes!D435-Cotacoes!D434)/Cotacoes!D434</f>
        <v>6.4565134827193971E-3</v>
      </c>
      <c r="E435" s="5">
        <f>(Cotacoes!E435-Cotacoes!E434)/Cotacoes!E434</f>
        <v>2.8155795401221153E-3</v>
      </c>
      <c r="F435" s="5">
        <f>(Cotacoes!F435-Cotacoes!F434)/Cotacoes!F434</f>
        <v>6.504621704895506E-3</v>
      </c>
      <c r="G435" s="5">
        <f>(Cotacoes!G435-Cotacoes!G434)/Cotacoes!G434</f>
        <v>4.6204620462046181E-2</v>
      </c>
      <c r="H435" s="5">
        <f>(Cotacoes!H435-Cotacoes!H434)/Cotacoes!H434</f>
        <v>-5.4107230693556047E-3</v>
      </c>
      <c r="I435" s="5">
        <f>(Cotacoes!I435-Cotacoes!I434)/Cotacoes!I434</f>
        <v>1.7500000000000071E-2</v>
      </c>
      <c r="J435" s="5">
        <f>(Cotacoes!J435-Cotacoes!J434)/Cotacoes!J434</f>
        <v>1.6302575806974258E-4</v>
      </c>
      <c r="K435" s="5">
        <f>(Cotacoes!K435-Cotacoes!K434)/Cotacoes!K434</f>
        <v>-3.3388981636060869E-3</v>
      </c>
      <c r="L435" s="5">
        <f>(Cotacoes!L435-Cotacoes!L434)/Cotacoes!L434</f>
        <v>8.5251491901106448E-4</v>
      </c>
      <c r="M435" s="5">
        <f>(Cotacoes!M435-Cotacoes!M434)/Cotacoes!M434</f>
        <v>7.7519379844961118E-3</v>
      </c>
      <c r="N435" s="5">
        <f>(Cotacoes!N435-Cotacoes!N434)/Cotacoes!N434</f>
        <v>5.7471264367816143E-3</v>
      </c>
      <c r="O435" s="5">
        <f>(Cotacoes!O435-Cotacoes!O434)/Cotacoes!O434</f>
        <v>-6.0373216245883333E-3</v>
      </c>
      <c r="P435" s="5">
        <f>(Cotacoes!P435-Cotacoes!P434)/Cotacoes!P434</f>
        <v>-2.5670279520821609E-2</v>
      </c>
      <c r="Q435" s="5">
        <f>(Cotacoes!Q435-Cotacoes!Q434)/Cotacoes!Q434</f>
        <v>-3.2166508987701362E-3</v>
      </c>
      <c r="R435" s="5">
        <f>(Cotacoes!R435-Cotacoes!R434)/Cotacoes!R434</f>
        <v>-4.0513166779203571E-3</v>
      </c>
      <c r="S435" s="5">
        <f>(Cotacoes!S435-Cotacoes!S434)/Cotacoes!S434</f>
        <v>-3.9537712895377905E-3</v>
      </c>
      <c r="T435" s="5">
        <f>(Cotacoes!T435-Cotacoes!T434)/Cotacoes!T434</f>
        <v>4.4977511244377998E-3</v>
      </c>
      <c r="U435" s="5">
        <f>(Cotacoes!U435-Cotacoes!U434)/Cotacoes!U434</f>
        <v>-4.6459765842780153E-3</v>
      </c>
      <c r="V435" s="5">
        <f>(Cotacoes!V435-Cotacoes!V434)/Cotacoes!V434</f>
        <v>-2.3809523809523304E-3</v>
      </c>
      <c r="W435" s="5"/>
    </row>
    <row r="436" spans="1:23" x14ac:dyDescent="0.2">
      <c r="A436" s="4">
        <v>45195</v>
      </c>
      <c r="B436" s="5">
        <f>(Cotacoes!B436-Cotacoes!B435)/Cotacoes!B435</f>
        <v>-2.1010610358231205E-3</v>
      </c>
      <c r="C436" s="5">
        <f>(Cotacoes!C436-Cotacoes!C435)/Cotacoes!C435</f>
        <v>-1.5610981518033331E-2</v>
      </c>
      <c r="D436" s="5">
        <f>(Cotacoes!D436-Cotacoes!D435)/Cotacoes!D435</f>
        <v>-2.3018867924528279E-2</v>
      </c>
      <c r="E436" s="5">
        <f>(Cotacoes!E436-Cotacoes!E435)/Cotacoes!E435</f>
        <v>-1.4506317267197111E-2</v>
      </c>
      <c r="F436" s="5">
        <f>(Cotacoes!F436-Cotacoes!F435)/Cotacoes!F435</f>
        <v>-2.7551020408163224E-2</v>
      </c>
      <c r="G436" s="5">
        <f>(Cotacoes!G436-Cotacoes!G435)/Cotacoes!G435</f>
        <v>-1.4338973329508793E-3</v>
      </c>
      <c r="H436" s="5">
        <f>(Cotacoes!H436-Cotacoes!H435)/Cotacoes!H435</f>
        <v>-1.4342235410484627E-2</v>
      </c>
      <c r="I436" s="5">
        <f>(Cotacoes!I436-Cotacoes!I435)/Cotacoes!I435</f>
        <v>9.2137592137591252E-3</v>
      </c>
      <c r="J436" s="5">
        <f>(Cotacoes!J436-Cotacoes!J435)/Cotacoes!J435</f>
        <v>-2.1841890790546103E-2</v>
      </c>
      <c r="K436" s="5">
        <f>(Cotacoes!K436-Cotacoes!K435)/Cotacoes!K435</f>
        <v>-1.0050251256281341E-2</v>
      </c>
      <c r="L436" s="5">
        <f>(Cotacoes!L436-Cotacoes!L435)/Cotacoes!L435</f>
        <v>-2.214650766609879E-2</v>
      </c>
      <c r="M436" s="5">
        <f>(Cotacoes!M436-Cotacoes!M435)/Cotacoes!M435</f>
        <v>-1.3675213675213687E-2</v>
      </c>
      <c r="N436" s="5">
        <f>(Cotacoes!N436-Cotacoes!N435)/Cotacoes!N435</f>
        <v>-1.7142857142857158E-2</v>
      </c>
      <c r="O436" s="5">
        <f>(Cotacoes!O436-Cotacoes!O435)/Cotacoes!O435</f>
        <v>-1.4908890115958012E-2</v>
      </c>
      <c r="P436" s="5">
        <f>(Cotacoes!P436-Cotacoes!P435)/Cotacoes!P435</f>
        <v>1.1709601873538132E-3</v>
      </c>
      <c r="Q436" s="5">
        <f>(Cotacoes!Q436-Cotacoes!Q435)/Cotacoes!Q435</f>
        <v>-1.537585421412305E-2</v>
      </c>
      <c r="R436" s="5">
        <f>(Cotacoes!R436-Cotacoes!R435)/Cotacoes!R435</f>
        <v>-2.2372881355932208E-2</v>
      </c>
      <c r="S436" s="5">
        <f>(Cotacoes!S436-Cotacoes!S435)/Cotacoes!S435</f>
        <v>-1.0992366412213723E-2</v>
      </c>
      <c r="T436" s="5">
        <f>(Cotacoes!T436-Cotacoes!T435)/Cotacoes!T435</f>
        <v>-1.0660980810233936E-3</v>
      </c>
      <c r="U436" s="5">
        <f>(Cotacoes!U436-Cotacoes!U435)/Cotacoes!U435</f>
        <v>-9.1486183719193797E-3</v>
      </c>
      <c r="V436" s="5">
        <f>(Cotacoes!V436-Cotacoes!V435)/Cotacoes!V435</f>
        <v>-3.0628480509148751E-2</v>
      </c>
      <c r="W436" s="5"/>
    </row>
    <row r="437" spans="1:23" x14ac:dyDescent="0.2">
      <c r="A437" s="4">
        <v>45196</v>
      </c>
      <c r="B437" s="5">
        <f>(Cotacoes!B437-Cotacoes!B436)/Cotacoes!B436</f>
        <v>1.3790925360564294E-2</v>
      </c>
      <c r="C437" s="5">
        <f>(Cotacoes!C437-Cotacoes!C436)/Cotacoes!C436</f>
        <v>2.1873860736419514E-3</v>
      </c>
      <c r="D437" s="5">
        <f>(Cotacoes!D437-Cotacoes!D436)/Cotacoes!D436</f>
        <v>3.1672460409424501E-2</v>
      </c>
      <c r="E437" s="5">
        <f>(Cotacoes!E437-Cotacoes!E436)/Cotacoes!E436</f>
        <v>-1.8993352326685255E-3</v>
      </c>
      <c r="F437" s="5">
        <f>(Cotacoes!F437-Cotacoes!F436)/Cotacoes!F436</f>
        <v>3.7075900664567986E-2</v>
      </c>
      <c r="G437" s="5">
        <f>(Cotacoes!G437-Cotacoes!G436)/Cotacoes!G436</f>
        <v>-1.7231476163125294E-3</v>
      </c>
      <c r="H437" s="5">
        <f>(Cotacoes!H437-Cotacoes!H436)/Cotacoes!H436</f>
        <v>8.5298544907175967E-3</v>
      </c>
      <c r="I437" s="5">
        <f>(Cotacoes!I437-Cotacoes!I436)/Cotacoes!I436</f>
        <v>-2.221545952525858E-2</v>
      </c>
      <c r="J437" s="5">
        <f>(Cotacoes!J437-Cotacoes!J436)/Cotacoes!J436</f>
        <v>-1.7830361606398937E-2</v>
      </c>
      <c r="K437" s="5">
        <f>(Cotacoes!K437-Cotacoes!K436)/Cotacoes!K436</f>
        <v>-3.3840947546532082E-3</v>
      </c>
      <c r="L437" s="5">
        <f>(Cotacoes!L437-Cotacoes!L436)/Cotacoes!L436</f>
        <v>-2.613240418118566E-3</v>
      </c>
      <c r="M437" s="5">
        <f>(Cotacoes!M437-Cotacoes!M436)/Cotacoes!M436</f>
        <v>-5.1993067590986762E-3</v>
      </c>
      <c r="N437" s="5">
        <f>(Cotacoes!N437-Cotacoes!N436)/Cotacoes!N436</f>
        <v>-4.3604651162791061E-3</v>
      </c>
      <c r="O437" s="5">
        <f>(Cotacoes!O437-Cotacoes!O436)/Cotacoes!O436</f>
        <v>-9.5291479820626759E-3</v>
      </c>
      <c r="P437" s="5">
        <f>(Cotacoes!P437-Cotacoes!P436)/Cotacoes!P436</f>
        <v>-9.941520467836357E-3</v>
      </c>
      <c r="Q437" s="5">
        <f>(Cotacoes!Q437-Cotacoes!Q436)/Cotacoes!Q436</f>
        <v>-5.2053209947946029E-3</v>
      </c>
      <c r="R437" s="5">
        <f>(Cotacoes!R437-Cotacoes!R436)/Cotacoes!R436</f>
        <v>-1.0402219140083243E-2</v>
      </c>
      <c r="S437" s="5">
        <f>(Cotacoes!S437-Cotacoes!S436)/Cotacoes!S436</f>
        <v>-1.5128125964804014E-2</v>
      </c>
      <c r="T437" s="5">
        <f>(Cotacoes!T437-Cotacoes!T436)/Cotacoes!T436</f>
        <v>2.924226254002129E-2</v>
      </c>
      <c r="U437" s="5">
        <f>(Cotacoes!U437-Cotacoes!U436)/Cotacoes!U436</f>
        <v>-1.3190126248351287E-2</v>
      </c>
      <c r="V437" s="5">
        <f>(Cotacoes!V437-Cotacoes!V436)/Cotacoes!V436</f>
        <v>-2.4620434961017703E-2</v>
      </c>
      <c r="W437" s="5"/>
    </row>
    <row r="438" spans="1:23" x14ac:dyDescent="0.2">
      <c r="A438" s="4">
        <v>45197</v>
      </c>
      <c r="B438" s="5">
        <f>(Cotacoes!B438-Cotacoes!B437)/Cotacoes!B437</f>
        <v>4.4652128764279004E-3</v>
      </c>
      <c r="C438" s="5">
        <f>(Cotacoes!C438-Cotacoes!C437)/Cotacoes!C437</f>
        <v>1.5278283012004429E-2</v>
      </c>
      <c r="D438" s="5">
        <f>(Cotacoes!D438-Cotacoes!D437)/Cotacoes!D437</f>
        <v>-2.2463496817672133E-3</v>
      </c>
      <c r="E438" s="5">
        <f>(Cotacoes!E438-Cotacoes!E437)/Cotacoes!E437</f>
        <v>2.6165556612749795E-2</v>
      </c>
      <c r="F438" s="5">
        <f>(Cotacoes!F438-Cotacoes!F437)/Cotacoes!F437</f>
        <v>-5.0590219224282825E-3</v>
      </c>
      <c r="G438" s="5">
        <f>(Cotacoes!G438-Cotacoes!G437)/Cotacoes!G437</f>
        <v>1.0356731875719201E-2</v>
      </c>
      <c r="H438" s="5">
        <f>(Cotacoes!H438-Cotacoes!H437)/Cotacoes!H437</f>
        <v>3.2338308457711372E-2</v>
      </c>
      <c r="I438" s="5">
        <f>(Cotacoes!I438-Cotacoes!I437)/Cotacoes!I437</f>
        <v>2.5210084033613293E-2</v>
      </c>
      <c r="J438" s="5">
        <f>(Cotacoes!J438-Cotacoes!J437)/Cotacoes!J437</f>
        <v>5.4292500848320373E-3</v>
      </c>
      <c r="K438" s="5">
        <f>(Cotacoes!K438-Cotacoes!K437)/Cotacoes!K437</f>
        <v>2.3769100169779386E-2</v>
      </c>
      <c r="L438" s="5">
        <f>(Cotacoes!L438-Cotacoes!L437)/Cotacoes!L437</f>
        <v>1.4847161572052396E-2</v>
      </c>
      <c r="M438" s="5">
        <f>(Cotacoes!M438-Cotacoes!M437)/Cotacoes!M437</f>
        <v>0</v>
      </c>
      <c r="N438" s="5">
        <f>(Cotacoes!N438-Cotacoes!N437)/Cotacoes!N437</f>
        <v>1.6058394160583991E-2</v>
      </c>
      <c r="O438" s="5">
        <f>(Cotacoes!O438-Cotacoes!O437)/Cotacoes!O437</f>
        <v>6.2252405206564467E-3</v>
      </c>
      <c r="P438" s="5">
        <f>(Cotacoes!P438-Cotacoes!P437)/Cotacoes!P437</f>
        <v>1.1813349084465404E-2</v>
      </c>
      <c r="Q438" s="5">
        <f>(Cotacoes!Q438-Cotacoes!Q437)/Cotacoes!Q437</f>
        <v>-4.4573643410853485E-3</v>
      </c>
      <c r="R438" s="5">
        <f>(Cotacoes!R438-Cotacoes!R437)/Cotacoes!R437</f>
        <v>2.7680448493342648E-2</v>
      </c>
      <c r="S438" s="5">
        <f>(Cotacoes!S438-Cotacoes!S437)/Cotacoes!S437</f>
        <v>7.5235109717868964E-3</v>
      </c>
      <c r="T438" s="5">
        <f>(Cotacoes!T438-Cotacoes!T437)/Cotacoes!T437</f>
        <v>-2.1982579842389098E-2</v>
      </c>
      <c r="U438" s="5">
        <f>(Cotacoes!U438-Cotacoes!U437)/Cotacoes!U437</f>
        <v>1.5657819362230291E-2</v>
      </c>
      <c r="V438" s="5">
        <f>(Cotacoes!V438-Cotacoes!V437)/Cotacoes!V437</f>
        <v>8.4139671855277967E-4</v>
      </c>
      <c r="W438" s="5"/>
    </row>
    <row r="439" spans="1:23" x14ac:dyDescent="0.2">
      <c r="A439" s="4">
        <v>45198</v>
      </c>
      <c r="B439" s="5">
        <f>(Cotacoes!B439-Cotacoes!B438)/Cotacoes!B438</f>
        <v>-1.0441434921947742E-2</v>
      </c>
      <c r="C439" s="5">
        <f>(Cotacoes!C439-Cotacoes!C438)/Cotacoes!C438</f>
        <v>1.3077749910426314E-2</v>
      </c>
      <c r="D439" s="5">
        <f>(Cotacoes!D439-Cotacoes!D438)/Cotacoes!D438</f>
        <v>5.6285178236398555E-3</v>
      </c>
      <c r="E439" s="5">
        <f>(Cotacoes!E439-Cotacoes!E438)/Cotacoes!E438</f>
        <v>-1.390820584144698E-3</v>
      </c>
      <c r="F439" s="5">
        <f>(Cotacoes!F439-Cotacoes!F438)/Cotacoes!F438</f>
        <v>1.0169491525423752E-2</v>
      </c>
      <c r="G439" s="5">
        <f>(Cotacoes!G439-Cotacoes!G438)/Cotacoes!G438</f>
        <v>-3.4168564920272625E-3</v>
      </c>
      <c r="H439" s="5">
        <f>(Cotacoes!H439-Cotacoes!H438)/Cotacoes!H438</f>
        <v>-9.638554216867436E-3</v>
      </c>
      <c r="I439" s="5">
        <f>(Cotacoes!I439-Cotacoes!I438)/Cotacoes!I438</f>
        <v>1.6393442622950796E-2</v>
      </c>
      <c r="J439" s="5">
        <f>(Cotacoes!J439-Cotacoes!J438)/Cotacoes!J438</f>
        <v>2.9868376645291989E-2</v>
      </c>
      <c r="K439" s="5">
        <f>(Cotacoes!K439-Cotacoes!K438)/Cotacoes!K438</f>
        <v>3.3167495854062308E-3</v>
      </c>
      <c r="L439" s="5">
        <f>(Cotacoes!L439-Cotacoes!L438)/Cotacoes!L438</f>
        <v>6.0240963855421933E-3</v>
      </c>
      <c r="M439" s="5">
        <f>(Cotacoes!M439-Cotacoes!M438)/Cotacoes!M438</f>
        <v>1.0452961672473799E-2</v>
      </c>
      <c r="N439" s="5">
        <f>(Cotacoes!N439-Cotacoes!N438)/Cotacoes!N438</f>
        <v>4.3103448275862424E-3</v>
      </c>
      <c r="O439" s="5">
        <f>(Cotacoes!O439-Cotacoes!O438)/Cotacoes!O438</f>
        <v>1.5185601799775003E-2</v>
      </c>
      <c r="P439" s="5">
        <f>(Cotacoes!P439-Cotacoes!P438)/Cotacoes!P438</f>
        <v>4.0863981319322991E-3</v>
      </c>
      <c r="Q439" s="5">
        <f>(Cotacoes!Q439-Cotacoes!Q438)/Cotacoes!Q438</f>
        <v>8.3706443449484084E-3</v>
      </c>
      <c r="R439" s="5">
        <f>(Cotacoes!R439-Cotacoes!R438)/Cotacoes!R438</f>
        <v>1.1251278554381244E-2</v>
      </c>
      <c r="S439" s="5">
        <f>(Cotacoes!S439-Cotacoes!S438)/Cotacoes!S438</f>
        <v>-2.4891101431237803E-3</v>
      </c>
      <c r="T439" s="5">
        <f>(Cotacoes!T439-Cotacoes!T438)/Cotacoes!T438</f>
        <v>-4.2408821034774329E-3</v>
      </c>
      <c r="U439" s="5">
        <f>(Cotacoes!U439-Cotacoes!U438)/Cotacoes!U438</f>
        <v>2.5192705395751146E-2</v>
      </c>
      <c r="V439" s="5">
        <f>(Cotacoes!V439-Cotacoes!V438)/Cotacoes!V438</f>
        <v>1.8915510718789379E-2</v>
      </c>
      <c r="W439" s="5"/>
    </row>
    <row r="440" spans="1:23" x14ac:dyDescent="0.2">
      <c r="A440" s="4">
        <v>45201</v>
      </c>
      <c r="B440" s="5">
        <f>(Cotacoes!B440-Cotacoes!B439)/Cotacoes!B439</f>
        <v>-1.3894692854157942E-2</v>
      </c>
      <c r="C440" s="5">
        <f>(Cotacoes!C440-Cotacoes!C439)/Cotacoes!C439</f>
        <v>-8.6648983200706443E-3</v>
      </c>
      <c r="D440" s="5">
        <f>(Cotacoes!D440-Cotacoes!D439)/Cotacoes!D439</f>
        <v>-1.4925373134328438E-2</v>
      </c>
      <c r="E440" s="5">
        <f>(Cotacoes!E440-Cotacoes!E439)/Cotacoes!E439</f>
        <v>-9.2850510677808407E-3</v>
      </c>
      <c r="F440" s="5">
        <f>(Cotacoes!F440-Cotacoes!F439)/Cotacoes!F439</f>
        <v>-1.91275167785235E-2</v>
      </c>
      <c r="G440" s="5">
        <f>(Cotacoes!G440-Cotacoes!G439)/Cotacoes!G439</f>
        <v>-3.1428571428571265E-3</v>
      </c>
      <c r="H440" s="5">
        <f>(Cotacoes!H440-Cotacoes!H439)/Cotacoes!H439</f>
        <v>-2.9197080291971907E-3</v>
      </c>
      <c r="I440" s="5">
        <f>(Cotacoes!I440-Cotacoes!I439)/Cotacoes!I439</f>
        <v>-1.7921146953404851E-2</v>
      </c>
      <c r="J440" s="5">
        <f>(Cotacoes!J440-Cotacoes!J439)/Cotacoes!J439</f>
        <v>-8.6842536457480118E-3</v>
      </c>
      <c r="K440" s="5">
        <f>(Cotacoes!K440-Cotacoes!K439)/Cotacoes!K439</f>
        <v>-1.322314049586778E-2</v>
      </c>
      <c r="L440" s="5">
        <f>(Cotacoes!L440-Cotacoes!L439)/Cotacoes!L439</f>
        <v>-2.3096663815226653E-2</v>
      </c>
      <c r="M440" s="5">
        <f>(Cotacoes!M440-Cotacoes!M439)/Cotacoes!M439</f>
        <v>-1.7241379310344461E-3</v>
      </c>
      <c r="N440" s="5">
        <f>(Cotacoes!N440-Cotacoes!N439)/Cotacoes!N439</f>
        <v>-1.7167381974248941E-2</v>
      </c>
      <c r="O440" s="5">
        <f>(Cotacoes!O440-Cotacoes!O439)/Cotacoes!O439</f>
        <v>-1.1080332409972062E-3</v>
      </c>
      <c r="P440" s="5">
        <f>(Cotacoes!P440-Cotacoes!P439)/Cotacoes!P439</f>
        <v>-4.0697674418604815E-3</v>
      </c>
      <c r="Q440" s="5">
        <f>(Cotacoes!Q440-Cotacoes!Q439)/Cotacoes!Q439</f>
        <v>-1.158301158301065E-3</v>
      </c>
      <c r="R440" s="5">
        <f>(Cotacoes!R440-Cotacoes!R439)/Cotacoes!R439</f>
        <v>-1.4160485502360138E-2</v>
      </c>
      <c r="S440" s="5">
        <f>(Cotacoes!S440-Cotacoes!S439)/Cotacoes!S439</f>
        <v>-7.1740486587649399E-3</v>
      </c>
      <c r="T440" s="5">
        <f>(Cotacoes!T440-Cotacoes!T439)/Cotacoes!T439</f>
        <v>-3.4710391822827993E-2</v>
      </c>
      <c r="U440" s="5">
        <f>(Cotacoes!U440-Cotacoes!U439)/Cotacoes!U439</f>
        <v>-3.5209976159912004E-2</v>
      </c>
      <c r="V440" s="5">
        <f>(Cotacoes!V440-Cotacoes!V439)/Cotacoes!V439</f>
        <v>-2.0627062706270627E-2</v>
      </c>
      <c r="W440" s="5"/>
    </row>
    <row r="441" spans="1:23" x14ac:dyDescent="0.2">
      <c r="A441" s="4">
        <v>45202</v>
      </c>
      <c r="B441" s="5">
        <f>(Cotacoes!B441-Cotacoes!B440)/Cotacoes!B440</f>
        <v>1.4832079669456571E-3</v>
      </c>
      <c r="C441" s="5">
        <f>(Cotacoes!C441-Cotacoes!C440)/Cotacoes!C440</f>
        <v>-6.0649304316804029E-3</v>
      </c>
      <c r="D441" s="5">
        <f>(Cotacoes!D441-Cotacoes!D440)/Cotacoes!D440</f>
        <v>-4.545454545454449E-3</v>
      </c>
      <c r="E441" s="5">
        <f>(Cotacoes!E441-Cotacoes!E440)/Cotacoes!E440</f>
        <v>-1.2652296157450777E-2</v>
      </c>
      <c r="F441" s="5">
        <f>(Cotacoes!F441-Cotacoes!F440)/Cotacoes!F440</f>
        <v>-1.1631885049606563E-2</v>
      </c>
      <c r="G441" s="5">
        <f>(Cotacoes!G441-Cotacoes!G440)/Cotacoes!G440</f>
        <v>-2.7228432215534618E-2</v>
      </c>
      <c r="H441" s="5">
        <f>(Cotacoes!H441-Cotacoes!H440)/Cotacoes!H440</f>
        <v>-1.2689116642264422E-2</v>
      </c>
      <c r="I441" s="5">
        <f>(Cotacoes!I441-Cotacoes!I440)/Cotacoes!I440</f>
        <v>-2.5547445255474553E-2</v>
      </c>
      <c r="J441" s="5">
        <f>(Cotacoes!J441-Cotacoes!J440)/Cotacoes!J440</f>
        <v>-6.6115702479338607E-3</v>
      </c>
      <c r="K441" s="5">
        <f>(Cotacoes!K441-Cotacoes!K440)/Cotacoes!K440</f>
        <v>-1.2562814070351789E-2</v>
      </c>
      <c r="L441" s="5">
        <f>(Cotacoes!L441-Cotacoes!L440)/Cotacoes!L440</f>
        <v>-4.2907180385288984E-2</v>
      </c>
      <c r="M441" s="5">
        <f>(Cotacoes!M441-Cotacoes!M440)/Cotacoes!M440</f>
        <v>-2.5906735751294783E-3</v>
      </c>
      <c r="N441" s="5">
        <f>(Cotacoes!N441-Cotacoes!N440)/Cotacoes!N440</f>
        <v>-1.0189228529839925E-2</v>
      </c>
      <c r="O441" s="5">
        <f>(Cotacoes!O441-Cotacoes!O440)/Cotacoes!O440</f>
        <v>6.6555740432610892E-3</v>
      </c>
      <c r="P441" s="5">
        <f>(Cotacoes!P441-Cotacoes!P440)/Cotacoes!P440</f>
        <v>-1.3426736719206097E-2</v>
      </c>
      <c r="Q441" s="5">
        <f>(Cotacoes!Q441-Cotacoes!Q440)/Cotacoes!Q440</f>
        <v>1.9520680324700387E-2</v>
      </c>
      <c r="R441" s="5">
        <f>(Cotacoes!R441-Cotacoes!R440)/Cotacoes!R440</f>
        <v>-1.7783857729138153E-2</v>
      </c>
      <c r="S441" s="5">
        <f>(Cotacoes!S441-Cotacoes!S440)/Cotacoes!S440</f>
        <v>-8.7967326421614072E-3</v>
      </c>
      <c r="T441" s="5">
        <f>(Cotacoes!T441-Cotacoes!T440)/Cotacoes!T440</f>
        <v>-5.0739024928302861E-3</v>
      </c>
      <c r="U441" s="5">
        <f>(Cotacoes!U441-Cotacoes!U440)/Cotacoes!U440</f>
        <v>-2.4710131153772994E-2</v>
      </c>
      <c r="V441" s="5">
        <f>(Cotacoes!V441-Cotacoes!V440)/Cotacoes!V440</f>
        <v>-2.7379949452400954E-2</v>
      </c>
      <c r="W441" s="5"/>
    </row>
    <row r="442" spans="1:23" x14ac:dyDescent="0.2">
      <c r="A442" s="4">
        <v>45203</v>
      </c>
      <c r="B442" s="5">
        <f>(Cotacoes!B442-Cotacoes!B441)/Cotacoes!B441</f>
        <v>-5.077753094255834E-3</v>
      </c>
      <c r="C442" s="5">
        <f>(Cotacoes!C442-Cotacoes!C441)/Cotacoes!C441</f>
        <v>-1.076812634601582E-2</v>
      </c>
      <c r="D442" s="5">
        <f>(Cotacoes!D442-Cotacoes!D441)/Cotacoes!D441</f>
        <v>-3.9573820395738306E-2</v>
      </c>
      <c r="E442" s="5">
        <f>(Cotacoes!E442-Cotacoes!E441)/Cotacoes!E441</f>
        <v>2.2781205505458018E-2</v>
      </c>
      <c r="F442" s="5">
        <f>(Cotacoes!F442-Cotacoes!F441)/Cotacoes!F441</f>
        <v>-3.0114226375908652E-2</v>
      </c>
      <c r="G442" s="5">
        <f>(Cotacoes!G442-Cotacoes!G441)/Cotacoes!G441</f>
        <v>-2.9463759575716001E-4</v>
      </c>
      <c r="H442" s="5">
        <f>(Cotacoes!H442-Cotacoes!H441)/Cotacoes!H441</f>
        <v>7.4147305981215311E-3</v>
      </c>
      <c r="I442" s="5">
        <f>(Cotacoes!I442-Cotacoes!I441)/Cotacoes!I441</f>
        <v>2.8089887640450504E-3</v>
      </c>
      <c r="J442" s="5">
        <f>(Cotacoes!J442-Cotacoes!J441)/Cotacoes!J441</f>
        <v>1.2312811980033311E-2</v>
      </c>
      <c r="K442" s="5">
        <f>(Cotacoes!K442-Cotacoes!K441)/Cotacoes!K441</f>
        <v>3.3927056827820219E-2</v>
      </c>
      <c r="L442" s="5">
        <f>(Cotacoes!L442-Cotacoes!L441)/Cotacoes!L441</f>
        <v>3.2021957913998138E-2</v>
      </c>
      <c r="M442" s="5">
        <f>(Cotacoes!M442-Cotacoes!M441)/Cotacoes!M441</f>
        <v>1.2121212121212015E-2</v>
      </c>
      <c r="N442" s="5">
        <f>(Cotacoes!N442-Cotacoes!N441)/Cotacoes!N441</f>
        <v>8.8235294117647786E-3</v>
      </c>
      <c r="O442" s="5">
        <f>(Cotacoes!O442-Cotacoes!O441)/Cotacoes!O441</f>
        <v>3.3057851239670678E-3</v>
      </c>
      <c r="P442" s="5">
        <f>(Cotacoes!P442-Cotacoes!P441)/Cotacoes!P441</f>
        <v>-1.2426035502958422E-2</v>
      </c>
      <c r="Q442" s="5">
        <f>(Cotacoes!Q442-Cotacoes!Q441)/Cotacoes!Q441</f>
        <v>-5.1184834123223343E-3</v>
      </c>
      <c r="R442" s="5">
        <f>(Cotacoes!R442-Cotacoes!R441)/Cotacoes!R441</f>
        <v>2.4721448467966603E-2</v>
      </c>
      <c r="S442" s="5">
        <f>(Cotacoes!S442-Cotacoes!S441)/Cotacoes!S441</f>
        <v>-3.8034865293185734E-3</v>
      </c>
      <c r="T442" s="5">
        <f>(Cotacoes!T442-Cotacoes!T441)/Cotacoes!T441</f>
        <v>-2.8159645232816034E-2</v>
      </c>
      <c r="U442" s="5">
        <f>(Cotacoes!U442-Cotacoes!U441)/Cotacoes!U441</f>
        <v>7.990645098421293E-3</v>
      </c>
      <c r="V442" s="5">
        <f>(Cotacoes!V442-Cotacoes!V441)/Cotacoes!V441</f>
        <v>1.3858813339107851E-2</v>
      </c>
      <c r="W442" s="5"/>
    </row>
    <row r="443" spans="1:23" x14ac:dyDescent="0.2">
      <c r="A443" s="4">
        <v>45204</v>
      </c>
      <c r="B443" s="5">
        <f>(Cotacoes!B443-Cotacoes!B442)/Cotacoes!B442</f>
        <v>1.2333864965443878E-2</v>
      </c>
      <c r="C443" s="5">
        <f>(Cotacoes!C443-Cotacoes!C442)/Cotacoes!C442</f>
        <v>5.4426705370103664E-4</v>
      </c>
      <c r="D443" s="5">
        <f>(Cotacoes!D443-Cotacoes!D442)/Cotacoes!D442</f>
        <v>3.1695721077655251E-3</v>
      </c>
      <c r="E443" s="5">
        <f>(Cotacoes!E443-Cotacoes!E442)/Cotacoes!E442</f>
        <v>1.5777262180974472E-2</v>
      </c>
      <c r="F443" s="5">
        <f>(Cotacoes!F443-Cotacoes!F442)/Cotacoes!F442</f>
        <v>-3.9257673090649335E-3</v>
      </c>
      <c r="G443" s="5">
        <f>(Cotacoes!G443-Cotacoes!G442)/Cotacoes!G442</f>
        <v>-5.0103153551429918E-3</v>
      </c>
      <c r="H443" s="5">
        <f>(Cotacoes!H443-Cotacoes!H442)/Cotacoes!H442</f>
        <v>2.9440628066733209E-3</v>
      </c>
      <c r="I443" s="5">
        <f>(Cotacoes!I443-Cotacoes!I442)/Cotacoes!I442</f>
        <v>-1.3383131030189954E-2</v>
      </c>
      <c r="J443" s="5">
        <f>(Cotacoes!J443-Cotacoes!J442)/Cotacoes!J442</f>
        <v>-5.5884286653517983E-3</v>
      </c>
      <c r="K443" s="5">
        <f>(Cotacoes!K443-Cotacoes!K442)/Cotacoes!K442</f>
        <v>4.1017227235439465E-3</v>
      </c>
      <c r="L443" s="5">
        <f>(Cotacoes!L443-Cotacoes!L442)/Cotacoes!L442</f>
        <v>-1.0638297872340358E-2</v>
      </c>
      <c r="M443" s="5">
        <f>(Cotacoes!M443-Cotacoes!M442)/Cotacoes!M442</f>
        <v>-2.3952095808383179E-2</v>
      </c>
      <c r="N443" s="5">
        <f>(Cotacoes!N443-Cotacoes!N442)/Cotacoes!N442</f>
        <v>4.3731778425655041E-3</v>
      </c>
      <c r="O443" s="5">
        <f>(Cotacoes!O443-Cotacoes!O442)/Cotacoes!O442</f>
        <v>0</v>
      </c>
      <c r="P443" s="5">
        <f>(Cotacoes!P443-Cotacoes!P442)/Cotacoes!P442</f>
        <v>-2.3966446974237683E-3</v>
      </c>
      <c r="Q443" s="5">
        <f>(Cotacoes!Q443-Cotacoes!Q442)/Cotacoes!Q442</f>
        <v>4.7637195121951218E-3</v>
      </c>
      <c r="R443" s="5">
        <f>(Cotacoes!R443-Cotacoes!R442)/Cotacoes!R442</f>
        <v>-3.3978933061495112E-4</v>
      </c>
      <c r="S443" s="5">
        <f>(Cotacoes!S443-Cotacoes!S442)/Cotacoes!S442</f>
        <v>-3.1816735602927591E-3</v>
      </c>
      <c r="T443" s="5">
        <f>(Cotacoes!T443-Cotacoes!T442)/Cotacoes!T442</f>
        <v>-4.3349304129591086E-3</v>
      </c>
      <c r="U443" s="5">
        <f>(Cotacoes!U443-Cotacoes!U442)/Cotacoes!U442</f>
        <v>-7.7339520494971287E-4</v>
      </c>
      <c r="V443" s="5">
        <f>(Cotacoes!V443-Cotacoes!V442)/Cotacoes!V442</f>
        <v>-1.1106364801367005E-2</v>
      </c>
      <c r="W443" s="5"/>
    </row>
    <row r="444" spans="1:23" x14ac:dyDescent="0.2">
      <c r="A444" s="4">
        <v>45205</v>
      </c>
      <c r="B444" s="5">
        <f>(Cotacoes!B444-Cotacoes!B443)/Cotacoes!B443</f>
        <v>5.4616111752968204E-3</v>
      </c>
      <c r="C444" s="5">
        <f>(Cotacoes!C444-Cotacoes!C443)/Cotacoes!C443</f>
        <v>1.4505893019039063E-2</v>
      </c>
      <c r="D444" s="5">
        <f>(Cotacoes!D444-Cotacoes!D443)/Cotacoes!D443</f>
        <v>2.3696682464455034E-2</v>
      </c>
      <c r="E444" s="5">
        <f>(Cotacoes!E444-Cotacoes!E443)/Cotacoes!E443</f>
        <v>9.5934216537232001E-3</v>
      </c>
      <c r="F444" s="5">
        <f>(Cotacoes!F444-Cotacoes!F443)/Cotacoes!F443</f>
        <v>2.5080616266571095E-2</v>
      </c>
      <c r="G444" s="5">
        <f>(Cotacoes!G444-Cotacoes!G443)/Cotacoes!G443</f>
        <v>-5.0355450236965228E-3</v>
      </c>
      <c r="H444" s="5">
        <f>(Cotacoes!H444-Cotacoes!H443)/Cotacoes!H443</f>
        <v>4.1095890410958895E-2</v>
      </c>
      <c r="I444" s="5">
        <f>(Cotacoes!I444-Cotacoes!I443)/Cotacoes!I443</f>
        <v>-3.4700315457413069E-3</v>
      </c>
      <c r="J444" s="5">
        <f>(Cotacoes!J444-Cotacoes!J443)/Cotacoes!J443</f>
        <v>-5.123966942148798E-3</v>
      </c>
      <c r="K444" s="5">
        <f>(Cotacoes!K444-Cotacoes!K443)/Cotacoes!K443</f>
        <v>1.6339869281045403E-3</v>
      </c>
      <c r="L444" s="5">
        <f>(Cotacoes!L444-Cotacoes!L443)/Cotacoes!L443</f>
        <v>9.8566308243727089E-3</v>
      </c>
      <c r="M444" s="5">
        <f>(Cotacoes!M444-Cotacoes!M443)/Cotacoes!M443</f>
        <v>2.2787028921998229E-2</v>
      </c>
      <c r="N444" s="5">
        <f>(Cotacoes!N444-Cotacoes!N443)/Cotacoes!N443</f>
        <v>7.2568940493469829E-3</v>
      </c>
      <c r="O444" s="5">
        <f>(Cotacoes!O444-Cotacoes!O443)/Cotacoes!O443</f>
        <v>-2.196595277320107E-3</v>
      </c>
      <c r="P444" s="5">
        <f>(Cotacoes!P444-Cotacoes!P443)/Cotacoes!P443</f>
        <v>3.0030030030030459E-3</v>
      </c>
      <c r="Q444" s="5">
        <f>(Cotacoes!Q444-Cotacoes!Q443)/Cotacoes!Q443</f>
        <v>1.706808268537845E-2</v>
      </c>
      <c r="R444" s="5">
        <f>(Cotacoes!R444-Cotacoes!R443)/Cotacoes!R443</f>
        <v>3.7389530931339031E-3</v>
      </c>
      <c r="S444" s="5">
        <f>(Cotacoes!S444-Cotacoes!S443)/Cotacoes!S443</f>
        <v>-6.3836578359399709E-3</v>
      </c>
      <c r="T444" s="5">
        <f>(Cotacoes!T444-Cotacoes!T443)/Cotacoes!T443</f>
        <v>1.9019248395966963E-2</v>
      </c>
      <c r="U444" s="5">
        <f>(Cotacoes!U444-Cotacoes!U443)/Cotacoes!U443</f>
        <v>-1.7027863777089834E-2</v>
      </c>
      <c r="V444" s="5">
        <f>(Cotacoes!V444-Cotacoes!V443)/Cotacoes!V443</f>
        <v>-1.2958963282936322E-3</v>
      </c>
      <c r="W444" s="5"/>
    </row>
    <row r="445" spans="1:23" x14ac:dyDescent="0.2">
      <c r="A445" s="4">
        <v>45208</v>
      </c>
      <c r="B445" s="5">
        <f>(Cotacoes!B445-Cotacoes!B444)/Cotacoes!B444</f>
        <v>1.598245064243185E-2</v>
      </c>
      <c r="C445" s="5">
        <f>(Cotacoes!C445-Cotacoes!C444)/Cotacoes!C444</f>
        <v>-7.149240393208323E-3</v>
      </c>
      <c r="D445" s="5">
        <f>(Cotacoes!D445-Cotacoes!D444)/Cotacoes!D444</f>
        <v>4.3209876543209777E-2</v>
      </c>
      <c r="E445" s="5">
        <f>(Cotacoes!E445-Cotacoes!E444)/Cotacoes!E444</f>
        <v>-8.5972850678733611E-3</v>
      </c>
      <c r="F445" s="5">
        <f>(Cotacoes!F445-Cotacoes!F444)/Cotacoes!F444</f>
        <v>4.0894792030758534E-2</v>
      </c>
      <c r="G445" s="5">
        <f>(Cotacoes!G445-Cotacoes!G444)/Cotacoes!G444</f>
        <v>1.1908306043465061E-3</v>
      </c>
      <c r="H445" s="5">
        <f>(Cotacoes!H445-Cotacoes!H444)/Cotacoes!H444</f>
        <v>-5.6390977443609488E-3</v>
      </c>
      <c r="I445" s="5">
        <f>(Cotacoes!I445-Cotacoes!I444)/Cotacoes!I444</f>
        <v>1.8676796454574228E-2</v>
      </c>
      <c r="J445" s="5">
        <f>(Cotacoes!J445-Cotacoes!J444)/Cotacoes!J444</f>
        <v>1.76108988204021E-2</v>
      </c>
      <c r="K445" s="5">
        <f>(Cotacoes!K445-Cotacoes!K444)/Cotacoes!K444</f>
        <v>-8.972267536704685E-3</v>
      </c>
      <c r="L445" s="5">
        <f>(Cotacoes!L445-Cotacoes!L444)/Cotacoes!L444</f>
        <v>-5.323868677905832E-3</v>
      </c>
      <c r="M445" s="5">
        <f>(Cotacoes!M445-Cotacoes!M444)/Cotacoes!M444</f>
        <v>-1.7137960582690294E-3</v>
      </c>
      <c r="N445" s="5">
        <f>(Cotacoes!N445-Cotacoes!N444)/Cotacoes!N444</f>
        <v>-1.1527377521613843E-2</v>
      </c>
      <c r="O445" s="5">
        <f>(Cotacoes!O445-Cotacoes!O444)/Cotacoes!O444</f>
        <v>1.1557512383048833E-2</v>
      </c>
      <c r="P445" s="5">
        <f>(Cotacoes!P445-Cotacoes!P444)/Cotacoes!P444</f>
        <v>4.7904191616767577E-3</v>
      </c>
      <c r="Q445" s="5">
        <f>(Cotacoes!Q445-Cotacoes!Q444)/Cotacoes!Q444</f>
        <v>8.9502144322207138E-3</v>
      </c>
      <c r="R445" s="5">
        <f>(Cotacoes!R445-Cotacoes!R444)/Cotacoes!R444</f>
        <v>-7.7886894683372983E-3</v>
      </c>
      <c r="S445" s="5">
        <f>(Cotacoes!S445-Cotacoes!S444)/Cotacoes!S444</f>
        <v>9.6370061034372224E-3</v>
      </c>
      <c r="T445" s="5">
        <f>(Cotacoes!T445-Cotacoes!T444)/Cotacoes!T444</f>
        <v>8.7699572745671209E-2</v>
      </c>
      <c r="U445" s="5">
        <f>(Cotacoes!U445-Cotacoes!U444)/Cotacoes!U444</f>
        <v>2.5590551181102869E-3</v>
      </c>
      <c r="V445" s="5">
        <f>(Cotacoes!V445-Cotacoes!V444)/Cotacoes!V444</f>
        <v>1.0813148788927335E-2</v>
      </c>
      <c r="W445" s="5"/>
    </row>
    <row r="446" spans="1:23" x14ac:dyDescent="0.2">
      <c r="A446" s="4">
        <v>45209</v>
      </c>
      <c r="B446" s="5">
        <f>(Cotacoes!B446-Cotacoes!B445)/Cotacoes!B445</f>
        <v>-2.261978202755489E-3</v>
      </c>
      <c r="C446" s="5">
        <f>(Cotacoes!C446-Cotacoes!C445)/Cotacoes!C445</f>
        <v>5.9405940594060378E-3</v>
      </c>
      <c r="D446" s="5">
        <f>(Cotacoes!D446-Cotacoes!D445)/Cotacoes!D445</f>
        <v>7.3964497041419854E-3</v>
      </c>
      <c r="E446" s="5">
        <f>(Cotacoes!E446-Cotacoes!E445)/Cotacoes!E445</f>
        <v>-1.3692377909630825E-3</v>
      </c>
      <c r="F446" s="5">
        <f>(Cotacoes!F446-Cotacoes!F445)/Cotacoes!F445</f>
        <v>1.0073875083948863E-2</v>
      </c>
      <c r="G446" s="5">
        <f>(Cotacoes!G446-Cotacoes!G445)/Cotacoes!G445</f>
        <v>1.3083556348498296E-2</v>
      </c>
      <c r="H446" s="5">
        <f>(Cotacoes!H446-Cotacoes!H445)/Cotacoes!H445</f>
        <v>-1.4177693761815281E-3</v>
      </c>
      <c r="I446" s="5">
        <f>(Cotacoes!I446-Cotacoes!I445)/Cotacoes!I445</f>
        <v>2.2995649471721627E-2</v>
      </c>
      <c r="J446" s="5">
        <f>(Cotacoes!J446-Cotacoes!J445)/Cotacoes!J445</f>
        <v>2.0081632653061173E-2</v>
      </c>
      <c r="K446" s="5">
        <f>(Cotacoes!K446-Cotacoes!K445)/Cotacoes!K445</f>
        <v>1.1522633744855867E-2</v>
      </c>
      <c r="L446" s="5">
        <f>(Cotacoes!L446-Cotacoes!L445)/Cotacoes!L445</f>
        <v>2.3193577163247079E-2</v>
      </c>
      <c r="M446" s="5">
        <f>(Cotacoes!M446-Cotacoes!M445)/Cotacoes!M445</f>
        <v>6.0085836909871491E-3</v>
      </c>
      <c r="N446" s="5">
        <f>(Cotacoes!N446-Cotacoes!N445)/Cotacoes!N445</f>
        <v>1.4577259475218606E-2</v>
      </c>
      <c r="O446" s="5">
        <f>(Cotacoes!O446-Cotacoes!O445)/Cotacoes!O445</f>
        <v>2.2306855277475526E-2</v>
      </c>
      <c r="P446" s="5">
        <f>(Cotacoes!P446-Cotacoes!P445)/Cotacoes!P445</f>
        <v>3.5160905840286041E-2</v>
      </c>
      <c r="Q446" s="5">
        <f>(Cotacoes!Q446-Cotacoes!Q445)/Cotacoes!Q445</f>
        <v>-4.4354093513214194E-3</v>
      </c>
      <c r="R446" s="5">
        <f>(Cotacoes!R446-Cotacoes!R445)/Cotacoes!R445</f>
        <v>1.2969283276450477E-2</v>
      </c>
      <c r="S446" s="5">
        <f>(Cotacoes!S446-Cotacoes!S445)/Cotacoes!S445</f>
        <v>2.7044225262488113E-2</v>
      </c>
      <c r="T446" s="5">
        <f>(Cotacoes!T446-Cotacoes!T445)/Cotacoes!T445</f>
        <v>-4.1347942939837868E-3</v>
      </c>
      <c r="U446" s="5">
        <f>(Cotacoes!U446-Cotacoes!U445)/Cotacoes!U445</f>
        <v>2.5132534851757336E-2</v>
      </c>
      <c r="V446" s="5">
        <f>(Cotacoes!V446-Cotacoes!V445)/Cotacoes!V445</f>
        <v>2.6529738981600232E-2</v>
      </c>
      <c r="W446" s="5"/>
    </row>
    <row r="447" spans="1:23" x14ac:dyDescent="0.2">
      <c r="A447" s="4">
        <v>45210</v>
      </c>
      <c r="B447" s="5">
        <f>(Cotacoes!B447-Cotacoes!B446)/Cotacoes!B446</f>
        <v>-6.3891178895301368E-3</v>
      </c>
      <c r="C447" s="5">
        <f>(Cotacoes!C447-Cotacoes!C446)/Cotacoes!C446</f>
        <v>8.7687902648531657E-3</v>
      </c>
      <c r="D447" s="5">
        <f>(Cotacoes!D447-Cotacoes!D446)/Cotacoes!D446</f>
        <v>-2.5697503671070756E-3</v>
      </c>
      <c r="E447" s="5">
        <f>(Cotacoes!E447-Cotacoes!E446)/Cotacoes!E446</f>
        <v>1.2797074954296214E-2</v>
      </c>
      <c r="F447" s="5">
        <f>(Cotacoes!F447-Cotacoes!F446)/Cotacoes!F446</f>
        <v>-3.3244680851063123E-3</v>
      </c>
      <c r="G447" s="5">
        <f>(Cotacoes!G447-Cotacoes!G446)/Cotacoes!G446</f>
        <v>-3.8156736131494734E-3</v>
      </c>
      <c r="H447" s="5">
        <f>(Cotacoes!H447-Cotacoes!H446)/Cotacoes!H446</f>
        <v>9.4652153336488073E-3</v>
      </c>
      <c r="I447" s="5">
        <f>(Cotacoes!I447-Cotacoes!I446)/Cotacoes!I446</f>
        <v>7.2904009720533075E-3</v>
      </c>
      <c r="J447" s="5">
        <f>(Cotacoes!J447-Cotacoes!J446)/Cotacoes!J446</f>
        <v>-4.9615877080665038E-3</v>
      </c>
      <c r="K447" s="5">
        <f>(Cotacoes!K447-Cotacoes!K446)/Cotacoes!K446</f>
        <v>1.4646053702197031E-2</v>
      </c>
      <c r="L447" s="5">
        <f>(Cotacoes!L447-Cotacoes!L446)/Cotacoes!L446</f>
        <v>-1.7436791630341193E-3</v>
      </c>
      <c r="M447" s="5">
        <f>(Cotacoes!M447-Cotacoes!M446)/Cotacoes!M446</f>
        <v>3.4129692832763777E-3</v>
      </c>
      <c r="N447" s="5">
        <f>(Cotacoes!N447-Cotacoes!N446)/Cotacoes!N446</f>
        <v>1.5804597701149472E-2</v>
      </c>
      <c r="O447" s="5">
        <f>(Cotacoes!O447-Cotacoes!O446)/Cotacoes!O446</f>
        <v>2.0223523150612165E-2</v>
      </c>
      <c r="P447" s="5">
        <f>(Cotacoes!P447-Cotacoes!P446)/Cotacoes!P446</f>
        <v>4.6056419113412947E-3</v>
      </c>
      <c r="Q447" s="5">
        <f>(Cotacoes!Q447-Cotacoes!Q446)/Cotacoes!Q446</f>
        <v>3.5270094672360283E-3</v>
      </c>
      <c r="R447" s="5">
        <f>(Cotacoes!R447-Cotacoes!R446)/Cotacoes!R446</f>
        <v>2.5943396226415082E-2</v>
      </c>
      <c r="S447" s="5">
        <f>(Cotacoes!S447-Cotacoes!S446)/Cotacoes!S446</f>
        <v>-1.0532837670384133E-2</v>
      </c>
      <c r="T447" s="5">
        <f>(Cotacoes!T447-Cotacoes!T446)/Cotacoes!T446</f>
        <v>-1.3493875856342092E-2</v>
      </c>
      <c r="U447" s="5">
        <f>(Cotacoes!U447-Cotacoes!U446)/Cotacoes!U446</f>
        <v>-8.6190384983720145E-3</v>
      </c>
      <c r="V447" s="5">
        <f>(Cotacoes!V447-Cotacoes!V446)/Cotacoes!V446</f>
        <v>-3.3347228011671413E-2</v>
      </c>
      <c r="W447" s="5"/>
    </row>
    <row r="448" spans="1:23" x14ac:dyDescent="0.2">
      <c r="A448" s="4">
        <v>45212</v>
      </c>
      <c r="B448" s="5">
        <f>(Cotacoes!B448-Cotacoes!B447)/Cotacoes!B447</f>
        <v>8.5044596556730252E-3</v>
      </c>
      <c r="C448" s="5">
        <f>(Cotacoes!C448-Cotacoes!C447)/Cotacoes!C447</f>
        <v>-1.1353556856483956E-2</v>
      </c>
      <c r="D448" s="5">
        <f>(Cotacoes!D448-Cotacoes!D447)/Cotacoes!D447</f>
        <v>3.3124769966875175E-2</v>
      </c>
      <c r="E448" s="5">
        <f>(Cotacoes!E448-Cotacoes!E447)/Cotacoes!E447</f>
        <v>-1.0379061371841174E-2</v>
      </c>
      <c r="F448" s="5">
        <f>(Cotacoes!F448-Cotacoes!F447)/Cotacoes!F447</f>
        <v>3.1687791861240801E-2</v>
      </c>
      <c r="G448" s="5">
        <f>(Cotacoes!G448-Cotacoes!G447)/Cotacoes!G447</f>
        <v>-1.7972893341190319E-2</v>
      </c>
      <c r="H448" s="5">
        <f>(Cotacoes!H448-Cotacoes!H447)/Cotacoes!H447</f>
        <v>-3.2817627754335083E-3</v>
      </c>
      <c r="I448" s="5">
        <f>(Cotacoes!I448-Cotacoes!I447)/Cotacoes!I447</f>
        <v>-3.1966224366706736E-2</v>
      </c>
      <c r="J448" s="5">
        <f>(Cotacoes!J448-Cotacoes!J447)/Cotacoes!J447</f>
        <v>-1.4315586295640993E-2</v>
      </c>
      <c r="K448" s="5">
        <f>(Cotacoes!K448-Cotacoes!K447)/Cotacoes!K447</f>
        <v>-1.5236567762630415E-2</v>
      </c>
      <c r="L448" s="5">
        <f>(Cotacoes!L448-Cotacoes!L447)/Cotacoes!L447</f>
        <v>-3.5807860262008745E-2</v>
      </c>
      <c r="M448" s="5">
        <f>(Cotacoes!M448-Cotacoes!M447)/Cotacoes!M447</f>
        <v>-2.3809523809523756E-2</v>
      </c>
      <c r="N448" s="5">
        <f>(Cotacoes!N448-Cotacoes!N447)/Cotacoes!N447</f>
        <v>-2.4045261669024036E-2</v>
      </c>
      <c r="O448" s="5">
        <f>(Cotacoes!O448-Cotacoes!O447)/Cotacoes!O447</f>
        <v>-1.0432968179447199E-2</v>
      </c>
      <c r="P448" s="5">
        <f>(Cotacoes!P448-Cotacoes!P447)/Cotacoes!P447</f>
        <v>-2.6361031518624692E-2</v>
      </c>
      <c r="Q448" s="5">
        <f>(Cotacoes!Q448-Cotacoes!Q447)/Cotacoes!Q447</f>
        <v>3.3666296707362195E-2</v>
      </c>
      <c r="R448" s="5">
        <f>(Cotacoes!R448-Cotacoes!R447)/Cotacoes!R447</f>
        <v>-2.9228243021346488E-2</v>
      </c>
      <c r="S448" s="5">
        <f>(Cotacoes!S448-Cotacoes!S447)/Cotacoes!S447</f>
        <v>-3.6631183469004437E-2</v>
      </c>
      <c r="T448" s="5">
        <f>(Cotacoes!T448-Cotacoes!T447)/Cotacoes!T447</f>
        <v>5.0505050505050469E-2</v>
      </c>
      <c r="U448" s="5">
        <f>(Cotacoes!U448-Cotacoes!U447)/Cotacoes!U447</f>
        <v>-3.2264296754250285E-2</v>
      </c>
      <c r="V448" s="5">
        <f>(Cotacoes!V448-Cotacoes!V447)/Cotacoes!V447</f>
        <v>-5.9508408796895319E-2</v>
      </c>
      <c r="W448" s="5"/>
    </row>
    <row r="449" spans="1:23" x14ac:dyDescent="0.2">
      <c r="A449" s="4">
        <v>45215</v>
      </c>
      <c r="B449" s="5">
        <f>(Cotacoes!B449-Cotacoes!B448)/Cotacoes!B448</f>
        <v>-8.0213903743315638E-3</v>
      </c>
      <c r="C449" s="5">
        <f>(Cotacoes!C449-Cotacoes!C448)/Cotacoes!C448</f>
        <v>1.058675758119511E-2</v>
      </c>
      <c r="D449" s="5">
        <f>(Cotacoes!D449-Cotacoes!D448)/Cotacoes!D448</f>
        <v>1.1043819023868853E-2</v>
      </c>
      <c r="E449" s="5">
        <f>(Cotacoes!E449-Cotacoes!E448)/Cotacoes!E448</f>
        <v>1.3679890560876031E-3</v>
      </c>
      <c r="F449" s="5">
        <f>(Cotacoes!F449-Cotacoes!F448)/Cotacoes!F448</f>
        <v>9.6993210475266965E-3</v>
      </c>
      <c r="G449" s="5">
        <f>(Cotacoes!G449-Cotacoes!G448)/Cotacoes!G448</f>
        <v>3.3003300330032835E-3</v>
      </c>
      <c r="H449" s="5">
        <f>(Cotacoes!H449-Cotacoes!H448)/Cotacoes!H448</f>
        <v>2.0225776105362168E-2</v>
      </c>
      <c r="I449" s="5">
        <f>(Cotacoes!I449-Cotacoes!I448)/Cotacoes!I448</f>
        <v>6.8535825545170985E-3</v>
      </c>
      <c r="J449" s="5">
        <f>(Cotacoes!J449-Cotacoes!J448)/Cotacoes!J448</f>
        <v>2.4967362924282002E-2</v>
      </c>
      <c r="K449" s="5">
        <f>(Cotacoes!K449-Cotacoes!K448)/Cotacoes!K448</f>
        <v>1.0586319218241106E-2</v>
      </c>
      <c r="L449" s="5">
        <f>(Cotacoes!L449-Cotacoes!L448)/Cotacoes!L448</f>
        <v>1.1775362318840651E-2</v>
      </c>
      <c r="M449" s="5">
        <f>(Cotacoes!M449-Cotacoes!M448)/Cotacoes!M448</f>
        <v>2.6132404181184112E-3</v>
      </c>
      <c r="N449" s="5">
        <f>(Cotacoes!N449-Cotacoes!N448)/Cotacoes!N448</f>
        <v>1.0144927536231797E-2</v>
      </c>
      <c r="O449" s="5">
        <f>(Cotacoes!O449-Cotacoes!O448)/Cotacoes!O448</f>
        <v>1.2651555086979547E-2</v>
      </c>
      <c r="P449" s="5">
        <f>(Cotacoes!P449-Cotacoes!P448)/Cotacoes!P448</f>
        <v>3.4137728075338547E-2</v>
      </c>
      <c r="Q449" s="5">
        <f>(Cotacoes!Q449-Cotacoes!Q448)/Cotacoes!Q448</f>
        <v>-2.022190408017184E-2</v>
      </c>
      <c r="R449" s="5">
        <f>(Cotacoes!R449-Cotacoes!R448)/Cotacoes!R448</f>
        <v>-4.3978349120432679E-3</v>
      </c>
      <c r="S449" s="5">
        <f>(Cotacoes!S449-Cotacoes!S448)/Cotacoes!S448</f>
        <v>3.5749106272343007E-3</v>
      </c>
      <c r="T449" s="5">
        <f>(Cotacoes!T449-Cotacoes!T448)/Cotacoes!T448</f>
        <v>-4.0064102564103133E-3</v>
      </c>
      <c r="U449" s="5">
        <f>(Cotacoes!U449-Cotacoes!U448)/Cotacoes!U448</f>
        <v>-8.1852665202635996E-3</v>
      </c>
      <c r="V449" s="5">
        <f>(Cotacoes!V449-Cotacoes!V448)/Cotacoes!V448</f>
        <v>1.9257221458046848E-2</v>
      </c>
      <c r="W449" s="5"/>
    </row>
    <row r="450" spans="1:23" x14ac:dyDescent="0.2">
      <c r="A450" s="4">
        <v>45216</v>
      </c>
      <c r="B450" s="5">
        <f>(Cotacoes!B450-Cotacoes!B449)/Cotacoes!B449</f>
        <v>-1.0574331329048269E-2</v>
      </c>
      <c r="C450" s="5">
        <f>(Cotacoes!C450-Cotacoes!C449)/Cotacoes!C449</f>
        <v>8.1676136363636517E-3</v>
      </c>
      <c r="D450" s="5">
        <f>(Cotacoes!D450-Cotacoes!D449)/Cotacoes!D449</f>
        <v>2.6779422128259393E-2</v>
      </c>
      <c r="E450" s="5">
        <f>(Cotacoes!E450-Cotacoes!E449)/Cotacoes!E449</f>
        <v>-1.4571948998178519E-2</v>
      </c>
      <c r="F450" s="5">
        <f>(Cotacoes!F450-Cotacoes!F449)/Cotacoes!F449</f>
        <v>2.2734550112071754E-2</v>
      </c>
      <c r="G450" s="5">
        <f>(Cotacoes!G450-Cotacoes!G449)/Cotacoes!G449</f>
        <v>-1.0765550239234433E-2</v>
      </c>
      <c r="H450" s="5">
        <f>(Cotacoes!H450-Cotacoes!H449)/Cotacoes!H449</f>
        <v>-8.7597971415399392E-3</v>
      </c>
      <c r="I450" s="5">
        <f>(Cotacoes!I450-Cotacoes!I449)/Cotacoes!I449</f>
        <v>-1.9492574257425711E-2</v>
      </c>
      <c r="J450" s="5">
        <f>(Cotacoes!J450-Cotacoes!J449)/Cotacoes!J449</f>
        <v>-2.4518388791593682E-2</v>
      </c>
      <c r="K450" s="5">
        <f>(Cotacoes!K450-Cotacoes!K449)/Cotacoes!K449</f>
        <v>-1.0475423045930764E-2</v>
      </c>
      <c r="L450" s="5">
        <f>(Cotacoes!L450-Cotacoes!L449)/Cotacoes!L449</f>
        <v>-4.0286481647269411E-2</v>
      </c>
      <c r="M450" s="5">
        <f>(Cotacoes!M450-Cotacoes!M449)/Cotacoes!M449</f>
        <v>-1.563857515204168E-2</v>
      </c>
      <c r="N450" s="5">
        <f>(Cotacoes!N450-Cotacoes!N449)/Cotacoes!N449</f>
        <v>-2.0086083213773268E-2</v>
      </c>
      <c r="O450" s="5">
        <f>(Cotacoes!O450-Cotacoes!O449)/Cotacoes!O449</f>
        <v>-9.3701197293076365E-3</v>
      </c>
      <c r="P450" s="5">
        <f>(Cotacoes!P450-Cotacoes!P449)/Cotacoes!P449</f>
        <v>5.6915196357428238E-3</v>
      </c>
      <c r="Q450" s="5">
        <f>(Cotacoes!Q450-Cotacoes!Q449)/Cotacoes!Q449</f>
        <v>1.6438356164384185E-3</v>
      </c>
      <c r="R450" s="5">
        <f>(Cotacoes!R450-Cotacoes!R449)/Cotacoes!R449</f>
        <v>-1.9028202514441005E-2</v>
      </c>
      <c r="S450" s="5">
        <f>(Cotacoes!S450-Cotacoes!S449)/Cotacoes!S449</f>
        <v>-8.4196891191709207E-3</v>
      </c>
      <c r="T450" s="5">
        <f>(Cotacoes!T450-Cotacoes!T449)/Cotacoes!T449</f>
        <v>8.0450522928398743E-3</v>
      </c>
      <c r="U450" s="5">
        <f>(Cotacoes!U450-Cotacoes!U449)/Cotacoes!U449</f>
        <v>-6.8438003220611171E-3</v>
      </c>
      <c r="V450" s="5">
        <f>(Cotacoes!V450-Cotacoes!V449)/Cotacoes!V449</f>
        <v>-4.9482681061628177E-3</v>
      </c>
      <c r="W450" s="5"/>
    </row>
    <row r="451" spans="1:23" x14ac:dyDescent="0.2">
      <c r="A451" s="4">
        <v>45217</v>
      </c>
      <c r="B451" s="5">
        <f>(Cotacoes!B451-Cotacoes!B450)/Cotacoes!B450</f>
        <v>5.2388935456828536E-4</v>
      </c>
      <c r="C451" s="5">
        <f>(Cotacoes!C451-Cotacoes!C450)/Cotacoes!C450</f>
        <v>-3.6632617118703741E-2</v>
      </c>
      <c r="D451" s="5">
        <f>(Cotacoes!D451-Cotacoes!D450)/Cotacoes!D450</f>
        <v>2.264927934111188E-2</v>
      </c>
      <c r="E451" s="5">
        <f>(Cotacoes!E451-Cotacoes!E450)/Cotacoes!E450</f>
        <v>-2.0794824399260597E-2</v>
      </c>
      <c r="F451" s="5">
        <f>(Cotacoes!F451-Cotacoes!F450)/Cotacoes!F450</f>
        <v>2.3481527864746287E-2</v>
      </c>
      <c r="G451" s="5">
        <f>(Cotacoes!G451-Cotacoes!G450)/Cotacoes!G450</f>
        <v>3.0229746070148476E-4</v>
      </c>
      <c r="H451" s="5">
        <f>(Cotacoes!H451-Cotacoes!H450)/Cotacoes!H450</f>
        <v>-5.1162790697674154E-3</v>
      </c>
      <c r="I451" s="5">
        <f>(Cotacoes!I451-Cotacoes!I450)/Cotacoes!I450</f>
        <v>-3.281792363521624E-2</v>
      </c>
      <c r="J451" s="5">
        <f>(Cotacoes!J451-Cotacoes!J450)/Cotacoes!J450</f>
        <v>-2.8725314183123959E-2</v>
      </c>
      <c r="K451" s="5">
        <f>(Cotacoes!K451-Cotacoes!K450)/Cotacoes!K450</f>
        <v>-8.9576547231269895E-3</v>
      </c>
      <c r="L451" s="5">
        <f>(Cotacoes!L451-Cotacoes!L450)/Cotacoes!L450</f>
        <v>-1.2126865671641862E-2</v>
      </c>
      <c r="M451" s="5">
        <f>(Cotacoes!M451-Cotacoes!M450)/Cotacoes!M450</f>
        <v>-2.1182700794351299E-2</v>
      </c>
      <c r="N451" s="5">
        <f>(Cotacoes!N451-Cotacoes!N450)/Cotacoes!N450</f>
        <v>-1.0248901903367538E-2</v>
      </c>
      <c r="O451" s="5">
        <f>(Cotacoes!O451-Cotacoes!O450)/Cotacoes!O450</f>
        <v>1.0509721492380414E-2</v>
      </c>
      <c r="P451" s="5">
        <f>(Cotacoes!P451-Cotacoes!P450)/Cotacoes!P450</f>
        <v>7.9230333899262591E-3</v>
      </c>
      <c r="Q451" s="5">
        <f>(Cotacoes!Q451-Cotacoes!Q450)/Cotacoes!Q450</f>
        <v>-2.4252370532458156E-2</v>
      </c>
      <c r="R451" s="5">
        <f>(Cotacoes!R451-Cotacoes!R450)/Cotacoes!R450</f>
        <v>-2.8749567024593067E-2</v>
      </c>
      <c r="S451" s="5">
        <f>(Cotacoes!S451-Cotacoes!S450)/Cotacoes!S450</f>
        <v>-1.7962116263879838E-2</v>
      </c>
      <c r="T451" s="5">
        <f>(Cotacoes!T451-Cotacoes!T450)/Cotacoes!T450</f>
        <v>0</v>
      </c>
      <c r="U451" s="5">
        <f>(Cotacoes!U451-Cotacoes!U450)/Cotacoes!U450</f>
        <v>-3.6278881232266032E-2</v>
      </c>
      <c r="V451" s="5">
        <f>(Cotacoes!V451-Cotacoes!V450)/Cotacoes!V450</f>
        <v>-1.7179023508137548E-2</v>
      </c>
      <c r="W451" s="5"/>
    </row>
    <row r="452" spans="1:23" x14ac:dyDescent="0.2">
      <c r="A452" s="4">
        <v>45218</v>
      </c>
      <c r="B452" s="5">
        <f>(Cotacoes!B452-Cotacoes!B451)/Cotacoes!B451</f>
        <v>-1.2252591894439226E-2</v>
      </c>
      <c r="C452" s="5">
        <f>(Cotacoes!C452-Cotacoes!C451)/Cotacoes!C451</f>
        <v>-1.4442413162705781E-2</v>
      </c>
      <c r="D452" s="5">
        <f>(Cotacoes!D452-Cotacoes!D451)/Cotacoes!D451</f>
        <v>-4.6979865771812268E-3</v>
      </c>
      <c r="E452" s="5">
        <f>(Cotacoes!E452-Cotacoes!E451)/Cotacoes!E451</f>
        <v>1.1326097215667694E-2</v>
      </c>
      <c r="F452" s="5">
        <f>(Cotacoes!F452-Cotacoes!F451)/Cotacoes!F451</f>
        <v>-7.3416947078615751E-3</v>
      </c>
      <c r="G452" s="5">
        <f>(Cotacoes!G452-Cotacoes!G451)/Cotacoes!G451</f>
        <v>-9.9728014505894649E-3</v>
      </c>
      <c r="H452" s="5">
        <f>(Cotacoes!H452-Cotacoes!H451)/Cotacoes!H451</f>
        <v>7.9476390836838787E-3</v>
      </c>
      <c r="I452" s="5">
        <f>(Cotacoes!I452-Cotacoes!I451)/Cotacoes!I451</f>
        <v>1.3050570962480489E-3</v>
      </c>
      <c r="J452" s="5">
        <f>(Cotacoes!J452-Cotacoes!J451)/Cotacoes!J451</f>
        <v>1.4787430683918712E-2</v>
      </c>
      <c r="K452" s="5">
        <f>(Cotacoes!K452-Cotacoes!K451)/Cotacoes!K451</f>
        <v>4.9301561216105582E-3</v>
      </c>
      <c r="L452" s="5">
        <f>(Cotacoes!L452-Cotacoes!L451)/Cotacoes!L451</f>
        <v>-1.1331444759206725E-2</v>
      </c>
      <c r="M452" s="5">
        <f>(Cotacoes!M452-Cotacoes!M451)/Cotacoes!M451</f>
        <v>-9.0171325518483198E-4</v>
      </c>
      <c r="N452" s="5">
        <f>(Cotacoes!N452-Cotacoes!N451)/Cotacoes!N451</f>
        <v>5.9171597633136145E-3</v>
      </c>
      <c r="O452" s="5">
        <f>(Cotacoes!O452-Cotacoes!O451)/Cotacoes!O451</f>
        <v>-1.3520540821632947E-2</v>
      </c>
      <c r="P452" s="5">
        <f>(Cotacoes!P452-Cotacoes!P451)/Cotacoes!P451</f>
        <v>0</v>
      </c>
      <c r="Q452" s="5">
        <f>(Cotacoes!Q452-Cotacoes!Q451)/Cotacoes!Q451</f>
        <v>-1.6819286114744217E-3</v>
      </c>
      <c r="R452" s="5">
        <f>(Cotacoes!R452-Cotacoes!R451)/Cotacoes!R451</f>
        <v>-3.5663338088444321E-3</v>
      </c>
      <c r="S452" s="5">
        <f>(Cotacoes!S452-Cotacoes!S451)/Cotacoes!S451</f>
        <v>1.928832723644823E-2</v>
      </c>
      <c r="T452" s="5">
        <f>(Cotacoes!T452-Cotacoes!T451)/Cotacoes!T451</f>
        <v>-3.391859537110826E-3</v>
      </c>
      <c r="U452" s="5">
        <f>(Cotacoes!U452-Cotacoes!U451)/Cotacoes!U451</f>
        <v>0</v>
      </c>
      <c r="V452" s="5">
        <f>(Cotacoes!V452-Cotacoes!V451)/Cotacoes!V451</f>
        <v>2.0239190432382766E-2</v>
      </c>
      <c r="W452" s="5"/>
    </row>
    <row r="453" spans="1:23" x14ac:dyDescent="0.2">
      <c r="A453" s="4">
        <v>45219</v>
      </c>
      <c r="B453" s="5">
        <f>(Cotacoes!B453-Cotacoes!B452)/Cotacoes!B452</f>
        <v>-2.4385072094994676E-3</v>
      </c>
      <c r="C453" s="5">
        <f>(Cotacoes!C453-Cotacoes!C452)/Cotacoes!C452</f>
        <v>-2.7082173993693077E-2</v>
      </c>
      <c r="D453" s="5">
        <f>(Cotacoes!D453-Cotacoes!D452)/Cotacoes!D452</f>
        <v>-1.281186783546861E-2</v>
      </c>
      <c r="E453" s="5">
        <f>(Cotacoes!E453-Cotacoes!E452)/Cotacoes!E452</f>
        <v>-3.7330844610358512E-3</v>
      </c>
      <c r="F453" s="5">
        <f>(Cotacoes!F453-Cotacoes!F452)/Cotacoes!F452</f>
        <v>-1.0785824345146421E-2</v>
      </c>
      <c r="G453" s="5">
        <f>(Cotacoes!G453-Cotacoes!G452)/Cotacoes!G452</f>
        <v>-3.9682539682538293E-3</v>
      </c>
      <c r="H453" s="5">
        <f>(Cotacoes!H453-Cotacoes!H452)/Cotacoes!H452</f>
        <v>-3.24675324675326E-3</v>
      </c>
      <c r="I453" s="5">
        <f>(Cotacoes!I453-Cotacoes!I452)/Cotacoes!I452</f>
        <v>8.7976539589442668E-3</v>
      </c>
      <c r="J453" s="5">
        <f>(Cotacoes!J453-Cotacoes!J452)/Cotacoes!J452</f>
        <v>-1.5731081304851843E-2</v>
      </c>
      <c r="K453" s="5">
        <f>(Cotacoes!K453-Cotacoes!K452)/Cotacoes!K452</f>
        <v>-1.8806214227309929E-2</v>
      </c>
      <c r="L453" s="5">
        <f>(Cotacoes!L453-Cotacoes!L452)/Cotacoes!L452</f>
        <v>1.3371537726838471E-2</v>
      </c>
      <c r="M453" s="5">
        <f>(Cotacoes!M453-Cotacoes!M452)/Cotacoes!M452</f>
        <v>-2.7075812274367653E-3</v>
      </c>
      <c r="N453" s="5">
        <f>(Cotacoes!N453-Cotacoes!N452)/Cotacoes!N452</f>
        <v>-2.9411764705881728E-3</v>
      </c>
      <c r="O453" s="5">
        <f>(Cotacoes!O453-Cotacoes!O452)/Cotacoes!O452</f>
        <v>1.2124406958355321E-2</v>
      </c>
      <c r="P453" s="5">
        <f>(Cotacoes!P453-Cotacoes!P452)/Cotacoes!P452</f>
        <v>-4.4918585064569515E-3</v>
      </c>
      <c r="Q453" s="5">
        <f>(Cotacoes!Q453-Cotacoes!Q452)/Cotacoes!Q452</f>
        <v>-1.9281168101834539E-2</v>
      </c>
      <c r="R453" s="5">
        <f>(Cotacoes!R453-Cotacoes!R452)/Cotacoes!R452</f>
        <v>-1.0737294201861537E-3</v>
      </c>
      <c r="S453" s="5">
        <f>(Cotacoes!S453-Cotacoes!S452)/Cotacoes!S452</f>
        <v>1.1419249592169705E-2</v>
      </c>
      <c r="T453" s="5">
        <f>(Cotacoes!T453-Cotacoes!T452)/Cotacoes!T452</f>
        <v>-6.6066066066067146E-3</v>
      </c>
      <c r="U453" s="5">
        <f>(Cotacoes!U453-Cotacoes!U452)/Cotacoes!U452</f>
        <v>-1.2618296529967438E-3</v>
      </c>
      <c r="V453" s="5">
        <f>(Cotacoes!V453-Cotacoes!V452)/Cotacoes!V452</f>
        <v>1.1722272317403136E-2</v>
      </c>
      <c r="W453" s="5"/>
    </row>
    <row r="454" spans="1:23" x14ac:dyDescent="0.2">
      <c r="A454" s="4">
        <v>45222</v>
      </c>
      <c r="B454" s="5">
        <f>(Cotacoes!B454-Cotacoes!B453)/Cotacoes!B453</f>
        <v>5.3140610054203423E-3</v>
      </c>
      <c r="C454" s="5">
        <f>(Cotacoes!C454-Cotacoes!C453)/Cotacoes!C453</f>
        <v>-1.9065776930410185E-3</v>
      </c>
      <c r="D454" s="5">
        <f>(Cotacoes!D454-Cotacoes!D453)/Cotacoes!D453</f>
        <v>-6.5915300546448077E-2</v>
      </c>
      <c r="E454" s="5">
        <f>(Cotacoes!E454-Cotacoes!E453)/Cotacoes!E453</f>
        <v>1.4051522248242428E-3</v>
      </c>
      <c r="F454" s="5">
        <f>(Cotacoes!F454-Cotacoes!F453)/Cotacoes!F453</f>
        <v>-6.043613707165113E-2</v>
      </c>
      <c r="G454" s="5">
        <f>(Cotacoes!G454-Cotacoes!G453)/Cotacoes!G453</f>
        <v>2.7581979773213697E-3</v>
      </c>
      <c r="H454" s="5">
        <f>(Cotacoes!H454-Cotacoes!H453)/Cotacoes!H453</f>
        <v>-1.3959981386690362E-3</v>
      </c>
      <c r="I454" s="5">
        <f>(Cotacoes!I454-Cotacoes!I453)/Cotacoes!I453</f>
        <v>1.9379844961239896E-3</v>
      </c>
      <c r="J454" s="5">
        <f>(Cotacoes!J454-Cotacoes!J453)/Cotacoes!J453</f>
        <v>2.8600269179004087E-2</v>
      </c>
      <c r="K454" s="5">
        <f>(Cotacoes!K454-Cotacoes!K453)/Cotacoes!K453</f>
        <v>1.6666666666666312E-3</v>
      </c>
      <c r="L454" s="5">
        <f>(Cotacoes!L454-Cotacoes!L453)/Cotacoes!L453</f>
        <v>1.4137606032045275E-2</v>
      </c>
      <c r="M454" s="5">
        <f>(Cotacoes!M454-Cotacoes!M453)/Cotacoes!M453</f>
        <v>-9.0497737556575228E-4</v>
      </c>
      <c r="N454" s="5">
        <f>(Cotacoes!N454-Cotacoes!N453)/Cotacoes!N453</f>
        <v>-1.4749262536874151E-3</v>
      </c>
      <c r="O454" s="5">
        <f>(Cotacoes!O454-Cotacoes!O453)/Cotacoes!O453</f>
        <v>1.041666666666663E-2</v>
      </c>
      <c r="P454" s="5">
        <f>(Cotacoes!P454-Cotacoes!P453)/Cotacoes!P453</f>
        <v>8.4602368866327458E-3</v>
      </c>
      <c r="Q454" s="5">
        <f>(Cotacoes!Q454-Cotacoes!Q453)/Cotacoes!Q453</f>
        <v>-9.1620538270663094E-3</v>
      </c>
      <c r="R454" s="5">
        <f>(Cotacoes!R454-Cotacoes!R453)/Cotacoes!R453</f>
        <v>3.8695807954138239E-2</v>
      </c>
      <c r="S454" s="5">
        <f>(Cotacoes!S454-Cotacoes!S453)/Cotacoes!S453</f>
        <v>1.4516129032258041E-2</v>
      </c>
      <c r="T454" s="5">
        <f>(Cotacoes!T454-Cotacoes!T453)/Cotacoes!T453</f>
        <v>-1.7331721080209583E-2</v>
      </c>
      <c r="U454" s="5">
        <f>(Cotacoes!U454-Cotacoes!U453)/Cotacoes!U453</f>
        <v>1.4108233312276154E-2</v>
      </c>
      <c r="V454" s="5">
        <f>(Cotacoes!V454-Cotacoes!V453)/Cotacoes!V453</f>
        <v>2.3172905525846683E-2</v>
      </c>
      <c r="W454" s="5"/>
    </row>
    <row r="455" spans="1:23" x14ac:dyDescent="0.2">
      <c r="A455" s="4">
        <v>45223</v>
      </c>
      <c r="B455" s="5">
        <f>(Cotacoes!B455-Cotacoes!B454)/Cotacoes!B454</f>
        <v>-4.6516545089332669E-3</v>
      </c>
      <c r="C455" s="5">
        <f>(Cotacoes!C455-Cotacoes!C454)/Cotacoes!C454</f>
        <v>2.2922636103151782E-2</v>
      </c>
      <c r="D455" s="5">
        <f>(Cotacoes!D455-Cotacoes!D454)/Cotacoes!D454</f>
        <v>1.4990859232175507E-2</v>
      </c>
      <c r="E455" s="5">
        <f>(Cotacoes!E455-Cotacoes!E454)/Cotacoes!E454</f>
        <v>0</v>
      </c>
      <c r="F455" s="5">
        <f>(Cotacoes!F455-Cotacoes!F454)/Cotacoes!F454</f>
        <v>1.5583554376657788E-2</v>
      </c>
      <c r="G455" s="5">
        <f>(Cotacoes!G455-Cotacoes!G454)/Cotacoes!G454</f>
        <v>3.2701711491442555E-2</v>
      </c>
      <c r="H455" s="5">
        <f>(Cotacoes!H455-Cotacoes!H454)/Cotacoes!H454</f>
        <v>-4.659832246039209E-3</v>
      </c>
      <c r="I455" s="5">
        <f>(Cotacoes!I455-Cotacoes!I454)/Cotacoes!I454</f>
        <v>1.2572533849129612E-2</v>
      </c>
      <c r="J455" s="5">
        <f>(Cotacoes!J455-Cotacoes!J454)/Cotacoes!J454</f>
        <v>-7.0330389270526613E-3</v>
      </c>
      <c r="K455" s="5">
        <f>(Cotacoes!K455-Cotacoes!K454)/Cotacoes!K454</f>
        <v>0</v>
      </c>
      <c r="L455" s="5">
        <f>(Cotacoes!L455-Cotacoes!L454)/Cotacoes!L454</f>
        <v>2.6022304832713696E-2</v>
      </c>
      <c r="M455" s="5">
        <f>(Cotacoes!M455-Cotacoes!M454)/Cotacoes!M454</f>
        <v>3.6231884057971852E-3</v>
      </c>
      <c r="N455" s="5">
        <f>(Cotacoes!N455-Cotacoes!N454)/Cotacoes!N454</f>
        <v>5.9084194977843483E-3</v>
      </c>
      <c r="O455" s="5">
        <f>(Cotacoes!O455-Cotacoes!O454)/Cotacoes!O454</f>
        <v>-3.0927835051545735E-3</v>
      </c>
      <c r="P455" s="5">
        <f>(Cotacoes!P455-Cotacoes!P454)/Cotacoes!P454</f>
        <v>-6.152125279642027E-3</v>
      </c>
      <c r="Q455" s="5">
        <f>(Cotacoes!Q455-Cotacoes!Q454)/Cotacoes!Q454</f>
        <v>-3.4675399730302398E-2</v>
      </c>
      <c r="R455" s="5">
        <f>(Cotacoes!R455-Cotacoes!R454)/Cotacoes!R454</f>
        <v>1.6212487064505086E-2</v>
      </c>
      <c r="S455" s="5">
        <f>(Cotacoes!S455-Cotacoes!S454)/Cotacoes!S454</f>
        <v>7.6311605723371062E-3</v>
      </c>
      <c r="T455" s="5">
        <f>(Cotacoes!T455-Cotacoes!T454)/Cotacoes!T454</f>
        <v>2.0508613617729936E-4</v>
      </c>
      <c r="U455" s="5">
        <f>(Cotacoes!U455-Cotacoes!U454)/Cotacoes!U454</f>
        <v>1.7234219269103103E-2</v>
      </c>
      <c r="V455" s="5">
        <f>(Cotacoes!V455-Cotacoes!V454)/Cotacoes!V454</f>
        <v>-1.4808362369337972E-2</v>
      </c>
      <c r="W455" s="5"/>
    </row>
    <row r="456" spans="1:23" x14ac:dyDescent="0.2">
      <c r="A456" s="4">
        <v>45224</v>
      </c>
      <c r="B456" s="5">
        <f>(Cotacoes!B456-Cotacoes!B455)/Cotacoes!B455</f>
        <v>6.1603823685607885E-3</v>
      </c>
      <c r="C456" s="5">
        <f>(Cotacoes!C456-Cotacoes!C455)/Cotacoes!C455</f>
        <v>-9.3370681605970426E-4</v>
      </c>
      <c r="D456" s="5">
        <f>(Cotacoes!D456-Cotacoes!D455)/Cotacoes!D455</f>
        <v>5.4034582132564324E-3</v>
      </c>
      <c r="E456" s="5">
        <f>(Cotacoes!E456-Cotacoes!E455)/Cotacoes!E455</f>
        <v>1.8709073900843173E-3</v>
      </c>
      <c r="F456" s="5">
        <f>(Cotacoes!F456-Cotacoes!F455)/Cotacoes!F455</f>
        <v>2.6118184786157964E-3</v>
      </c>
      <c r="G456" s="5">
        <f>(Cotacoes!G456-Cotacoes!G455)/Cotacoes!G455</f>
        <v>-0.10121337673868003</v>
      </c>
      <c r="H456" s="5">
        <f>(Cotacoes!H456-Cotacoes!H455)/Cotacoes!H455</f>
        <v>0</v>
      </c>
      <c r="I456" s="5">
        <f>(Cotacoes!I456-Cotacoes!I455)/Cotacoes!I455</f>
        <v>-1.0824578159821708E-2</v>
      </c>
      <c r="J456" s="5">
        <f>(Cotacoes!J456-Cotacoes!J455)/Cotacoes!J455</f>
        <v>-1.0541920606160445E-2</v>
      </c>
      <c r="K456" s="5">
        <f>(Cotacoes!K456-Cotacoes!K455)/Cotacoes!K455</f>
        <v>-3.327787021630545E-3</v>
      </c>
      <c r="L456" s="5">
        <f>(Cotacoes!L456-Cotacoes!L455)/Cotacoes!L455</f>
        <v>-5.4347826086955367E-3</v>
      </c>
      <c r="M456" s="5">
        <f>(Cotacoes!M456-Cotacoes!M455)/Cotacoes!M455</f>
        <v>-6.3176895306859462E-3</v>
      </c>
      <c r="N456" s="5">
        <f>(Cotacoes!N456-Cotacoes!N455)/Cotacoes!N455</f>
        <v>-7.3421439060205327E-3</v>
      </c>
      <c r="O456" s="5">
        <f>(Cotacoes!O456-Cotacoes!O455)/Cotacoes!O455</f>
        <v>-2.0682523267838235E-3</v>
      </c>
      <c r="P456" s="5">
        <f>(Cotacoes!P456-Cotacoes!P455)/Cotacoes!P455</f>
        <v>-7.878446820483994E-3</v>
      </c>
      <c r="Q456" s="5">
        <f>(Cotacoes!Q456-Cotacoes!Q455)/Cotacoes!Q455</f>
        <v>1.5964877270005647E-3</v>
      </c>
      <c r="R456" s="5">
        <f>(Cotacoes!R456-Cotacoes!R455)/Cotacoes!R455</f>
        <v>-3.3944331296678761E-4</v>
      </c>
      <c r="S456" s="5">
        <f>(Cotacoes!S456-Cotacoes!S455)/Cotacoes!S455</f>
        <v>-2.2088987062164811E-3</v>
      </c>
      <c r="T456" s="5">
        <f>(Cotacoes!T456-Cotacoes!T455)/Cotacoes!T455</f>
        <v>-1.0047160139430017E-2</v>
      </c>
      <c r="U456" s="5">
        <f>(Cotacoes!U456-Cotacoes!U455)/Cotacoes!U455</f>
        <v>-2.3882424984690787E-2</v>
      </c>
      <c r="V456" s="5">
        <f>(Cotacoes!V456-Cotacoes!V455)/Cotacoes!V455</f>
        <v>-5.3492484526967324E-2</v>
      </c>
      <c r="W456" s="5"/>
    </row>
    <row r="457" spans="1:23" x14ac:dyDescent="0.2">
      <c r="A457" s="4">
        <v>45225</v>
      </c>
      <c r="B457" s="5">
        <f>(Cotacoes!B457-Cotacoes!B456)/Cotacoes!B456</f>
        <v>-4.7503430803336093E-3</v>
      </c>
      <c r="C457" s="5">
        <f>(Cotacoes!C457-Cotacoes!C456)/Cotacoes!C456</f>
        <v>2.1495327102803712E-2</v>
      </c>
      <c r="D457" s="5">
        <f>(Cotacoes!D457-Cotacoes!D456)/Cotacoes!D456</f>
        <v>-1.0390541024722292E-2</v>
      </c>
      <c r="E457" s="5">
        <f>(Cotacoes!E457-Cotacoes!E456)/Cotacoes!E456</f>
        <v>2.4743230625583451E-2</v>
      </c>
      <c r="F457" s="5">
        <f>(Cotacoes!F457-Cotacoes!F456)/Cotacoes!F456</f>
        <v>-7.1637902963204957E-3</v>
      </c>
      <c r="G457" s="5">
        <f>(Cotacoes!G457-Cotacoes!G456)/Cotacoes!G456</f>
        <v>3.786631544287121E-2</v>
      </c>
      <c r="H457" s="5">
        <f>(Cotacoes!H457-Cotacoes!H456)/Cotacoes!H456</f>
        <v>2.1067415730337047E-2</v>
      </c>
      <c r="I457" s="5">
        <f>(Cotacoes!I457-Cotacoes!I456)/Cotacoes!I456</f>
        <v>2.6070164145477911E-2</v>
      </c>
      <c r="J457" s="5">
        <f>(Cotacoes!J457-Cotacoes!J456)/Cotacoes!J456</f>
        <v>1.5148992841684644E-2</v>
      </c>
      <c r="K457" s="5">
        <f>(Cotacoes!K457-Cotacoes!K456)/Cotacoes!K456</f>
        <v>2.5876460767946471E-2</v>
      </c>
      <c r="L457" s="5">
        <f>(Cotacoes!L457-Cotacoes!L456)/Cotacoes!L456</f>
        <v>1.6393442622950793E-2</v>
      </c>
      <c r="M457" s="5">
        <f>(Cotacoes!M457-Cotacoes!M456)/Cotacoes!M456</f>
        <v>1.5440508628519522E-2</v>
      </c>
      <c r="N457" s="5">
        <f>(Cotacoes!N457-Cotacoes!N456)/Cotacoes!N456</f>
        <v>2.218934911242609E-2</v>
      </c>
      <c r="O457" s="5">
        <f>(Cotacoes!O457-Cotacoes!O456)/Cotacoes!O456</f>
        <v>3.4715025906735655E-2</v>
      </c>
      <c r="P457" s="5">
        <f>(Cotacoes!P457-Cotacoes!P456)/Cotacoes!P456</f>
        <v>1.7016449234259826E-2</v>
      </c>
      <c r="Q457" s="5">
        <f>(Cotacoes!Q457-Cotacoes!Q456)/Cotacoes!Q456</f>
        <v>2.191671647738582E-3</v>
      </c>
      <c r="R457" s="5">
        <f>(Cotacoes!R457-Cotacoes!R456)/Cotacoes!R456</f>
        <v>8.8285229202037883E-3</v>
      </c>
      <c r="S457" s="5">
        <f>(Cotacoes!S457-Cotacoes!S456)/Cotacoes!S456</f>
        <v>3.4471853257431996E-2</v>
      </c>
      <c r="T457" s="5">
        <f>(Cotacoes!T457-Cotacoes!T456)/Cotacoes!T456</f>
        <v>-7.4565037282518518E-3</v>
      </c>
      <c r="U457" s="5">
        <f>(Cotacoes!U457-Cotacoes!U456)/Cotacoes!U456</f>
        <v>1.7147636971978259E-2</v>
      </c>
      <c r="V457" s="5">
        <f>(Cotacoes!V457-Cotacoes!V456)/Cotacoes!V456</f>
        <v>2.6623073330219536E-2</v>
      </c>
      <c r="W457" s="5"/>
    </row>
    <row r="458" spans="1:23" x14ac:dyDescent="0.2">
      <c r="A458" s="4">
        <v>45226</v>
      </c>
      <c r="B458" s="5">
        <f>(Cotacoes!B458-Cotacoes!B457)/Cotacoes!B457</f>
        <v>-7.3186253712345965E-3</v>
      </c>
      <c r="C458" s="5">
        <f>(Cotacoes!C458-Cotacoes!C457)/Cotacoes!C457</f>
        <v>3.4766697163769414E-2</v>
      </c>
      <c r="D458" s="5">
        <f>(Cotacoes!D458-Cotacoes!D457)/Cotacoes!D457</f>
        <v>-7.2411296162201043E-3</v>
      </c>
      <c r="E458" s="5">
        <f>(Cotacoes!E458-Cotacoes!E457)/Cotacoes!E457</f>
        <v>-1.5034168564920196E-2</v>
      </c>
      <c r="F458" s="5">
        <f>(Cotacoes!F458-Cotacoes!F457)/Cotacoes!F457</f>
        <v>-7.543456871105178E-3</v>
      </c>
      <c r="G458" s="5">
        <f>(Cotacoes!G458-Cotacoes!G457)/Cotacoes!G457</f>
        <v>-3.1408629441624314E-2</v>
      </c>
      <c r="H458" s="5">
        <f>(Cotacoes!H458-Cotacoes!H457)/Cotacoes!H457</f>
        <v>-2.5676295277395633E-2</v>
      </c>
      <c r="I458" s="5">
        <f>(Cotacoes!I458-Cotacoes!I457)/Cotacoes!I457</f>
        <v>-2.1957340025094082E-2</v>
      </c>
      <c r="J458" s="5">
        <f>(Cotacoes!J458-Cotacoes!J457)/Cotacoes!J457</f>
        <v>-2.3286323384716211E-2</v>
      </c>
      <c r="K458" s="5">
        <f>(Cotacoes!K458-Cotacoes!K457)/Cotacoes!K457</f>
        <v>-1.0577705451586575E-2</v>
      </c>
      <c r="L458" s="5">
        <f>(Cotacoes!L458-Cotacoes!L457)/Cotacoes!L457</f>
        <v>-4.4802867383512544E-2</v>
      </c>
      <c r="M458" s="5">
        <f>(Cotacoes!M458-Cotacoes!M457)/Cotacoes!M457</f>
        <v>-2.7728085867620798E-2</v>
      </c>
      <c r="N458" s="5">
        <f>(Cotacoes!N458-Cotacoes!N457)/Cotacoes!N457</f>
        <v>-2.0260492040521067E-2</v>
      </c>
      <c r="O458" s="5">
        <f>(Cotacoes!O458-Cotacoes!O457)/Cotacoes!O457</f>
        <v>-4.5067601402103089E-3</v>
      </c>
      <c r="P458" s="5">
        <f>(Cotacoes!P458-Cotacoes!P457)/Cotacoes!P457</f>
        <v>-3.2348020078081331E-2</v>
      </c>
      <c r="Q458" s="5">
        <f>(Cotacoes!Q458-Cotacoes!Q457)/Cotacoes!Q457</f>
        <v>-1.5109343936381671E-2</v>
      </c>
      <c r="R458" s="5">
        <f>(Cotacoes!R458-Cotacoes!R457)/Cotacoes!R457</f>
        <v>-2.8273308650286093E-2</v>
      </c>
      <c r="S458" s="5">
        <f>(Cotacoes!S458-Cotacoes!S457)/Cotacoes!S457</f>
        <v>-2.4151635585447848E-2</v>
      </c>
      <c r="T458" s="5">
        <f>(Cotacoes!T458-Cotacoes!T457)/Cotacoes!T457</f>
        <v>-4.7996661101837226E-3</v>
      </c>
      <c r="U458" s="5">
        <f>(Cotacoes!U458-Cotacoes!U457)/Cotacoes!U457</f>
        <v>-3.4333881578947401E-2</v>
      </c>
      <c r="V458" s="5">
        <f>(Cotacoes!V458-Cotacoes!V457)/Cotacoes!V457</f>
        <v>-3.230209281164699E-2</v>
      </c>
      <c r="W458" s="5"/>
    </row>
    <row r="459" spans="1:23" x14ac:dyDescent="0.2">
      <c r="A459" s="4">
        <v>45229</v>
      </c>
      <c r="B459" s="5">
        <f>(Cotacoes!B459-Cotacoes!B458)/Cotacoes!B458</f>
        <v>5.5561491612351318E-3</v>
      </c>
      <c r="C459" s="5">
        <f>(Cotacoes!C459-Cotacoes!C458)/Cotacoes!C458</f>
        <v>9.0185676392573848E-3</v>
      </c>
      <c r="D459" s="5">
        <f>(Cotacoes!D459-Cotacoes!D458)/Cotacoes!D458</f>
        <v>-1.0211524434719224E-2</v>
      </c>
      <c r="E459" s="5">
        <f>(Cotacoes!E459-Cotacoes!E458)/Cotacoes!E458</f>
        <v>-7.8630897317299581E-3</v>
      </c>
      <c r="F459" s="5">
        <f>(Cotacoes!F459-Cotacoes!F458)/Cotacoes!F458</f>
        <v>-7.9312623925975531E-3</v>
      </c>
      <c r="G459" s="5">
        <f>(Cotacoes!G459-Cotacoes!G458)/Cotacoes!G458</f>
        <v>2.0962987225679679E-2</v>
      </c>
      <c r="H459" s="5">
        <f>(Cotacoes!H459-Cotacoes!H458)/Cotacoes!H458</f>
        <v>-6.5882352941176742E-3</v>
      </c>
      <c r="I459" s="5">
        <f>(Cotacoes!I459-Cotacoes!I458)/Cotacoes!I458</f>
        <v>0</v>
      </c>
      <c r="J459" s="5">
        <f>(Cotacoes!J459-Cotacoes!J458)/Cotacoes!J458</f>
        <v>-1.6286098052384131E-2</v>
      </c>
      <c r="K459" s="5">
        <f>(Cotacoes!K459-Cotacoes!K458)/Cotacoes!K458</f>
        <v>-1.0690789473684275E-2</v>
      </c>
      <c r="L459" s="5">
        <f>(Cotacoes!L459-Cotacoes!L458)/Cotacoes!L458</f>
        <v>-1.1257035647279643E-2</v>
      </c>
      <c r="M459" s="5">
        <f>(Cotacoes!M459-Cotacoes!M458)/Cotacoes!M458</f>
        <v>6.439742410303614E-3</v>
      </c>
      <c r="N459" s="5">
        <f>(Cotacoes!N459-Cotacoes!N458)/Cotacoes!N458</f>
        <v>-1.0339734121122511E-2</v>
      </c>
      <c r="O459" s="5">
        <f>(Cotacoes!O459-Cotacoes!O458)/Cotacoes!O458</f>
        <v>1.5090543259557916E-3</v>
      </c>
      <c r="P459" s="5">
        <f>(Cotacoes!P459-Cotacoes!P458)/Cotacoes!P458</f>
        <v>5.7636887608057696E-4</v>
      </c>
      <c r="Q459" s="5">
        <f>(Cotacoes!Q459-Cotacoes!Q458)/Cotacoes!Q458</f>
        <v>-5.0464271295922484E-3</v>
      </c>
      <c r="R459" s="5">
        <f>(Cotacoes!R459-Cotacoes!R458)/Cotacoes!R458</f>
        <v>-2.2514721163837965E-2</v>
      </c>
      <c r="S459" s="5">
        <f>(Cotacoes!S459-Cotacoes!S458)/Cotacoes!S458</f>
        <v>-2.0676691729323311E-2</v>
      </c>
      <c r="T459" s="5">
        <f>(Cotacoes!T459-Cotacoes!T458)/Cotacoes!T458</f>
        <v>-2.9356259173830963E-2</v>
      </c>
      <c r="U459" s="5">
        <f>(Cotacoes!U459-Cotacoes!U458)/Cotacoes!U458</f>
        <v>-2.5548222269533203E-3</v>
      </c>
      <c r="V459" s="5">
        <f>(Cotacoes!V459-Cotacoes!V458)/Cotacoes!V458</f>
        <v>-1.6925246826516194E-2</v>
      </c>
      <c r="W459" s="5"/>
    </row>
    <row r="460" spans="1:23" x14ac:dyDescent="0.2">
      <c r="A460" s="4">
        <v>45230</v>
      </c>
      <c r="B460" s="5">
        <f>(Cotacoes!B460-Cotacoes!B459)/Cotacoes!B459</f>
        <v>2.0189140367654932E-2</v>
      </c>
      <c r="C460" s="5">
        <f>(Cotacoes!C460-Cotacoes!C459)/Cotacoes!C459</f>
        <v>1.1917280056081312E-2</v>
      </c>
      <c r="D460" s="5">
        <f>(Cotacoes!D460-Cotacoes!D459)/Cotacoes!D459</f>
        <v>-9.5799557848195126E-3</v>
      </c>
      <c r="E460" s="5">
        <f>(Cotacoes!E460-Cotacoes!E459)/Cotacoes!E459</f>
        <v>-9.790209790209831E-3</v>
      </c>
      <c r="F460" s="5">
        <f>(Cotacoes!F460-Cotacoes!F459)/Cotacoes!F459</f>
        <v>-8.660892738174485E-3</v>
      </c>
      <c r="G460" s="5">
        <f>(Cotacoes!G460-Cotacoes!G459)/Cotacoes!G459</f>
        <v>2.2136669874879618E-2</v>
      </c>
      <c r="H460" s="5">
        <f>(Cotacoes!H460-Cotacoes!H459)/Cotacoes!H459</f>
        <v>-2.3685457129322932E-3</v>
      </c>
      <c r="I460" s="5">
        <f>(Cotacoes!I460-Cotacoes!I459)/Cotacoes!I459</f>
        <v>1.4111610006414409E-2</v>
      </c>
      <c r="J460" s="5">
        <f>(Cotacoes!J460-Cotacoes!J459)/Cotacoes!J459</f>
        <v>-3.7549069807135339E-3</v>
      </c>
      <c r="K460" s="5">
        <f>(Cotacoes!K460-Cotacoes!K459)/Cotacoes!K459</f>
        <v>-1.41313383208645E-2</v>
      </c>
      <c r="L460" s="5">
        <f>(Cotacoes!L460-Cotacoes!L459)/Cotacoes!L459</f>
        <v>1.8975332068312477E-3</v>
      </c>
      <c r="M460" s="5">
        <f>(Cotacoes!M460-Cotacoes!M459)/Cotacoes!M459</f>
        <v>4.0219378427788055E-2</v>
      </c>
      <c r="N460" s="5">
        <f>(Cotacoes!N460-Cotacoes!N459)/Cotacoes!N459</f>
        <v>0</v>
      </c>
      <c r="O460" s="5">
        <f>(Cotacoes!O460-Cotacoes!O459)/Cotacoes!O459</f>
        <v>6.0271220492215463E-3</v>
      </c>
      <c r="P460" s="5">
        <f>(Cotacoes!P460-Cotacoes!P459)/Cotacoes!P459</f>
        <v>1.2096774193548437E-2</v>
      </c>
      <c r="Q460" s="5">
        <f>(Cotacoes!Q460-Cotacoes!Q459)/Cotacoes!Q459</f>
        <v>-1.6230472712517405E-3</v>
      </c>
      <c r="R460" s="5">
        <f>(Cotacoes!R460-Cotacoes!R459)/Cotacoes!R459</f>
        <v>1.4174344436570765E-3</v>
      </c>
      <c r="S460" s="5">
        <f>(Cotacoes!S460-Cotacoes!S459)/Cotacoes!S459</f>
        <v>1.0876519513755593E-2</v>
      </c>
      <c r="T460" s="5">
        <f>(Cotacoes!T460-Cotacoes!T459)/Cotacoes!T459</f>
        <v>2.8731907539425325E-2</v>
      </c>
      <c r="U460" s="5">
        <f>(Cotacoes!U460-Cotacoes!U459)/Cotacoes!U459</f>
        <v>1.1099252934898527E-2</v>
      </c>
      <c r="V460" s="5">
        <f>(Cotacoes!V460-Cotacoes!V459)/Cotacoes!V459</f>
        <v>-7.1736011477761159E-3</v>
      </c>
      <c r="W460" s="5"/>
    </row>
    <row r="461" spans="1:23" x14ac:dyDescent="0.2">
      <c r="A461" s="4">
        <v>45231</v>
      </c>
      <c r="B461" s="5">
        <f>(Cotacoes!B461-Cotacoes!B460)/Cotacoes!B460</f>
        <v>2.4372461201958014E-2</v>
      </c>
      <c r="C461" s="5">
        <f>(Cotacoes!C461-Cotacoes!C460)/Cotacoes!C460</f>
        <v>1.9224108070661577E-2</v>
      </c>
      <c r="D461" s="5">
        <f>(Cotacoes!D461-Cotacoes!D460)/Cotacoes!D460</f>
        <v>1.0788690476190577E-2</v>
      </c>
      <c r="E461" s="5">
        <f>(Cotacoes!E461-Cotacoes!E460)/Cotacoes!E460</f>
        <v>1.4124293785310769E-2</v>
      </c>
      <c r="F461" s="5">
        <f>(Cotacoes!F461-Cotacoes!F460)/Cotacoes!F460</f>
        <v>1.176075268817197E-2</v>
      </c>
      <c r="G461" s="5">
        <f>(Cotacoes!G461-Cotacoes!G460)/Cotacoes!G460</f>
        <v>2.1971123666039011E-3</v>
      </c>
      <c r="H461" s="5">
        <f>(Cotacoes!H461-Cotacoes!H460)/Cotacoes!H460</f>
        <v>9.4966761633426277E-4</v>
      </c>
      <c r="I461" s="5">
        <f>(Cotacoes!I461-Cotacoes!I460)/Cotacoes!I460</f>
        <v>3.4471853257431996E-2</v>
      </c>
      <c r="J461" s="5">
        <f>(Cotacoes!J461-Cotacoes!J460)/Cotacoes!J460</f>
        <v>1.7817371937639184E-2</v>
      </c>
      <c r="K461" s="5">
        <f>(Cotacoes!K461-Cotacoes!K460)/Cotacoes!K460</f>
        <v>9.274873524452042E-3</v>
      </c>
      <c r="L461" s="5">
        <f>(Cotacoes!L461-Cotacoes!L460)/Cotacoes!L460</f>
        <v>4.071969696969694E-2</v>
      </c>
      <c r="M461" s="5">
        <f>(Cotacoes!M461-Cotacoes!M460)/Cotacoes!M460</f>
        <v>9.6660808435851866E-3</v>
      </c>
      <c r="N461" s="5">
        <f>(Cotacoes!N461-Cotacoes!N460)/Cotacoes!N460</f>
        <v>1.1940298507462697E-2</v>
      </c>
      <c r="O461" s="5">
        <f>(Cotacoes!O461-Cotacoes!O460)/Cotacoes!O460</f>
        <v>2.1467798302546165E-2</v>
      </c>
      <c r="P461" s="5">
        <f>(Cotacoes!P461-Cotacoes!P460)/Cotacoes!P460</f>
        <v>2.0489470688673843E-2</v>
      </c>
      <c r="Q461" s="5">
        <f>(Cotacoes!Q461-Cotacoes!Q460)/Cotacoes!Q460</f>
        <v>-2.2353180247916974E-3</v>
      </c>
      <c r="R461" s="5">
        <f>(Cotacoes!R461-Cotacoes!R460)/Cotacoes!R460</f>
        <v>-2.1231422505308658E-3</v>
      </c>
      <c r="S461" s="5">
        <f>(Cotacoes!S461-Cotacoes!S460)/Cotacoes!S460</f>
        <v>2.0886075949366981E-2</v>
      </c>
      <c r="T461" s="5">
        <f>(Cotacoes!T461-Cotacoes!T460)/Cotacoes!T460</f>
        <v>7.7698446031080337E-3</v>
      </c>
      <c r="U461" s="5">
        <f>(Cotacoes!U461-Cotacoes!U460)/Cotacoes!U460</f>
        <v>2.047709520793764E-2</v>
      </c>
      <c r="V461" s="5">
        <f>(Cotacoes!V461-Cotacoes!V460)/Cotacoes!V460</f>
        <v>6.2620423892100055E-2</v>
      </c>
      <c r="W461" s="5"/>
    </row>
    <row r="462" spans="1:23" x14ac:dyDescent="0.2">
      <c r="A462" s="4">
        <v>45233</v>
      </c>
      <c r="B462" s="5">
        <f>(Cotacoes!B462-Cotacoes!B461)/Cotacoes!B461</f>
        <v>1.9318759532283879E-3</v>
      </c>
      <c r="C462" s="5">
        <f>(Cotacoes!C462-Cotacoes!C461)/Cotacoes!C461</f>
        <v>1.2404418011894593E-2</v>
      </c>
      <c r="D462" s="5">
        <f>(Cotacoes!D462-Cotacoes!D461)/Cotacoes!D461</f>
        <v>1.2145748987854187E-2</v>
      </c>
      <c r="E462" s="5">
        <f>(Cotacoes!E462-Cotacoes!E461)/Cotacoes!E461</f>
        <v>2.7390900649953569E-2</v>
      </c>
      <c r="F462" s="5">
        <f>(Cotacoes!F462-Cotacoes!F461)/Cotacoes!F461</f>
        <v>8.3028894055131187E-3</v>
      </c>
      <c r="G462" s="5">
        <f>(Cotacoes!G462-Cotacoes!G461)/Cotacoes!G461</f>
        <v>1.3466958972752888E-2</v>
      </c>
      <c r="H462" s="5">
        <f>(Cotacoes!H462-Cotacoes!H461)/Cotacoes!H461</f>
        <v>3.5104364326375807E-2</v>
      </c>
      <c r="I462" s="5">
        <f>(Cotacoes!I462-Cotacoes!I461)/Cotacoes!I461</f>
        <v>2.3845918679303E-2</v>
      </c>
      <c r="J462" s="5">
        <f>(Cotacoes!J462-Cotacoes!J461)/Cotacoes!J461</f>
        <v>2.4911631038545767E-2</v>
      </c>
      <c r="K462" s="5">
        <f>(Cotacoes!K462-Cotacoes!K461)/Cotacoes!K461</f>
        <v>4.6783625730994045E-2</v>
      </c>
      <c r="L462" s="5">
        <f>(Cotacoes!L462-Cotacoes!L461)/Cotacoes!L461</f>
        <v>5.7324840764331121E-2</v>
      </c>
      <c r="M462" s="5">
        <f>(Cotacoes!M462-Cotacoes!M461)/Cotacoes!M461</f>
        <v>2.3498694516971241E-2</v>
      </c>
      <c r="N462" s="5">
        <f>(Cotacoes!N462-Cotacoes!N461)/Cotacoes!N461</f>
        <v>3.687315634218289E-2</v>
      </c>
      <c r="O462" s="5">
        <f>(Cotacoes!O462-Cotacoes!O461)/Cotacoes!O461</f>
        <v>1.9061583577712638E-2</v>
      </c>
      <c r="P462" s="5">
        <f>(Cotacoes!P462-Cotacoes!P461)/Cotacoes!P461</f>
        <v>3.9598438371444555E-2</v>
      </c>
      <c r="Q462" s="5">
        <f>(Cotacoes!Q462-Cotacoes!Q461)/Cotacoes!Q461</f>
        <v>-5.7026476578411634E-3</v>
      </c>
      <c r="R462" s="5">
        <f>(Cotacoes!R462-Cotacoes!R461)/Cotacoes!R461</f>
        <v>8.2269503546099298E-2</v>
      </c>
      <c r="S462" s="5">
        <f>(Cotacoes!S462-Cotacoes!S461)/Cotacoes!S461</f>
        <v>2.0148791072535605E-2</v>
      </c>
      <c r="T462" s="5">
        <f>(Cotacoes!T462-Cotacoes!T461)/Cotacoes!T461</f>
        <v>2.7088976870180341E-3</v>
      </c>
      <c r="U462" s="5">
        <f>(Cotacoes!U462-Cotacoes!U461)/Cotacoes!U461</f>
        <v>5.5854364915184022E-2</v>
      </c>
      <c r="V462" s="5">
        <f>(Cotacoes!V462-Cotacoes!V461)/Cotacoes!V461</f>
        <v>6.482320942883045E-2</v>
      </c>
      <c r="W462" s="5"/>
    </row>
    <row r="463" spans="1:23" x14ac:dyDescent="0.2">
      <c r="A463" s="4">
        <v>45236</v>
      </c>
      <c r="B463" s="5">
        <f>(Cotacoes!B463-Cotacoes!B462)/Cotacoes!B462</f>
        <v>5.5814897503551567E-3</v>
      </c>
      <c r="C463" s="5">
        <f>(Cotacoes!C463-Cotacoes!C462)/Cotacoes!C462</f>
        <v>4.1960389392413566E-3</v>
      </c>
      <c r="D463" s="5">
        <f>(Cotacoes!D463-Cotacoes!D462)/Cotacoes!D462</f>
        <v>-1.0909090909091322E-3</v>
      </c>
      <c r="E463" s="5">
        <f>(Cotacoes!E463-Cotacoes!E462)/Cotacoes!E462</f>
        <v>9.4893809308631213E-3</v>
      </c>
      <c r="F463" s="5">
        <f>(Cotacoes!F463-Cotacoes!F462)/Cotacoes!F462</f>
        <v>-2.6350461133069266E-3</v>
      </c>
      <c r="G463" s="5">
        <f>(Cotacoes!G463-Cotacoes!G462)/Cotacoes!G462</f>
        <v>-9.5797280593325797E-3</v>
      </c>
      <c r="H463" s="5">
        <f>(Cotacoes!H463-Cotacoes!H462)/Cotacoes!H462</f>
        <v>6.8744271310723455E-3</v>
      </c>
      <c r="I463" s="5">
        <f>(Cotacoes!I463-Cotacoes!I462)/Cotacoes!I462</f>
        <v>5.3747387279784922E-3</v>
      </c>
      <c r="J463" s="5">
        <f>(Cotacoes!J463-Cotacoes!J462)/Cotacoes!J462</f>
        <v>-4.7626868122844336E-3</v>
      </c>
      <c r="K463" s="5">
        <f>(Cotacoes!K463-Cotacoes!K462)/Cotacoes!K462</f>
        <v>-7.9808459696726155E-4</v>
      </c>
      <c r="L463" s="5">
        <f>(Cotacoes!L463-Cotacoes!L462)/Cotacoes!L462</f>
        <v>2.5817555938038848E-3</v>
      </c>
      <c r="M463" s="5">
        <f>(Cotacoes!M463-Cotacoes!M462)/Cotacoes!M462</f>
        <v>1.6156462585033973E-2</v>
      </c>
      <c r="N463" s="5">
        <f>(Cotacoes!N463-Cotacoes!N462)/Cotacoes!N462</f>
        <v>7.1123755334281391E-3</v>
      </c>
      <c r="O463" s="5">
        <f>(Cotacoes!O463-Cotacoes!O462)/Cotacoes!O462</f>
        <v>2.2541966426858458E-2</v>
      </c>
      <c r="P463" s="5">
        <f>(Cotacoes!P463-Cotacoes!P462)/Cotacoes!P462</f>
        <v>-2.1459227467810699E-3</v>
      </c>
      <c r="Q463" s="5">
        <f>(Cotacoes!Q463-Cotacoes!Q462)/Cotacoes!Q462</f>
        <v>1.4338385907415051E-2</v>
      </c>
      <c r="R463" s="5">
        <f>(Cotacoes!R463-Cotacoes!R462)/Cotacoes!R462</f>
        <v>8.8466579292267224E-3</v>
      </c>
      <c r="S463" s="5">
        <f>(Cotacoes!S463-Cotacoes!S462)/Cotacoes!S462</f>
        <v>1.1242783348526424E-2</v>
      </c>
      <c r="T463" s="5">
        <f>(Cotacoes!T463-Cotacoes!T462)/Cotacoes!T462</f>
        <v>-3.9484621778885648E-3</v>
      </c>
      <c r="U463" s="5">
        <f>(Cotacoes!U463-Cotacoes!U462)/Cotacoes!U462</f>
        <v>-1.469435736677116E-2</v>
      </c>
      <c r="V463" s="5">
        <f>(Cotacoes!V463-Cotacoes!V462)/Cotacoes!V462</f>
        <v>-3.9165602383993116E-2</v>
      </c>
      <c r="W463" s="5"/>
    </row>
    <row r="464" spans="1:23" x14ac:dyDescent="0.2">
      <c r="A464" s="4">
        <v>45237</v>
      </c>
      <c r="B464" s="5">
        <f>(Cotacoes!B464-Cotacoes!B463)/Cotacoes!B463</f>
        <v>-4.8440811383591072E-3</v>
      </c>
      <c r="C464" s="5">
        <f>(Cotacoes!C464-Cotacoes!C463)/Cotacoes!C463</f>
        <v>-1.9722547217115156E-2</v>
      </c>
      <c r="D464" s="5">
        <f>(Cotacoes!D464-Cotacoes!D463)/Cotacoes!D463</f>
        <v>-1.6381507098653051E-2</v>
      </c>
      <c r="E464" s="5">
        <f>(Cotacoes!E464-Cotacoes!E463)/Cotacoes!E463</f>
        <v>2.8200537153088585E-2</v>
      </c>
      <c r="F464" s="5">
        <f>(Cotacoes!F464-Cotacoes!F463)/Cotacoes!F463</f>
        <v>-2.2126816380449197E-2</v>
      </c>
      <c r="G464" s="5">
        <f>(Cotacoes!G464-Cotacoes!G463)/Cotacoes!G463</f>
        <v>-1.5288611544461731E-2</v>
      </c>
      <c r="H464" s="5">
        <f>(Cotacoes!H464-Cotacoes!H463)/Cotacoes!H463</f>
        <v>1.137915339098771E-2</v>
      </c>
      <c r="I464" s="5">
        <f>(Cotacoes!I464-Cotacoes!I463)/Cotacoes!I463</f>
        <v>1.6632016632016487E-2</v>
      </c>
      <c r="J464" s="5">
        <f>(Cotacoes!J464-Cotacoes!J463)/Cotacoes!J463</f>
        <v>8.2508250825082501E-3</v>
      </c>
      <c r="K464" s="5">
        <f>(Cotacoes!K464-Cotacoes!K463)/Cotacoes!K463</f>
        <v>2.6357827476038344E-2</v>
      </c>
      <c r="L464" s="5">
        <f>(Cotacoes!L464-Cotacoes!L463)/Cotacoes!L463</f>
        <v>1.8025751072961293E-2</v>
      </c>
      <c r="M464" s="5">
        <f>(Cotacoes!M464-Cotacoes!M463)/Cotacoes!M463</f>
        <v>5.0209205020920918E-3</v>
      </c>
      <c r="N464" s="5">
        <f>(Cotacoes!N464-Cotacoes!N463)/Cotacoes!N463</f>
        <v>1.9774011299434981E-2</v>
      </c>
      <c r="O464" s="5">
        <f>(Cotacoes!O464-Cotacoes!O463)/Cotacoes!O463</f>
        <v>1.6885553470919298E-2</v>
      </c>
      <c r="P464" s="5">
        <f>(Cotacoes!P464-Cotacoes!P463)/Cotacoes!P463</f>
        <v>-1.4516129032258232E-2</v>
      </c>
      <c r="Q464" s="5">
        <f>(Cotacoes!Q464-Cotacoes!Q463)/Cotacoes!Q463</f>
        <v>3.2310177705976691E-3</v>
      </c>
      <c r="R464" s="5">
        <f>(Cotacoes!R464-Cotacoes!R463)/Cotacoes!R463</f>
        <v>1.8512504059759672E-2</v>
      </c>
      <c r="S464" s="5">
        <f>(Cotacoes!S464-Cotacoes!S463)/Cotacoes!S463</f>
        <v>-2.7043269230770254E-3</v>
      </c>
      <c r="T464" s="5">
        <f>(Cotacoes!T464-Cotacoes!T463)/Cotacoes!T463</f>
        <v>-2.4827873982891671E-2</v>
      </c>
      <c r="U464" s="5">
        <f>(Cotacoes!U464-Cotacoes!U463)/Cotacoes!U463</f>
        <v>2.4656989461125513E-2</v>
      </c>
      <c r="V464" s="5">
        <f>(Cotacoes!V464-Cotacoes!V463)/Cotacoes!V463</f>
        <v>4.7851129818342858E-2</v>
      </c>
      <c r="W464" s="5"/>
    </row>
    <row r="465" spans="1:23" x14ac:dyDescent="0.2">
      <c r="A465" s="4">
        <v>45238</v>
      </c>
      <c r="B465" s="5">
        <f>(Cotacoes!B465-Cotacoes!B464)/Cotacoes!B464</f>
        <v>2.5352398336882668E-3</v>
      </c>
      <c r="C465" s="5">
        <f>(Cotacoes!C465-Cotacoes!C464)/Cotacoes!C464</f>
        <v>6.820119352088516E-4</v>
      </c>
      <c r="D465" s="5">
        <f>(Cotacoes!D465-Cotacoes!D464)/Cotacoes!D464</f>
        <v>-2.1465581051073216E-2</v>
      </c>
      <c r="E465" s="5">
        <f>(Cotacoes!E465-Cotacoes!E464)/Cotacoes!E464</f>
        <v>4.3535045711798614E-3</v>
      </c>
      <c r="F465" s="5">
        <f>(Cotacoes!F465-Cotacoes!F464)/Cotacoes!F464</f>
        <v>-2.3640661938534254E-2</v>
      </c>
      <c r="G465" s="5">
        <f>(Cotacoes!G465-Cotacoes!G464)/Cotacoes!G464</f>
        <v>-7.6045627376425361E-3</v>
      </c>
      <c r="H465" s="5">
        <f>(Cotacoes!H465-Cotacoes!H464)/Cotacoes!H464</f>
        <v>1.2601260126012653E-2</v>
      </c>
      <c r="I465" s="5">
        <f>(Cotacoes!I465-Cotacoes!I464)/Cotacoes!I464</f>
        <v>-4.6742623429739004E-3</v>
      </c>
      <c r="J465" s="5">
        <f>(Cotacoes!J465-Cotacoes!J464)/Cotacoes!J464</f>
        <v>-2.7823240589198313E-3</v>
      </c>
      <c r="K465" s="5">
        <f>(Cotacoes!K465-Cotacoes!K464)/Cotacoes!K464</f>
        <v>5.4474708171206448E-3</v>
      </c>
      <c r="L465" s="5">
        <f>(Cotacoes!L465-Cotacoes!L464)/Cotacoes!L464</f>
        <v>8.4317032040470382E-4</v>
      </c>
      <c r="M465" s="5">
        <f>(Cotacoes!M465-Cotacoes!M464)/Cotacoes!M464</f>
        <v>-2.4979184013321698E-3</v>
      </c>
      <c r="N465" s="5">
        <f>(Cotacoes!N465-Cotacoes!N464)/Cotacoes!N464</f>
        <v>1.3850415512466309E-3</v>
      </c>
      <c r="O465" s="5">
        <f>(Cotacoes!O465-Cotacoes!O464)/Cotacoes!O464</f>
        <v>-8.3025830258302447E-3</v>
      </c>
      <c r="P465" s="5">
        <f>(Cotacoes!P465-Cotacoes!P464)/Cotacoes!P464</f>
        <v>3.9279869067103249E-2</v>
      </c>
      <c r="Q465" s="5">
        <f>(Cotacoes!Q465-Cotacoes!Q464)/Cotacoes!Q464</f>
        <v>2.7375201288244756E-2</v>
      </c>
      <c r="R465" s="5">
        <f>(Cotacoes!R465-Cotacoes!R464)/Cotacoes!R464</f>
        <v>2.3915816326530611E-2</v>
      </c>
      <c r="S465" s="5">
        <f>(Cotacoes!S465-Cotacoes!S464)/Cotacoes!S464</f>
        <v>4.8207291352818232E-3</v>
      </c>
      <c r="T465" s="5">
        <f>(Cotacoes!T465-Cotacoes!T464)/Cotacoes!T464</f>
        <v>-2.8455284552845642E-2</v>
      </c>
      <c r="U465" s="5">
        <f>(Cotacoes!U465-Cotacoes!U464)/Cotacoes!U464</f>
        <v>2.9109256743644202E-3</v>
      </c>
      <c r="V465" s="5">
        <f>(Cotacoes!V465-Cotacoes!V464)/Cotacoes!V464</f>
        <v>7.1881606765328418E-3</v>
      </c>
      <c r="W465" s="5"/>
    </row>
    <row r="466" spans="1:23" x14ac:dyDescent="0.2">
      <c r="A466" s="4">
        <v>45239</v>
      </c>
      <c r="B466" s="5">
        <f>(Cotacoes!B466-Cotacoes!B465)/Cotacoes!B465</f>
        <v>1.1632611774226236E-2</v>
      </c>
      <c r="C466" s="5">
        <f>(Cotacoes!C466-Cotacoes!C465)/Cotacoes!C465</f>
        <v>4.7708297836088114E-3</v>
      </c>
      <c r="D466" s="5">
        <f>(Cotacoes!D466-Cotacoes!D465)/Cotacoes!D465</f>
        <v>2.0423600605143689E-2</v>
      </c>
      <c r="E466" s="5">
        <f>(Cotacoes!E466-Cotacoes!E465)/Cotacoes!E465</f>
        <v>4.3346337234504298E-3</v>
      </c>
      <c r="F466" s="5">
        <f>(Cotacoes!F466-Cotacoes!F465)/Cotacoes!F465</f>
        <v>2.1445866482186129E-2</v>
      </c>
      <c r="G466" s="5">
        <f>(Cotacoes!G466-Cotacoes!G465)/Cotacoes!G465</f>
        <v>-1.2771392081736637E-3</v>
      </c>
      <c r="H466" s="5">
        <f>(Cotacoes!H466-Cotacoes!H465)/Cotacoes!H465</f>
        <v>-4.1777777777777837E-2</v>
      </c>
      <c r="I466" s="5">
        <f>(Cotacoes!I466-Cotacoes!I465)/Cotacoes!I465</f>
        <v>-6.7508071617257666E-3</v>
      </c>
      <c r="J466" s="5">
        <f>(Cotacoes!J466-Cotacoes!J465)/Cotacoes!J465</f>
        <v>3.1183325127194768E-3</v>
      </c>
      <c r="K466" s="5">
        <f>(Cotacoes!K466-Cotacoes!K465)/Cotacoes!K465</f>
        <v>2.3219814241485573E-3</v>
      </c>
      <c r="L466" s="5">
        <f>(Cotacoes!L466-Cotacoes!L465)/Cotacoes!L465</f>
        <v>-9.2670598146587565E-3</v>
      </c>
      <c r="M466" s="5">
        <f>(Cotacoes!M466-Cotacoes!M465)/Cotacoes!M465</f>
        <v>-9.1819699499166279E-3</v>
      </c>
      <c r="N466" s="5">
        <f>(Cotacoes!N466-Cotacoes!N465)/Cotacoes!N465</f>
        <v>1.3831258644536356E-3</v>
      </c>
      <c r="O466" s="5">
        <f>(Cotacoes!O466-Cotacoes!O465)/Cotacoes!O465</f>
        <v>-1.9999999999999987E-2</v>
      </c>
      <c r="P466" s="5">
        <f>(Cotacoes!P466-Cotacoes!P465)/Cotacoes!P465</f>
        <v>-1.1548556430446321E-2</v>
      </c>
      <c r="Q466" s="5">
        <f>(Cotacoes!Q466-Cotacoes!Q465)/Cotacoes!Q465</f>
        <v>-9.7962382445135505E-4</v>
      </c>
      <c r="R466" s="5">
        <f>(Cotacoes!R466-Cotacoes!R465)/Cotacoes!R465</f>
        <v>-3.207723450638434E-2</v>
      </c>
      <c r="S466" s="5">
        <f>(Cotacoes!S466-Cotacoes!S465)/Cotacoes!S465</f>
        <v>-1.4992503748127214E-3</v>
      </c>
      <c r="T466" s="5">
        <f>(Cotacoes!T466-Cotacoes!T465)/Cotacoes!T465</f>
        <v>-1.6516185862144903E-2</v>
      </c>
      <c r="U466" s="5">
        <f>(Cotacoes!U466-Cotacoes!U465)/Cotacoes!U465</f>
        <v>-4.4504643962847692E-3</v>
      </c>
      <c r="V466" s="5">
        <f>(Cotacoes!V466-Cotacoes!V465)/Cotacoes!V465</f>
        <v>-3.4844668345927872E-2</v>
      </c>
      <c r="W466" s="5"/>
    </row>
    <row r="467" spans="1:23" x14ac:dyDescent="0.2">
      <c r="A467" s="4">
        <v>45240</v>
      </c>
      <c r="B467" s="5">
        <f>(Cotacoes!B467-Cotacoes!B466)/Cotacoes!B466</f>
        <v>-1.9998000199990233E-4</v>
      </c>
      <c r="C467" s="5">
        <f>(Cotacoes!C467-Cotacoes!C466)/Cotacoes!C466</f>
        <v>1.5431575377310559E-2</v>
      </c>
      <c r="D467" s="5">
        <f>(Cotacoes!D467-Cotacoes!D466)/Cotacoes!D466</f>
        <v>-4.4477390659748333E-3</v>
      </c>
      <c r="E467" s="5">
        <f>(Cotacoes!E467-Cotacoes!E466)/Cotacoes!E466</f>
        <v>1.2084592145015E-2</v>
      </c>
      <c r="F467" s="5">
        <f>(Cotacoes!F467-Cotacoes!F466)/Cotacoes!F466</f>
        <v>-3.3863867253640847E-3</v>
      </c>
      <c r="G467" s="5">
        <f>(Cotacoes!G467-Cotacoes!G466)/Cotacoes!G466</f>
        <v>2.3337595907928287E-2</v>
      </c>
      <c r="H467" s="5">
        <f>(Cotacoes!H467-Cotacoes!H466)/Cotacoes!H466</f>
        <v>1.4842300556586285E-2</v>
      </c>
      <c r="I467" s="5">
        <f>(Cotacoes!I467-Cotacoes!I466)/Cotacoes!I466</f>
        <v>1.773049645389928E-3</v>
      </c>
      <c r="J467" s="5">
        <f>(Cotacoes!J467-Cotacoes!J466)/Cotacoes!J466</f>
        <v>1.6361256544510989E-4</v>
      </c>
      <c r="K467" s="5">
        <f>(Cotacoes!K467-Cotacoes!K466)/Cotacoes!K466</f>
        <v>-1.4671814671814633E-2</v>
      </c>
      <c r="L467" s="5">
        <f>(Cotacoes!L467-Cotacoes!L466)/Cotacoes!L466</f>
        <v>4.8469387755102067E-2</v>
      </c>
      <c r="M467" s="5">
        <f>(Cotacoes!M467-Cotacoes!M466)/Cotacoes!M466</f>
        <v>-5.0547598989046944E-3</v>
      </c>
      <c r="N467" s="5">
        <f>(Cotacoes!N467-Cotacoes!N466)/Cotacoes!N466</f>
        <v>1.2430939226519317E-2</v>
      </c>
      <c r="O467" s="5">
        <f>(Cotacoes!O467-Cotacoes!O466)/Cotacoes!O466</f>
        <v>1.1390602752728924E-2</v>
      </c>
      <c r="P467" s="5">
        <f>(Cotacoes!P467-Cotacoes!P466)/Cotacoes!P466</f>
        <v>2.1242697822623589E-2</v>
      </c>
      <c r="Q467" s="5">
        <f>(Cotacoes!Q467-Cotacoes!Q466)/Cotacoes!Q466</f>
        <v>2.2553441851343371E-2</v>
      </c>
      <c r="R467" s="5">
        <f>(Cotacoes!R467-Cotacoes!R466)/Cotacoes!R466</f>
        <v>4.0862290862290963E-2</v>
      </c>
      <c r="S467" s="5">
        <f>(Cotacoes!S467-Cotacoes!S466)/Cotacoes!S466</f>
        <v>1.2612612612612664E-2</v>
      </c>
      <c r="T467" s="5">
        <f>(Cotacoes!T467-Cotacoes!T466)/Cotacoes!T466</f>
        <v>3.8961038961039009E-2</v>
      </c>
      <c r="U467" s="5">
        <f>(Cotacoes!U467-Cotacoes!U466)/Cotacoes!U466</f>
        <v>2.5850340136054386E-2</v>
      </c>
      <c r="V467" s="5">
        <f>(Cotacoes!V467-Cotacoes!V466)/Cotacoes!V466</f>
        <v>2.8708133971291874E-2</v>
      </c>
      <c r="W467" s="5"/>
    </row>
    <row r="468" spans="1:23" x14ac:dyDescent="0.2">
      <c r="A468" s="4">
        <v>45243</v>
      </c>
      <c r="B468" s="5">
        <f>(Cotacoes!B468-Cotacoes!B467)/Cotacoes!B467</f>
        <v>2.3102310231023125E-2</v>
      </c>
      <c r="C468" s="5">
        <f>(Cotacoes!C468-Cotacoes!C467)/Cotacoes!C467</f>
        <v>-2.1710086840347788E-3</v>
      </c>
      <c r="D468" s="5">
        <f>(Cotacoes!D468-Cotacoes!D467)/Cotacoes!D467</f>
        <v>2.7922561429635145E-2</v>
      </c>
      <c r="E468" s="5">
        <f>(Cotacoes!E468-Cotacoes!E467)/Cotacoes!E467</f>
        <v>-6.8230277185501132E-3</v>
      </c>
      <c r="F468" s="5">
        <f>(Cotacoes!F468-Cotacoes!F467)/Cotacoes!F467</f>
        <v>2.2426095820591237E-2</v>
      </c>
      <c r="G468" s="5">
        <f>(Cotacoes!G468-Cotacoes!G467)/Cotacoes!G467</f>
        <v>-1.34333020930959E-2</v>
      </c>
      <c r="H468" s="5">
        <f>(Cotacoes!H468-Cotacoes!H467)/Cotacoes!H467</f>
        <v>-3.6563071297988255E-3</v>
      </c>
      <c r="I468" s="5">
        <f>(Cotacoes!I468-Cotacoes!I467)/Cotacoes!I467</f>
        <v>2.2418879056047138E-2</v>
      </c>
      <c r="J468" s="5">
        <f>(Cotacoes!J468-Cotacoes!J467)/Cotacoes!J467</f>
        <v>1.3577621462457031E-2</v>
      </c>
      <c r="K468" s="5">
        <f>(Cotacoes!K468-Cotacoes!K467)/Cotacoes!K467</f>
        <v>-1.9592476489028215E-2</v>
      </c>
      <c r="L468" s="5">
        <f>(Cotacoes!L468-Cotacoes!L467)/Cotacoes!L467</f>
        <v>-4.0551500405515001E-2</v>
      </c>
      <c r="M468" s="5">
        <f>(Cotacoes!M468-Cotacoes!M467)/Cotacoes!M467</f>
        <v>5.9271803556308449E-3</v>
      </c>
      <c r="N468" s="5">
        <f>(Cotacoes!N468-Cotacoes!N467)/Cotacoes!N467</f>
        <v>0</v>
      </c>
      <c r="O468" s="5">
        <f>(Cotacoes!O468-Cotacoes!O467)/Cotacoes!O467</f>
        <v>-1.4547160957296985E-2</v>
      </c>
      <c r="P468" s="5">
        <f>(Cotacoes!P468-Cotacoes!P467)/Cotacoes!P467</f>
        <v>-1.1440457618304672E-2</v>
      </c>
      <c r="Q468" s="5">
        <f>(Cotacoes!Q468-Cotacoes!Q467)/Cotacoes!Q467</f>
        <v>-9.9731492136556025E-3</v>
      </c>
      <c r="R468" s="5">
        <f>(Cotacoes!R468-Cotacoes!R467)/Cotacoes!R467</f>
        <v>-1.1128284389490045E-2</v>
      </c>
      <c r="S468" s="5">
        <f>(Cotacoes!S468-Cotacoes!S467)/Cotacoes!S467</f>
        <v>-9.1933570581258089E-3</v>
      </c>
      <c r="T468" s="5">
        <f>(Cotacoes!T468-Cotacoes!T467)/Cotacoes!T467</f>
        <v>-3.6637931034483127E-3</v>
      </c>
      <c r="U468" s="5">
        <f>(Cotacoes!U468-Cotacoes!U467)/Cotacoes!U467</f>
        <v>-2.4441076165214081E-2</v>
      </c>
      <c r="V468" s="5">
        <f>(Cotacoes!V468-Cotacoes!V467)/Cotacoes!V467</f>
        <v>-2.0295983086680632E-2</v>
      </c>
      <c r="W468" s="5"/>
    </row>
    <row r="469" spans="1:23" x14ac:dyDescent="0.2">
      <c r="A469" s="4">
        <v>45244</v>
      </c>
      <c r="B469" s="5">
        <f>(Cotacoes!B469-Cotacoes!B468)/Cotacoes!B468</f>
        <v>1.1534701857282569E-2</v>
      </c>
      <c r="C469" s="5">
        <f>(Cotacoes!C469-Cotacoes!C468)/Cotacoes!C468</f>
        <v>3.0962343096234333E-2</v>
      </c>
      <c r="D469" s="5">
        <f>(Cotacoes!D469-Cotacoes!D468)/Cotacoes!D468</f>
        <v>1.376312930097787E-2</v>
      </c>
      <c r="E469" s="5">
        <f>(Cotacoes!E469-Cotacoes!E468)/Cotacoes!E468</f>
        <v>1.5027908973808563E-2</v>
      </c>
      <c r="F469" s="5">
        <f>(Cotacoes!F469-Cotacoes!F468)/Cotacoes!F468</f>
        <v>1.1631771352608887E-2</v>
      </c>
      <c r="G469" s="5">
        <f>(Cotacoes!G469-Cotacoes!G468)/Cotacoes!G468</f>
        <v>2.2482583913869567E-2</v>
      </c>
      <c r="H469" s="5">
        <f>(Cotacoes!H469-Cotacoes!H468)/Cotacoes!H468</f>
        <v>4.5871559633026545E-3</v>
      </c>
      <c r="I469" s="5">
        <f>(Cotacoes!I469-Cotacoes!I468)/Cotacoes!I468</f>
        <v>3.3756491633006397E-2</v>
      </c>
      <c r="J469" s="5">
        <f>(Cotacoes!J469-Cotacoes!J468)/Cotacoes!J468</f>
        <v>2.2272433828276348E-2</v>
      </c>
      <c r="K469" s="5">
        <f>(Cotacoes!K469-Cotacoes!K468)/Cotacoes!K468</f>
        <v>2.0783373301358897E-2</v>
      </c>
      <c r="L469" s="5">
        <f>(Cotacoes!L469-Cotacoes!L468)/Cotacoes!L468</f>
        <v>1.8596787827557113E-2</v>
      </c>
      <c r="M469" s="5">
        <f>(Cotacoes!M469-Cotacoes!M468)/Cotacoes!M468</f>
        <v>2.0202020202020068E-2</v>
      </c>
      <c r="N469" s="5">
        <f>(Cotacoes!N469-Cotacoes!N468)/Cotacoes!N468</f>
        <v>2.5920873124147273E-2</v>
      </c>
      <c r="O469" s="5">
        <f>(Cotacoes!O469-Cotacoes!O468)/Cotacoes!O468</f>
        <v>-5.714285714285762E-3</v>
      </c>
      <c r="P469" s="5">
        <f>(Cotacoes!P469-Cotacoes!P468)/Cotacoes!P468</f>
        <v>2.4723829563387627E-2</v>
      </c>
      <c r="Q469" s="5">
        <f>(Cotacoes!Q469-Cotacoes!Q468)/Cotacoes!Q468</f>
        <v>-2.9445951181712438E-2</v>
      </c>
      <c r="R469" s="5">
        <f>(Cotacoes!R469-Cotacoes!R468)/Cotacoes!R468</f>
        <v>1.8443263519849949E-2</v>
      </c>
      <c r="S469" s="5">
        <f>(Cotacoes!S469-Cotacoes!S468)/Cotacoes!S468</f>
        <v>1.736007183478017E-2</v>
      </c>
      <c r="T469" s="5">
        <f>(Cotacoes!T469-Cotacoes!T468)/Cotacoes!T468</f>
        <v>1.4709063378758377E-2</v>
      </c>
      <c r="U469" s="5">
        <f>(Cotacoes!U469-Cotacoes!U468)/Cotacoes!U468</f>
        <v>6.7003301611963398E-2</v>
      </c>
      <c r="V469" s="5">
        <f>(Cotacoes!V469-Cotacoes!V468)/Cotacoes!V468</f>
        <v>5.0064738886491003E-2</v>
      </c>
      <c r="W469" s="5"/>
    </row>
    <row r="470" spans="1:23" x14ac:dyDescent="0.2">
      <c r="A470" s="4">
        <v>45246</v>
      </c>
      <c r="B470" s="5">
        <f>(Cotacoes!B470-Cotacoes!B469)/Cotacoes!B469</f>
        <v>2.5125628140702638E-3</v>
      </c>
      <c r="C470" s="5">
        <f>(Cotacoes!C470-Cotacoes!C469)/Cotacoes!C469</f>
        <v>6.6558441558440999E-3</v>
      </c>
      <c r="D470" s="5">
        <f>(Cotacoes!D470-Cotacoes!D469)/Cotacoes!D469</f>
        <v>-1.7506252232940282E-2</v>
      </c>
      <c r="E470" s="5">
        <f>(Cotacoes!E470-Cotacoes!E469)/Cotacoes!E469</f>
        <v>1.6074450084602326E-2</v>
      </c>
      <c r="F470" s="5">
        <f>(Cotacoes!F470-Cotacoes!F469)/Cotacoes!F469</f>
        <v>-2.0367936925098588E-2</v>
      </c>
      <c r="G470" s="5">
        <f>(Cotacoes!G470-Cotacoes!G469)/Cotacoes!G469</f>
        <v>6.193868070611064E-4</v>
      </c>
      <c r="H470" s="5">
        <f>(Cotacoes!H470-Cotacoes!H469)/Cotacoes!H469</f>
        <v>0</v>
      </c>
      <c r="I470" s="5">
        <f>(Cotacoes!I470-Cotacoes!I469)/Cotacoes!I469</f>
        <v>3.1258721741557485E-2</v>
      </c>
      <c r="J470" s="5">
        <f>(Cotacoes!J470-Cotacoes!J469)/Cotacoes!J469</f>
        <v>2.1945058414903702E-2</v>
      </c>
      <c r="K470" s="5">
        <f>(Cotacoes!K470-Cotacoes!K469)/Cotacoes!K469</f>
        <v>3.4455755677368936E-2</v>
      </c>
      <c r="L470" s="5">
        <f>(Cotacoes!L470-Cotacoes!L469)/Cotacoes!L469</f>
        <v>1.991701244813265E-2</v>
      </c>
      <c r="M470" s="5">
        <f>(Cotacoes!M470-Cotacoes!M469)/Cotacoes!M469</f>
        <v>-1.6501650165016151E-3</v>
      </c>
      <c r="N470" s="5">
        <f>(Cotacoes!N470-Cotacoes!N469)/Cotacoes!N469</f>
        <v>1.861702127659582E-2</v>
      </c>
      <c r="O470" s="5">
        <f>(Cotacoes!O470-Cotacoes!O469)/Cotacoes!O469</f>
        <v>3.7356321839080518E-2</v>
      </c>
      <c r="P470" s="5">
        <f>(Cotacoes!P470-Cotacoes!P469)/Cotacoes!P469</f>
        <v>9.2402464065708279E-3</v>
      </c>
      <c r="Q470" s="5">
        <f>(Cotacoes!Q470-Cotacoes!Q469)/Cotacoes!Q469</f>
        <v>1.7165668662674639E-2</v>
      </c>
      <c r="R470" s="5">
        <f>(Cotacoes!R470-Cotacoes!R469)/Cotacoes!R469</f>
        <v>-1.8416206261508646E-3</v>
      </c>
      <c r="S470" s="5">
        <f>(Cotacoes!S470-Cotacoes!S469)/Cotacoes!S469</f>
        <v>1.2356575463371421E-2</v>
      </c>
      <c r="T470" s="5">
        <f>(Cotacoes!T470-Cotacoes!T469)/Cotacoes!T469</f>
        <v>-3.517373694308247E-2</v>
      </c>
      <c r="U470" s="5">
        <f>(Cotacoes!U470-Cotacoes!U469)/Cotacoes!U469</f>
        <v>3.2216963960684443E-2</v>
      </c>
      <c r="V470" s="5">
        <f>(Cotacoes!V470-Cotacoes!V469)/Cotacoes!V469</f>
        <v>2.1783806000822078E-2</v>
      </c>
      <c r="W470" s="5"/>
    </row>
    <row r="471" spans="1:23" x14ac:dyDescent="0.2">
      <c r="A471" s="4">
        <v>45247</v>
      </c>
      <c r="B471" s="5">
        <f>(Cotacoes!B471-Cotacoes!B470)/Cotacoes!B470</f>
        <v>9.061114324272335E-3</v>
      </c>
      <c r="C471" s="5">
        <f>(Cotacoes!C471-Cotacoes!C470)/Cotacoes!C470</f>
        <v>1.9351717464925746E-3</v>
      </c>
      <c r="D471" s="5">
        <f>(Cotacoes!D471-Cotacoes!D470)/Cotacoes!D470</f>
        <v>3.2727272727272674E-2</v>
      </c>
      <c r="E471" s="5">
        <f>(Cotacoes!E471-Cotacoes!E470)/Cotacoes!E470</f>
        <v>4.5795170691090518E-3</v>
      </c>
      <c r="F471" s="5">
        <f>(Cotacoes!F471-Cotacoes!F470)/Cotacoes!F470</f>
        <v>4.2253521126760493E-2</v>
      </c>
      <c r="G471" s="5">
        <f>(Cotacoes!G471-Cotacoes!G470)/Cotacoes!G470</f>
        <v>-6.4995357474466366E-3</v>
      </c>
      <c r="H471" s="5">
        <f>(Cotacoes!H471-Cotacoes!H470)/Cotacoes!H470</f>
        <v>7.3059360730593674E-3</v>
      </c>
      <c r="I471" s="5">
        <f>(Cotacoes!I471-Cotacoes!I470)/Cotacoes!I470</f>
        <v>-7.3071718538566472E-3</v>
      </c>
      <c r="J471" s="5">
        <f>(Cotacoes!J471-Cotacoes!J470)/Cotacoes!J470</f>
        <v>-1.0814151089140642E-3</v>
      </c>
      <c r="K471" s="5">
        <f>(Cotacoes!K471-Cotacoes!K470)/Cotacoes!K470</f>
        <v>-9.0840272520818308E-3</v>
      </c>
      <c r="L471" s="5">
        <f>(Cotacoes!L471-Cotacoes!L470)/Cotacoes!L470</f>
        <v>-1.4646053702196887E-2</v>
      </c>
      <c r="M471" s="5">
        <f>(Cotacoes!M471-Cotacoes!M470)/Cotacoes!M470</f>
        <v>-5.7851239669421727E-3</v>
      </c>
      <c r="N471" s="5">
        <f>(Cotacoes!N471-Cotacoes!N470)/Cotacoes!N470</f>
        <v>-2.6109660574413136E-3</v>
      </c>
      <c r="O471" s="5">
        <f>(Cotacoes!O471-Cotacoes!O470)/Cotacoes!O470</f>
        <v>-9.2336103416433861E-4</v>
      </c>
      <c r="P471" s="5">
        <f>(Cotacoes!P471-Cotacoes!P470)/Cotacoes!P470</f>
        <v>1.0681586978636869E-2</v>
      </c>
      <c r="Q471" s="5">
        <f>(Cotacoes!Q471-Cotacoes!Q470)/Cotacoes!Q470</f>
        <v>-8.6342229199371616E-3</v>
      </c>
      <c r="R471" s="5">
        <f>(Cotacoes!R471-Cotacoes!R470)/Cotacoes!R470</f>
        <v>-1.7527675276752884E-2</v>
      </c>
      <c r="S471" s="5">
        <f>(Cotacoes!S471-Cotacoes!S470)/Cotacoes!S470</f>
        <v>-4.649811101423906E-3</v>
      </c>
      <c r="T471" s="5">
        <f>(Cotacoes!T471-Cotacoes!T470)/Cotacoes!T470</f>
        <v>2.540874944763585E-2</v>
      </c>
      <c r="U471" s="5">
        <f>(Cotacoes!U471-Cotacoes!U470)/Cotacoes!U470</f>
        <v>-1.7633574325516032E-3</v>
      </c>
      <c r="V471" s="5">
        <f>(Cotacoes!V471-Cotacoes!V470)/Cotacoes!V470</f>
        <v>-2.614641995172963E-2</v>
      </c>
      <c r="W471" s="5"/>
    </row>
    <row r="472" spans="1:23" x14ac:dyDescent="0.2">
      <c r="A472" s="4">
        <v>45250</v>
      </c>
      <c r="B472" s="5">
        <f>(Cotacoes!B472-Cotacoes!B471)/Cotacoes!B471</f>
        <v>-5.3496369889186306E-3</v>
      </c>
      <c r="C472" s="5">
        <f>(Cotacoes!C472-Cotacoes!C471)/Cotacoes!C471</f>
        <v>2.446483180428128E-2</v>
      </c>
      <c r="D472" s="5">
        <f>(Cotacoes!D472-Cotacoes!D471)/Cotacoes!D471</f>
        <v>7.0422535211278614E-4</v>
      </c>
      <c r="E472" s="5">
        <f>(Cotacoes!E472-Cotacoes!E471)/Cotacoes!E471</f>
        <v>9.9461251554082888E-3</v>
      </c>
      <c r="F472" s="5">
        <f>(Cotacoes!F472-Cotacoes!F471)/Cotacoes!F471</f>
        <v>-3.2175032175031492E-3</v>
      </c>
      <c r="G472" s="5">
        <f>(Cotacoes!G472-Cotacoes!G471)/Cotacoes!G471</f>
        <v>6.5420560747663815E-3</v>
      </c>
      <c r="H472" s="5">
        <f>(Cotacoes!H472-Cotacoes!H471)/Cotacoes!H471</f>
        <v>5.4397098821396643E-3</v>
      </c>
      <c r="I472" s="5">
        <f>(Cotacoes!I472-Cotacoes!I471)/Cotacoes!I471</f>
        <v>9.2693565976009647E-3</v>
      </c>
      <c r="J472" s="5">
        <f>(Cotacoes!J472-Cotacoes!J471)/Cotacoes!J471</f>
        <v>-3.7117228580265216E-3</v>
      </c>
      <c r="K472" s="5">
        <f>(Cotacoes!K472-Cotacoes!K471)/Cotacoes!K471</f>
        <v>2.2918258212375371E-3</v>
      </c>
      <c r="L472" s="5">
        <f>(Cotacoes!L472-Cotacoes!L471)/Cotacoes!L471</f>
        <v>2.9727497935590524E-2</v>
      </c>
      <c r="M472" s="5">
        <f>(Cotacoes!M472-Cotacoes!M471)/Cotacoes!M471</f>
        <v>0</v>
      </c>
      <c r="N472" s="5">
        <f>(Cotacoes!N472-Cotacoes!N471)/Cotacoes!N471</f>
        <v>9.1623036649215034E-3</v>
      </c>
      <c r="O472" s="5">
        <f>(Cotacoes!O472-Cotacoes!O471)/Cotacoes!O471</f>
        <v>8.3179297597042387E-3</v>
      </c>
      <c r="P472" s="5">
        <f>(Cotacoes!P472-Cotacoes!P471)/Cotacoes!P471</f>
        <v>4.0261701056868793E-3</v>
      </c>
      <c r="Q472" s="5">
        <f>(Cotacoes!Q472-Cotacoes!Q471)/Cotacoes!Q471</f>
        <v>-7.9176563737146175E-4</v>
      </c>
      <c r="R472" s="5">
        <f>(Cotacoes!R472-Cotacoes!R471)/Cotacoes!R471</f>
        <v>-6.8857589984350192E-3</v>
      </c>
      <c r="S472" s="5">
        <f>(Cotacoes!S472-Cotacoes!S471)/Cotacoes!S471</f>
        <v>0</v>
      </c>
      <c r="T472" s="5">
        <f>(Cotacoes!T472-Cotacoes!T471)/Cotacoes!T471</f>
        <v>2.2408963585434309E-2</v>
      </c>
      <c r="U472" s="5">
        <f>(Cotacoes!U472-Cotacoes!U471)/Cotacoes!U471</f>
        <v>1.413177883766089E-3</v>
      </c>
      <c r="V472" s="5">
        <f>(Cotacoes!V472-Cotacoes!V471)/Cotacoes!V471</f>
        <v>3.097893432465923E-2</v>
      </c>
      <c r="W472" s="5"/>
    </row>
    <row r="473" spans="1:23" x14ac:dyDescent="0.2">
      <c r="A473" s="4">
        <v>45251</v>
      </c>
      <c r="B473" s="5">
        <f>(Cotacoes!B473-Cotacoes!B472)/Cotacoes!B472</f>
        <v>2.4971187091816257E-3</v>
      </c>
      <c r="C473" s="5">
        <f>(Cotacoes!C473-Cotacoes!C472)/Cotacoes!C472</f>
        <v>2.4194815396700695E-2</v>
      </c>
      <c r="D473" s="5">
        <f>(Cotacoes!D473-Cotacoes!D472)/Cotacoes!D472</f>
        <v>-6.333567909922704E-3</v>
      </c>
      <c r="E473" s="5">
        <f>(Cotacoes!E473-Cotacoes!E472)/Cotacoes!E472</f>
        <v>-1.6413623307346204E-3</v>
      </c>
      <c r="F473" s="5">
        <f>(Cotacoes!F473-Cotacoes!F472)/Cotacoes!F472</f>
        <v>-1.0006455777921199E-2</v>
      </c>
      <c r="G473" s="5">
        <f>(Cotacoes!G473-Cotacoes!G472)/Cotacoes!G472</f>
        <v>5.2615289384089934E-3</v>
      </c>
      <c r="H473" s="5">
        <f>(Cotacoes!H473-Cotacoes!H472)/Cotacoes!H472</f>
        <v>7.2137060414788163E-3</v>
      </c>
      <c r="I473" s="5">
        <f>(Cotacoes!I473-Cotacoes!I472)/Cotacoes!I472</f>
        <v>-2.0529443544030392E-2</v>
      </c>
      <c r="J473" s="5">
        <f>(Cotacoes!J473-Cotacoes!J472)/Cotacoes!J472</f>
        <v>8.8481837938527343E-3</v>
      </c>
      <c r="K473" s="5">
        <f>(Cotacoes!K473-Cotacoes!K472)/Cotacoes!K472</f>
        <v>-3.8109756097560164E-3</v>
      </c>
      <c r="L473" s="5">
        <f>(Cotacoes!L473-Cotacoes!L472)/Cotacoes!L472</f>
        <v>-2.0048115477145148E-2</v>
      </c>
      <c r="M473" s="5">
        <f>(Cotacoes!M473-Cotacoes!M472)/Cotacoes!M472</f>
        <v>-1.1637572734829493E-2</v>
      </c>
      <c r="N473" s="5">
        <f>(Cotacoes!N473-Cotacoes!N472)/Cotacoes!N472</f>
        <v>0</v>
      </c>
      <c r="O473" s="5">
        <f>(Cotacoes!O473-Cotacoes!O472)/Cotacoes!O472</f>
        <v>-2.3373052245646269E-2</v>
      </c>
      <c r="P473" s="5">
        <f>(Cotacoes!P473-Cotacoes!P472)/Cotacoes!P472</f>
        <v>-1.2531328320802006E-2</v>
      </c>
      <c r="Q473" s="5">
        <f>(Cotacoes!Q473-Cotacoes!Q472)/Cotacoes!Q472</f>
        <v>1.584786053882833E-3</v>
      </c>
      <c r="R473" s="5">
        <f>(Cotacoes!R473-Cotacoes!R472)/Cotacoes!R472</f>
        <v>-1.764891270091392E-2</v>
      </c>
      <c r="S473" s="5">
        <f>(Cotacoes!S473-Cotacoes!S472)/Cotacoes!S472</f>
        <v>-5.5474452554743862E-3</v>
      </c>
      <c r="T473" s="5">
        <f>(Cotacoes!T473-Cotacoes!T472)/Cotacoes!T472</f>
        <v>9.4836670179135035E-3</v>
      </c>
      <c r="U473" s="5">
        <f>(Cotacoes!U473-Cotacoes!U472)/Cotacoes!U472</f>
        <v>-1.3759040395131436E-2</v>
      </c>
      <c r="V473" s="5">
        <f>(Cotacoes!V473-Cotacoes!V472)/Cotacoes!V472</f>
        <v>-1.4022435897435953E-2</v>
      </c>
      <c r="W473" s="5"/>
    </row>
    <row r="474" spans="1:23" x14ac:dyDescent="0.2">
      <c r="A474" s="4">
        <v>45252</v>
      </c>
      <c r="B474" s="5">
        <f>(Cotacoes!B474-Cotacoes!B473)/Cotacoes!B473</f>
        <v>6.0356390113049403E-3</v>
      </c>
      <c r="C474" s="5">
        <f>(Cotacoes!C474-Cotacoes!C473)/Cotacoes!C473</f>
        <v>-1.1044638748274258E-2</v>
      </c>
      <c r="D474" s="5">
        <f>(Cotacoes!D474-Cotacoes!D473)/Cotacoes!D473</f>
        <v>-1.7705382436259617E-3</v>
      </c>
      <c r="E474" s="5">
        <f>(Cotacoes!E474-Cotacoes!E473)/Cotacoes!E473</f>
        <v>6.165228113440285E-3</v>
      </c>
      <c r="F474" s="5">
        <f>(Cotacoes!F474-Cotacoes!F473)/Cotacoes!F473</f>
        <v>-6.52103032279202E-4</v>
      </c>
      <c r="G474" s="5">
        <f>(Cotacoes!G474-Cotacoes!G473)/Cotacoes!G473</f>
        <v>1.3238916256157628E-2</v>
      </c>
      <c r="H474" s="5">
        <f>(Cotacoes!H474-Cotacoes!H473)/Cotacoes!H473</f>
        <v>4.9239033124440215E-3</v>
      </c>
      <c r="I474" s="5">
        <f>(Cotacoes!I474-Cotacoes!I473)/Cotacoes!I473</f>
        <v>1.2686155543298425E-2</v>
      </c>
      <c r="J474" s="5">
        <f>(Cotacoes!J474-Cotacoes!J473)/Cotacoes!J473</f>
        <v>1.5540852438836824E-2</v>
      </c>
      <c r="K474" s="5">
        <f>(Cotacoes!K474-Cotacoes!K473)/Cotacoes!K473</f>
        <v>2.1423106350420763E-2</v>
      </c>
      <c r="L474" s="5">
        <f>(Cotacoes!L474-Cotacoes!L473)/Cotacoes!L473</f>
        <v>1.3911620294599011E-2</v>
      </c>
      <c r="M474" s="5">
        <f>(Cotacoes!M474-Cotacoes!M473)/Cotacoes!M473</f>
        <v>1.0092514718250565E-2</v>
      </c>
      <c r="N474" s="5">
        <f>(Cotacoes!N474-Cotacoes!N473)/Cotacoes!N473</f>
        <v>-3.8910505836576197E-3</v>
      </c>
      <c r="O474" s="5">
        <f>(Cotacoes!O474-Cotacoes!O473)/Cotacoes!O473</f>
        <v>4.0356640075082266E-2</v>
      </c>
      <c r="P474" s="5">
        <f>(Cotacoes!P474-Cotacoes!P473)/Cotacoes!P473</f>
        <v>1.9289340101522792E-2</v>
      </c>
      <c r="Q474" s="5">
        <f>(Cotacoes!Q474-Cotacoes!Q473)/Cotacoes!Q473</f>
        <v>8.5047468354430313E-3</v>
      </c>
      <c r="R474" s="5">
        <f>(Cotacoes!R474-Cotacoes!R473)/Cotacoes!R473</f>
        <v>2.0853384664741691E-2</v>
      </c>
      <c r="S474" s="5">
        <f>(Cotacoes!S474-Cotacoes!S473)/Cotacoes!S473</f>
        <v>1.4386376981796678E-2</v>
      </c>
      <c r="T474" s="5">
        <f>(Cotacoes!T474-Cotacoes!T473)/Cotacoes!T473</f>
        <v>-1.5448851774530313E-2</v>
      </c>
      <c r="U474" s="5">
        <f>(Cotacoes!U474-Cotacoes!U473)/Cotacoes!U473</f>
        <v>2.5040243248077372E-3</v>
      </c>
      <c r="V474" s="5">
        <f>(Cotacoes!V474-Cotacoes!V473)/Cotacoes!V473</f>
        <v>9.3457943925233829E-3</v>
      </c>
      <c r="W474" s="5"/>
    </row>
    <row r="475" spans="1:23" x14ac:dyDescent="0.2">
      <c r="A475" s="4">
        <v>45253</v>
      </c>
      <c r="B475" s="5">
        <f>(Cotacoes!B475-Cotacoes!B474)/Cotacoes!B474</f>
        <v>-7.3326349871441782E-3</v>
      </c>
      <c r="C475" s="5">
        <f>(Cotacoes!C475-Cotacoes!C474)/Cotacoes!C474</f>
        <v>-6.2044361718629698E-3</v>
      </c>
      <c r="D475" s="5">
        <f>(Cotacoes!D475-Cotacoes!D474)/Cotacoes!D474</f>
        <v>3.5473572188712344E-4</v>
      </c>
      <c r="E475" s="5">
        <f>(Cotacoes!E475-Cotacoes!E474)/Cotacoes!E474</f>
        <v>-1.2254901960784778E-3</v>
      </c>
      <c r="F475" s="5">
        <f>(Cotacoes!F475-Cotacoes!F474)/Cotacoes!F474</f>
        <v>4.567699836867882E-3</v>
      </c>
      <c r="G475" s="5">
        <f>(Cotacoes!G475-Cotacoes!G474)/Cotacoes!G474</f>
        <v>-1.2154360376784915E-3</v>
      </c>
      <c r="H475" s="5">
        <f>(Cotacoes!H475-Cotacoes!H474)/Cotacoes!H474</f>
        <v>3.1180400890868723E-3</v>
      </c>
      <c r="I475" s="5">
        <f>(Cotacoes!I475-Cotacoes!I474)/Cotacoes!I474</f>
        <v>2.042483660130719E-2</v>
      </c>
      <c r="J475" s="5">
        <f>(Cotacoes!J475-Cotacoes!J474)/Cotacoes!J474</f>
        <v>2.6363636363636287E-2</v>
      </c>
      <c r="K475" s="5">
        <f>(Cotacoes!K475-Cotacoes!K474)/Cotacoes!K474</f>
        <v>2.6217228464419449E-2</v>
      </c>
      <c r="L475" s="5">
        <f>(Cotacoes!L475-Cotacoes!L474)/Cotacoes!L474</f>
        <v>1.129943502824849E-2</v>
      </c>
      <c r="M475" s="5">
        <f>(Cotacoes!M475-Cotacoes!M474)/Cotacoes!M474</f>
        <v>-1.6652789342214466E-3</v>
      </c>
      <c r="N475" s="5">
        <f>(Cotacoes!N475-Cotacoes!N474)/Cotacoes!N474</f>
        <v>6.5104166666667598E-3</v>
      </c>
      <c r="O475" s="5">
        <f>(Cotacoes!O475-Cotacoes!O474)/Cotacoes!O474</f>
        <v>3.1574199368515979E-2</v>
      </c>
      <c r="P475" s="5">
        <f>(Cotacoes!P475-Cotacoes!P474)/Cotacoes!P474</f>
        <v>9.9601593625513575E-4</v>
      </c>
      <c r="Q475" s="5">
        <f>(Cotacoes!Q475-Cotacoes!Q474)/Cotacoes!Q474</f>
        <v>6.8640909982349754E-3</v>
      </c>
      <c r="R475" s="5">
        <f>(Cotacoes!R475-Cotacoes!R474)/Cotacoes!R474</f>
        <v>1.0999371464487788E-2</v>
      </c>
      <c r="S475" s="5">
        <f>(Cotacoes!S475-Cotacoes!S474)/Cotacoes!S474</f>
        <v>9.5513748191029067E-3</v>
      </c>
      <c r="T475" s="5">
        <f>(Cotacoes!T475-Cotacoes!T474)/Cotacoes!T474</f>
        <v>0</v>
      </c>
      <c r="U475" s="5">
        <f>(Cotacoes!U475-Cotacoes!U474)/Cotacoes!U474</f>
        <v>8.7421944692239427E-3</v>
      </c>
      <c r="V475" s="5">
        <f>(Cotacoes!V475-Cotacoes!V474)/Cotacoes!V474</f>
        <v>9.6618357487922076E-3</v>
      </c>
      <c r="W475" s="5"/>
    </row>
    <row r="476" spans="1:23" x14ac:dyDescent="0.2">
      <c r="A476" s="4">
        <v>45254</v>
      </c>
      <c r="B476" s="5">
        <f>(Cotacoes!B476-Cotacoes!B475)/Cotacoes!B475</f>
        <v>8.6339217191100739E-4</v>
      </c>
      <c r="C476" s="5">
        <f>(Cotacoes!C476-Cotacoes!C475)/Cotacoes!C475</f>
        <v>-8.5843608553143446E-3</v>
      </c>
      <c r="D476" s="5">
        <f>(Cotacoes!D476-Cotacoes!D475)/Cotacoes!D475</f>
        <v>2.8368794326241792E-3</v>
      </c>
      <c r="E476" s="5">
        <f>(Cotacoes!E476-Cotacoes!E475)/Cotacoes!E475</f>
        <v>-5.7259713701431729E-3</v>
      </c>
      <c r="F476" s="5">
        <f>(Cotacoes!F476-Cotacoes!F475)/Cotacoes!F475</f>
        <v>-2.9230269568041528E-3</v>
      </c>
      <c r="G476" s="5">
        <f>(Cotacoes!G476-Cotacoes!G475)/Cotacoes!G475</f>
        <v>-1.0039549741405486E-2</v>
      </c>
      <c r="H476" s="5">
        <f>(Cotacoes!H476-Cotacoes!H475)/Cotacoes!H475</f>
        <v>-8.8809946714030078E-4</v>
      </c>
      <c r="I476" s="5">
        <f>(Cotacoes!I476-Cotacoes!I475)/Cotacoes!I475</f>
        <v>-1.9215372297838242E-2</v>
      </c>
      <c r="J476" s="5">
        <f>(Cotacoes!J476-Cotacoes!J475)/Cotacoes!J475</f>
        <v>8.4145261293180895E-3</v>
      </c>
      <c r="K476" s="5">
        <f>(Cotacoes!K476-Cotacoes!K475)/Cotacoes!K475</f>
        <v>7.2992700729938419E-4</v>
      </c>
      <c r="L476" s="5">
        <f>(Cotacoes!L476-Cotacoes!L475)/Cotacoes!L475</f>
        <v>-1.9154030327214702E-2</v>
      </c>
      <c r="M476" s="5">
        <f>(Cotacoes!M476-Cotacoes!M475)/Cotacoes!M475</f>
        <v>-1.1676396997497961E-2</v>
      </c>
      <c r="N476" s="5">
        <f>(Cotacoes!N476-Cotacoes!N475)/Cotacoes!N475</f>
        <v>-6.4683053040104407E-3</v>
      </c>
      <c r="O476" s="5">
        <f>(Cotacoes!O476-Cotacoes!O475)/Cotacoes!O475</f>
        <v>4.3725404459990323E-3</v>
      </c>
      <c r="P476" s="5">
        <f>(Cotacoes!P476-Cotacoes!P475)/Cotacoes!P475</f>
        <v>-4.9751243781095229E-3</v>
      </c>
      <c r="Q476" s="5">
        <f>(Cotacoes!Q476-Cotacoes!Q475)/Cotacoes!Q475</f>
        <v>-6.2329567588624906E-3</v>
      </c>
      <c r="R476" s="5">
        <f>(Cotacoes!R476-Cotacoes!R475)/Cotacoes!R475</f>
        <v>-8.7037612682623906E-3</v>
      </c>
      <c r="S476" s="5">
        <f>(Cotacoes!S476-Cotacoes!S475)/Cotacoes!S475</f>
        <v>-4.0137614678899241E-3</v>
      </c>
      <c r="T476" s="5">
        <f>(Cotacoes!T476-Cotacoes!T475)/Cotacoes!T475</f>
        <v>-6.3613231552150202E-4</v>
      </c>
      <c r="U476" s="5">
        <f>(Cotacoes!U476-Cotacoes!U475)/Cotacoes!U475</f>
        <v>-1.5210470463388741E-2</v>
      </c>
      <c r="V476" s="5">
        <f>(Cotacoes!V476-Cotacoes!V475)/Cotacoes!V475</f>
        <v>-1.3157894736842039E-2</v>
      </c>
      <c r="W476" s="5"/>
    </row>
    <row r="477" spans="1:23" x14ac:dyDescent="0.2">
      <c r="A477" s="4">
        <v>45257</v>
      </c>
      <c r="B477" s="5">
        <f>(Cotacoes!B477-Cotacoes!B476)/Cotacoes!B476</f>
        <v>6.8053292437458826E-3</v>
      </c>
      <c r="C477" s="5">
        <f>(Cotacoes!C477-Cotacoes!C476)/Cotacoes!C476</f>
        <v>-5.8249370277078799E-3</v>
      </c>
      <c r="D477" s="5">
        <f>(Cotacoes!D477-Cotacoes!D476)/Cotacoes!D476</f>
        <v>-5.6577086280056622E-3</v>
      </c>
      <c r="E477" s="5">
        <f>(Cotacoes!E477-Cotacoes!E476)/Cotacoes!E476</f>
        <v>-2.4681201151788863E-3</v>
      </c>
      <c r="F477" s="5">
        <f>(Cotacoes!F477-Cotacoes!F476)/Cotacoes!F476</f>
        <v>-6.5146579804560029E-3</v>
      </c>
      <c r="G477" s="5">
        <f>(Cotacoes!G477-Cotacoes!G476)/Cotacoes!G476</f>
        <v>1.259987707437012E-2</v>
      </c>
      <c r="H477" s="5">
        <f>(Cotacoes!H477-Cotacoes!H476)/Cotacoes!H476</f>
        <v>1.822222222222223E-2</v>
      </c>
      <c r="I477" s="5">
        <f>(Cotacoes!I477-Cotacoes!I476)/Cotacoes!I476</f>
        <v>2.0136054421768763E-2</v>
      </c>
      <c r="J477" s="5">
        <f>(Cotacoes!J477-Cotacoes!J476)/Cotacoes!J476</f>
        <v>-9.0762699458352292E-3</v>
      </c>
      <c r="K477" s="5">
        <f>(Cotacoes!K477-Cotacoes!K476)/Cotacoes!K476</f>
        <v>-5.8351568198395376E-3</v>
      </c>
      <c r="L477" s="5">
        <f>(Cotacoes!L477-Cotacoes!L476)/Cotacoes!L476</f>
        <v>0</v>
      </c>
      <c r="M477" s="5">
        <f>(Cotacoes!M477-Cotacoes!M476)/Cotacoes!M476</f>
        <v>1.4345991561181428E-2</v>
      </c>
      <c r="N477" s="5">
        <f>(Cotacoes!N477-Cotacoes!N476)/Cotacoes!N476</f>
        <v>7.8125000000000659E-3</v>
      </c>
      <c r="O477" s="5">
        <f>(Cotacoes!O477-Cotacoes!O476)/Cotacoes!O476</f>
        <v>1.0883761427949499E-2</v>
      </c>
      <c r="P477" s="5">
        <f>(Cotacoes!P477-Cotacoes!P476)/Cotacoes!P476</f>
        <v>1.2500000000000001E-2</v>
      </c>
      <c r="Q477" s="5">
        <f>(Cotacoes!Q477-Cotacoes!Q476)/Cotacoes!Q476</f>
        <v>5.2920423363386126E-3</v>
      </c>
      <c r="R477" s="5">
        <f>(Cotacoes!R477-Cotacoes!R476)/Cotacoes!R476</f>
        <v>1.3483850736908113E-2</v>
      </c>
      <c r="S477" s="5">
        <f>(Cotacoes!S477-Cotacoes!S476)/Cotacoes!S476</f>
        <v>-3.1663788140471913E-3</v>
      </c>
      <c r="T477" s="5">
        <f>(Cotacoes!T477-Cotacoes!T476)/Cotacoes!T476</f>
        <v>-2.0793549755994144E-2</v>
      </c>
      <c r="U477" s="5">
        <f>(Cotacoes!U477-Cotacoes!U476)/Cotacoes!U476</f>
        <v>-1.3290229885057507E-2</v>
      </c>
      <c r="V477" s="5">
        <f>(Cotacoes!V477-Cotacoes!V476)/Cotacoes!V476</f>
        <v>1.9393939393939411E-2</v>
      </c>
      <c r="W477" s="5"/>
    </row>
    <row r="478" spans="1:23" x14ac:dyDescent="0.2">
      <c r="A478" s="4">
        <v>45258</v>
      </c>
      <c r="B478" s="5">
        <f>(Cotacoes!B478-Cotacoes!B477)/Cotacoes!B477</f>
        <v>-2.2848438690023713E-3</v>
      </c>
      <c r="C478" s="5">
        <f>(Cotacoes!C478-Cotacoes!C477)/Cotacoes!C477</f>
        <v>2.0585906571655194E-3</v>
      </c>
      <c r="D478" s="5">
        <f>(Cotacoes!D478-Cotacoes!D477)/Cotacoes!D477</f>
        <v>1.493598862019908E-2</v>
      </c>
      <c r="E478" s="5">
        <f>(Cotacoes!E478-Cotacoes!E477)/Cotacoes!E477</f>
        <v>9.8969072164947804E-3</v>
      </c>
      <c r="F478" s="5">
        <f>(Cotacoes!F478-Cotacoes!F477)/Cotacoes!F477</f>
        <v>9.1803278688524954E-3</v>
      </c>
      <c r="G478" s="5">
        <f>(Cotacoes!G478-Cotacoes!G477)/Cotacoes!G477</f>
        <v>6.6767830045523172E-3</v>
      </c>
      <c r="H478" s="5">
        <f>(Cotacoes!H478-Cotacoes!H477)/Cotacoes!H477</f>
        <v>1.4404190309908263E-2</v>
      </c>
      <c r="I478" s="5">
        <f>(Cotacoes!I478-Cotacoes!I477)/Cotacoes!I477</f>
        <v>-6.9351827153909069E-3</v>
      </c>
      <c r="J478" s="5">
        <f>(Cotacoes!J478-Cotacoes!J477)/Cotacoes!J477</f>
        <v>-1.4773230905585618E-4</v>
      </c>
      <c r="K478" s="5">
        <f>(Cotacoes!K478-Cotacoes!K477)/Cotacoes!K477</f>
        <v>8.8041085840058122E-3</v>
      </c>
      <c r="L478" s="5">
        <f>(Cotacoes!L478-Cotacoes!L477)/Cotacoes!L477</f>
        <v>2.3596419853539538E-2</v>
      </c>
      <c r="M478" s="5">
        <f>(Cotacoes!M478-Cotacoes!M477)/Cotacoes!M477</f>
        <v>4.991680532445965E-3</v>
      </c>
      <c r="N478" s="5">
        <f>(Cotacoes!N478-Cotacoes!N477)/Cotacoes!N477</f>
        <v>2.5839793281653197E-3</v>
      </c>
      <c r="O478" s="5">
        <f>(Cotacoes!O478-Cotacoes!O477)/Cotacoes!O477</f>
        <v>5.1679586563307921E-3</v>
      </c>
      <c r="P478" s="5">
        <f>(Cotacoes!P478-Cotacoes!P477)/Cotacoes!P477</f>
        <v>-1.7283950617284022E-2</v>
      </c>
      <c r="Q478" s="5">
        <f>(Cotacoes!Q478-Cotacoes!Q477)/Cotacoes!Q477</f>
        <v>-7.4088516279977104E-3</v>
      </c>
      <c r="R478" s="5">
        <f>(Cotacoes!R478-Cotacoes!R477)/Cotacoes!R477</f>
        <v>4.3316831683168494E-3</v>
      </c>
      <c r="S478" s="5">
        <f>(Cotacoes!S478-Cotacoes!S477)/Cotacoes!S477</f>
        <v>-2.8876696505920132E-3</v>
      </c>
      <c r="T478" s="5">
        <f>(Cotacoes!T478-Cotacoes!T477)/Cotacoes!T477</f>
        <v>-2.8169014084506059E-3</v>
      </c>
      <c r="U478" s="5">
        <f>(Cotacoes!U478-Cotacoes!U477)/Cotacoes!U477</f>
        <v>9.1008372770302632E-4</v>
      </c>
      <c r="V478" s="5">
        <f>(Cotacoes!V478-Cotacoes!V477)/Cotacoes!V477</f>
        <v>1.0305192231470393E-2</v>
      </c>
      <c r="W478" s="5"/>
    </row>
    <row r="479" spans="1:23" x14ac:dyDescent="0.2">
      <c r="A479" s="4">
        <v>45259</v>
      </c>
      <c r="B479" s="5">
        <f>(Cotacoes!B479-Cotacoes!B478)/Cotacoes!B478</f>
        <v>7.8244274809161005E-3</v>
      </c>
      <c r="C479" s="5">
        <f>(Cotacoes!C479-Cotacoes!C478)/Cotacoes!C478</f>
        <v>-1.5802781289503808E-4</v>
      </c>
      <c r="D479" s="5">
        <f>(Cotacoes!D479-Cotacoes!D478)/Cotacoes!D478</f>
        <v>-1.0161177295024497E-2</v>
      </c>
      <c r="E479" s="5">
        <f>(Cotacoes!E479-Cotacoes!E478)/Cotacoes!E478</f>
        <v>6.5332788893425952E-3</v>
      </c>
      <c r="F479" s="5">
        <f>(Cotacoes!F479-Cotacoes!F478)/Cotacoes!F478</f>
        <v>-1.3320337881741395E-2</v>
      </c>
      <c r="G479" s="5">
        <f>(Cotacoes!G479-Cotacoes!G478)/Cotacoes!G478</f>
        <v>-6.9339764847755189E-3</v>
      </c>
      <c r="H479" s="5">
        <f>(Cotacoes!H479-Cotacoes!H478)/Cotacoes!H478</f>
        <v>1.7211703958693073E-3</v>
      </c>
      <c r="I479" s="5">
        <f>(Cotacoes!I479-Cotacoes!I478)/Cotacoes!I478</f>
        <v>-6.7150147730325009E-3</v>
      </c>
      <c r="J479" s="5">
        <f>(Cotacoes!J479-Cotacoes!J478)/Cotacoes!J478</f>
        <v>-1.255910165484646E-2</v>
      </c>
      <c r="K479" s="5">
        <f>(Cotacoes!K479-Cotacoes!K478)/Cotacoes!K478</f>
        <v>-5.0909090909091112E-3</v>
      </c>
      <c r="L479" s="5">
        <f>(Cotacoes!L479-Cotacoes!L478)/Cotacoes!L478</f>
        <v>2.384737678855275E-3</v>
      </c>
      <c r="M479" s="5">
        <f>(Cotacoes!M479-Cotacoes!M478)/Cotacoes!M478</f>
        <v>-2.566225165562918E-2</v>
      </c>
      <c r="N479" s="5">
        <f>(Cotacoes!N479-Cotacoes!N478)/Cotacoes!N478</f>
        <v>2.5773195876289258E-3</v>
      </c>
      <c r="O479" s="5">
        <f>(Cotacoes!O479-Cotacoes!O478)/Cotacoes!O478</f>
        <v>-5.5698371893744218E-3</v>
      </c>
      <c r="P479" s="5">
        <f>(Cotacoes!P479-Cotacoes!P478)/Cotacoes!P478</f>
        <v>2.3618090452261431E-2</v>
      </c>
      <c r="Q479" s="5">
        <f>(Cotacoes!Q479-Cotacoes!Q478)/Cotacoes!Q478</f>
        <v>1.6892555490080664E-2</v>
      </c>
      <c r="R479" s="5">
        <f>(Cotacoes!R479-Cotacoes!R478)/Cotacoes!R478</f>
        <v>2.064078866296986E-2</v>
      </c>
      <c r="S479" s="5">
        <f>(Cotacoes!S479-Cotacoes!S478)/Cotacoes!S478</f>
        <v>-1.0715320011584262E-2</v>
      </c>
      <c r="T479" s="5">
        <f>(Cotacoes!T479-Cotacoes!T478)/Cotacoes!T478</f>
        <v>-3.9113428943937352E-3</v>
      </c>
      <c r="U479" s="5">
        <f>(Cotacoes!U479-Cotacoes!U478)/Cotacoes!U478</f>
        <v>2.9096199308964645E-3</v>
      </c>
      <c r="V479" s="5">
        <f>(Cotacoes!V479-Cotacoes!V478)/Cotacoes!V478</f>
        <v>-1.7261671243624863E-2</v>
      </c>
      <c r="W479" s="5"/>
    </row>
    <row r="480" spans="1:23" x14ac:dyDescent="0.2">
      <c r="A480" s="4">
        <v>45260</v>
      </c>
      <c r="B480" s="5">
        <f>(Cotacoes!B480-Cotacoes!B479)/Cotacoes!B479</f>
        <v>6.4381745881461139E-3</v>
      </c>
      <c r="C480" s="5">
        <f>(Cotacoes!C480-Cotacoes!C479)/Cotacoes!C479</f>
        <v>5.3737948474789996E-3</v>
      </c>
      <c r="D480" s="5">
        <f>(Cotacoes!D480-Cotacoes!D479)/Cotacoes!D479</f>
        <v>1.911504424778758E-2</v>
      </c>
      <c r="E480" s="5">
        <f>(Cotacoes!E480-Cotacoes!E479)/Cotacoes!E479</f>
        <v>1.5415821501014303E-2</v>
      </c>
      <c r="F480" s="5">
        <f>(Cotacoes!F480-Cotacoes!F479)/Cotacoes!F479</f>
        <v>9.5488969377675054E-3</v>
      </c>
      <c r="G480" s="5">
        <f>(Cotacoes!G480-Cotacoes!G479)/Cotacoes!G479</f>
        <v>1.8214936247723825E-3</v>
      </c>
      <c r="H480" s="5">
        <f>(Cotacoes!H480-Cotacoes!H479)/Cotacoes!H479</f>
        <v>2.9209621993127134E-2</v>
      </c>
      <c r="I480" s="5">
        <f>(Cotacoes!I480-Cotacoes!I479)/Cotacoes!I479</f>
        <v>2.9745808545161316E-3</v>
      </c>
      <c r="J480" s="5">
        <f>(Cotacoes!J480-Cotacoes!J479)/Cotacoes!J479</f>
        <v>1.0923238066736556E-2</v>
      </c>
      <c r="K480" s="5">
        <f>(Cotacoes!K480-Cotacoes!K479)/Cotacoes!K479</f>
        <v>8.7719298245614759E-3</v>
      </c>
      <c r="L480" s="5">
        <f>(Cotacoes!L480-Cotacoes!L479)/Cotacoes!L479</f>
        <v>3.9651070578906192E-3</v>
      </c>
      <c r="M480" s="5">
        <f>(Cotacoes!M480-Cotacoes!M479)/Cotacoes!M479</f>
        <v>2.888700084961766E-2</v>
      </c>
      <c r="N480" s="5">
        <f>(Cotacoes!N480-Cotacoes!N479)/Cotacoes!N479</f>
        <v>2.0565552699228811E-2</v>
      </c>
      <c r="O480" s="5">
        <f>(Cotacoes!O480-Cotacoes!O479)/Cotacoes!O479</f>
        <v>0</v>
      </c>
      <c r="P480" s="5">
        <f>(Cotacoes!P480-Cotacoes!P479)/Cotacoes!P479</f>
        <v>5.4491899852724561E-2</v>
      </c>
      <c r="Q480" s="5">
        <f>(Cotacoes!Q480-Cotacoes!Q479)/Cotacoes!Q479</f>
        <v>-8.6922928336875174E-3</v>
      </c>
      <c r="R480" s="5">
        <f>(Cotacoes!R480-Cotacoes!R479)/Cotacoes!R479</f>
        <v>2.4147298520977876E-2</v>
      </c>
      <c r="S480" s="5">
        <f>(Cotacoes!S480-Cotacoes!S479)/Cotacoes!S479</f>
        <v>-2.9274004683839086E-3</v>
      </c>
      <c r="T480" s="5">
        <f>(Cotacoes!T480-Cotacoes!T479)/Cotacoes!T479</f>
        <v>4.3630017451998297E-4</v>
      </c>
      <c r="U480" s="5">
        <f>(Cotacoes!U480-Cotacoes!U479)/Cotacoes!U479</f>
        <v>1.3780598368087E-2</v>
      </c>
      <c r="V480" s="5">
        <f>(Cotacoes!V480-Cotacoes!V479)/Cotacoes!V479</f>
        <v>1.9960079840319361E-2</v>
      </c>
      <c r="W480" s="5"/>
    </row>
    <row r="481" spans="1:23" x14ac:dyDescent="0.2">
      <c r="A481" s="4">
        <v>45261</v>
      </c>
      <c r="B481" s="5">
        <f>(Cotacoes!B481-Cotacoes!B480)/Cotacoes!B480</f>
        <v>-9.6895578551270106E-3</v>
      </c>
      <c r="C481" s="5">
        <f>(Cotacoes!C481-Cotacoes!C480)/Cotacoes!C480</f>
        <v>1.8550542367552381E-2</v>
      </c>
      <c r="D481" s="5">
        <f>(Cotacoes!D481-Cotacoes!D480)/Cotacoes!D480</f>
        <v>-6.5995137200416023E-3</v>
      </c>
      <c r="E481" s="5">
        <f>(Cotacoes!E481-Cotacoes!E480)/Cotacoes!E480</f>
        <v>-1.9976028765481707E-3</v>
      </c>
      <c r="F481" s="5">
        <f>(Cotacoes!F481-Cotacoes!F480)/Cotacoes!F480</f>
        <v>-1.337247227658187E-2</v>
      </c>
      <c r="G481" s="5">
        <f>(Cotacoes!G481-Cotacoes!G480)/Cotacoes!G480</f>
        <v>1.727272727272728E-2</v>
      </c>
      <c r="H481" s="5">
        <f>(Cotacoes!H481-Cotacoes!H480)/Cotacoes!H480</f>
        <v>1.6694490818029693E-3</v>
      </c>
      <c r="I481" s="5">
        <f>(Cotacoes!I481-Cotacoes!I480)/Cotacoes!I480</f>
        <v>5.9315179293609821E-3</v>
      </c>
      <c r="J481" s="5">
        <f>(Cotacoes!J481-Cotacoes!J480)/Cotacoes!J480</f>
        <v>1.6281823564239111E-2</v>
      </c>
      <c r="K481" s="5">
        <f>(Cotacoes!K481-Cotacoes!K480)/Cotacoes!K480</f>
        <v>3.6231884057970239E-3</v>
      </c>
      <c r="L481" s="5">
        <f>(Cotacoes!L481-Cotacoes!L480)/Cotacoes!L480</f>
        <v>1.6587677725118412E-2</v>
      </c>
      <c r="M481" s="5">
        <f>(Cotacoes!M481-Cotacoes!M480)/Cotacoes!M480</f>
        <v>2.890173410404636E-2</v>
      </c>
      <c r="N481" s="5">
        <f>(Cotacoes!N481-Cotacoes!N480)/Cotacoes!N480</f>
        <v>2.5188916876573769E-3</v>
      </c>
      <c r="O481" s="5">
        <f>(Cotacoes!O481-Cotacoes!O480)/Cotacoes!O480</f>
        <v>2.800517018526491E-2</v>
      </c>
      <c r="P481" s="5">
        <f>(Cotacoes!P481-Cotacoes!P480)/Cotacoes!P480</f>
        <v>6.2383612662942262E-2</v>
      </c>
      <c r="Q481" s="5">
        <f>(Cotacoes!Q481-Cotacoes!Q480)/Cotacoes!Q480</f>
        <v>-3.7607170693686666E-2</v>
      </c>
      <c r="R481" s="5">
        <f>(Cotacoes!R481-Cotacoes!R480)/Cotacoes!R480</f>
        <v>-8.8417329796639313E-3</v>
      </c>
      <c r="S481" s="5">
        <f>(Cotacoes!S481-Cotacoes!S480)/Cotacoes!S480</f>
        <v>3.2295948326482508E-3</v>
      </c>
      <c r="T481" s="5">
        <f>(Cotacoes!T481-Cotacoes!T480)/Cotacoes!T480</f>
        <v>-2.9655473179241158E-2</v>
      </c>
      <c r="U481" s="5">
        <f>(Cotacoes!U481-Cotacoes!U480)/Cotacoes!U480</f>
        <v>1.1625827222321691E-2</v>
      </c>
      <c r="V481" s="5">
        <f>(Cotacoes!V481-Cotacoes!V480)/Cotacoes!V480</f>
        <v>1.9960861056751388E-2</v>
      </c>
      <c r="W481" s="5"/>
    </row>
    <row r="482" spans="1:23" x14ac:dyDescent="0.2">
      <c r="A482" s="4">
        <v>45264</v>
      </c>
      <c r="B482" s="5">
        <f>(Cotacoes!B482-Cotacoes!B481)/Cotacoes!B481</f>
        <v>3.7997530160545508E-4</v>
      </c>
      <c r="C482" s="5">
        <f>(Cotacoes!C482-Cotacoes!C481)/Cotacoes!C481</f>
        <v>-2.2379996913103915E-2</v>
      </c>
      <c r="D482" s="5">
        <f>(Cotacoes!D482-Cotacoes!D481)/Cotacoes!D481</f>
        <v>-2.1328671328671431E-2</v>
      </c>
      <c r="E482" s="5">
        <f>(Cotacoes!E482-Cotacoes!E481)/Cotacoes!E481</f>
        <v>1.2009607686149374E-3</v>
      </c>
      <c r="F482" s="5">
        <f>(Cotacoes!F482-Cotacoes!F481)/Cotacoes!F481</f>
        <v>-1.9504132231404955E-2</v>
      </c>
      <c r="G482" s="5">
        <f>(Cotacoes!G482-Cotacoes!G481)/Cotacoes!G481</f>
        <v>-5.9577003276744492E-4</v>
      </c>
      <c r="H482" s="5">
        <f>(Cotacoes!H482-Cotacoes!H481)/Cotacoes!H481</f>
        <v>-3.7499999999999942E-3</v>
      </c>
      <c r="I482" s="5">
        <f>(Cotacoes!I482-Cotacoes!I481)/Cotacoes!I481</f>
        <v>-8.8448137228626482E-3</v>
      </c>
      <c r="J482" s="5">
        <f>(Cotacoes!J482-Cotacoes!J481)/Cotacoes!J481</f>
        <v>-9.9038741625399451E-3</v>
      </c>
      <c r="K482" s="5">
        <f>(Cotacoes!K482-Cotacoes!K481)/Cotacoes!K481</f>
        <v>-7.9422382671479729E-3</v>
      </c>
      <c r="L482" s="5">
        <f>(Cotacoes!L482-Cotacoes!L481)/Cotacoes!L481</f>
        <v>7.7700077700089854E-4</v>
      </c>
      <c r="M482" s="5">
        <f>(Cotacoes!M482-Cotacoes!M481)/Cotacoes!M481</f>
        <v>-1.6051364365972189E-3</v>
      </c>
      <c r="N482" s="5">
        <f>(Cotacoes!N482-Cotacoes!N481)/Cotacoes!N481</f>
        <v>-1.256281407035149E-3</v>
      </c>
      <c r="O482" s="5">
        <f>(Cotacoes!O482-Cotacoes!O481)/Cotacoes!O481</f>
        <v>-1.0477787091366304E-2</v>
      </c>
      <c r="P482" s="5">
        <f>(Cotacoes!P482-Cotacoes!P481)/Cotacoes!P481</f>
        <v>7.0113935144610054E-3</v>
      </c>
      <c r="Q482" s="5">
        <f>(Cotacoes!Q482-Cotacoes!Q481)/Cotacoes!Q481</f>
        <v>6.0741040696499563E-4</v>
      </c>
      <c r="R482" s="5">
        <f>(Cotacoes!R482-Cotacoes!R481)/Cotacoes!R481</f>
        <v>-6.839131727624263E-3</v>
      </c>
      <c r="S482" s="5">
        <f>(Cotacoes!S482-Cotacoes!S481)/Cotacoes!S481</f>
        <v>-4.9751243781095021E-3</v>
      </c>
      <c r="T482" s="5">
        <f>(Cotacoes!T482-Cotacoes!T481)/Cotacoes!T481</f>
        <v>-7.8651685393258744E-3</v>
      </c>
      <c r="U482" s="5">
        <f>(Cotacoes!U482-Cotacoes!U481)/Cotacoes!U481</f>
        <v>-1.5912305516266514E-3</v>
      </c>
      <c r="V482" s="5">
        <f>(Cotacoes!V482-Cotacoes!V481)/Cotacoes!V481</f>
        <v>-1.7267843438219466E-2</v>
      </c>
      <c r="W482" s="5"/>
    </row>
    <row r="483" spans="1:23" x14ac:dyDescent="0.2">
      <c r="A483" s="4">
        <v>45265</v>
      </c>
      <c r="B483" s="5">
        <f>(Cotacoes!B483-Cotacoes!B482)/Cotacoes!B482</f>
        <v>-7.7865349919286619E-3</v>
      </c>
      <c r="C483" s="5">
        <f>(Cotacoes!C483-Cotacoes!C482)/Cotacoes!C482</f>
        <v>-9.3148089674771617E-3</v>
      </c>
      <c r="D483" s="5">
        <f>(Cotacoes!D483-Cotacoes!D482)/Cotacoes!D482</f>
        <v>-4.6445158985351561E-3</v>
      </c>
      <c r="E483" s="5">
        <f>(Cotacoes!E483-Cotacoes!E482)/Cotacoes!E482</f>
        <v>7.9968012794881752E-3</v>
      </c>
      <c r="F483" s="5">
        <f>(Cotacoes!F483-Cotacoes!F482)/Cotacoes!F482</f>
        <v>-7.4173971679028609E-3</v>
      </c>
      <c r="G483" s="5">
        <f>(Cotacoes!G483-Cotacoes!G482)/Cotacoes!G482</f>
        <v>1.5499254843517232E-2</v>
      </c>
      <c r="H483" s="5">
        <f>(Cotacoes!H483-Cotacoes!H482)/Cotacoes!H482</f>
        <v>0</v>
      </c>
      <c r="I483" s="5">
        <f>(Cotacoes!I483-Cotacoes!I482)/Cotacoes!I482</f>
        <v>1.7306652244456478E-2</v>
      </c>
      <c r="J483" s="5">
        <f>(Cotacoes!J483-Cotacoes!J482)/Cotacoes!J482</f>
        <v>0</v>
      </c>
      <c r="K483" s="5">
        <f>(Cotacoes!K483-Cotacoes!K482)/Cotacoes!K482</f>
        <v>9.4614264919941054E-3</v>
      </c>
      <c r="L483" s="5">
        <f>(Cotacoes!L483-Cotacoes!L482)/Cotacoes!L482</f>
        <v>-6.2111801242236073E-3</v>
      </c>
      <c r="M483" s="5">
        <f>(Cotacoes!M483-Cotacoes!M482)/Cotacoes!M482</f>
        <v>1.2861736334405157E-2</v>
      </c>
      <c r="N483" s="5">
        <f>(Cotacoes!N483-Cotacoes!N482)/Cotacoes!N482</f>
        <v>1.0062893081760903E-2</v>
      </c>
      <c r="O483" s="5">
        <f>(Cotacoes!O483-Cotacoes!O482)/Cotacoes!O482</f>
        <v>1.0588733587462939E-2</v>
      </c>
      <c r="P483" s="5">
        <f>(Cotacoes!P483-Cotacoes!P482)/Cotacoes!P482</f>
        <v>9.5735422106178782E-3</v>
      </c>
      <c r="Q483" s="5">
        <f>(Cotacoes!Q483-Cotacoes!Q482)/Cotacoes!Q482</f>
        <v>-6.4751112909753189E-3</v>
      </c>
      <c r="R483" s="5">
        <f>(Cotacoes!R483-Cotacoes!R482)/Cotacoes!R482</f>
        <v>2.9940119760473084E-4</v>
      </c>
      <c r="S483" s="5">
        <f>(Cotacoes!S483-Cotacoes!S482)/Cotacoes!S482</f>
        <v>1.3529411764705908E-2</v>
      </c>
      <c r="T483" s="5">
        <f>(Cotacoes!T483-Cotacoes!T482)/Cotacoes!T482</f>
        <v>-2.4009060022649947E-2</v>
      </c>
      <c r="U483" s="5">
        <f>(Cotacoes!U483-Cotacoes!U482)/Cotacoes!U482</f>
        <v>2.4791924915884642E-3</v>
      </c>
      <c r="V483" s="5">
        <f>(Cotacoes!V483-Cotacoes!V482)/Cotacoes!V482</f>
        <v>7.8094494338148881E-3</v>
      </c>
      <c r="W483" s="5"/>
    </row>
    <row r="484" spans="1:23" x14ac:dyDescent="0.2">
      <c r="A484" s="4">
        <v>45266</v>
      </c>
      <c r="B484" s="5">
        <f>(Cotacoes!B484-Cotacoes!B483)/Cotacoes!B483</f>
        <v>-3.8281175232072009E-4</v>
      </c>
      <c r="C484" s="5">
        <f>(Cotacoes!C484-Cotacoes!C483)/Cotacoes!C483</f>
        <v>-6.5338645418326147E-3</v>
      </c>
      <c r="D484" s="5">
        <f>(Cotacoes!D484-Cotacoes!D483)/Cotacoes!D483</f>
        <v>-3.5893754486719311E-2</v>
      </c>
      <c r="E484" s="5">
        <f>(Cotacoes!E484-Cotacoes!E483)/Cotacoes!E483</f>
        <v>-8.7266957556526147E-3</v>
      </c>
      <c r="F484" s="5">
        <f>(Cotacoes!F484-Cotacoes!F483)/Cotacoes!F483</f>
        <v>-2.3777173913043573E-2</v>
      </c>
      <c r="G484" s="5">
        <f>(Cotacoes!G484-Cotacoes!G483)/Cotacoes!G483</f>
        <v>2.3481068388611181E-3</v>
      </c>
      <c r="H484" s="5">
        <f>(Cotacoes!H484-Cotacoes!H483)/Cotacoes!H483</f>
        <v>-2.1329987452948621E-2</v>
      </c>
      <c r="I484" s="5">
        <f>(Cotacoes!I484-Cotacoes!I483)/Cotacoes!I483</f>
        <v>-1.5948963317383086E-3</v>
      </c>
      <c r="J484" s="5">
        <f>(Cotacoes!J484-Cotacoes!J483)/Cotacoes!J483</f>
        <v>1.4857310973815693E-2</v>
      </c>
      <c r="K484" s="5">
        <f>(Cotacoes!K484-Cotacoes!K483)/Cotacoes!K483</f>
        <v>-1.0814708002883821E-2</v>
      </c>
      <c r="L484" s="5">
        <f>(Cotacoes!L484-Cotacoes!L483)/Cotacoes!L483</f>
        <v>-1.6406250000000067E-2</v>
      </c>
      <c r="M484" s="5">
        <f>(Cotacoes!M484-Cotacoes!M483)/Cotacoes!M483</f>
        <v>-1.7460317460317371E-2</v>
      </c>
      <c r="N484" s="5">
        <f>(Cotacoes!N484-Cotacoes!N483)/Cotacoes!N483</f>
        <v>-1.8679950186799438E-2</v>
      </c>
      <c r="O484" s="5">
        <f>(Cotacoes!O484-Cotacoes!O483)/Cotacoes!O483</f>
        <v>-1.4668901927912736E-2</v>
      </c>
      <c r="P484" s="5">
        <f>(Cotacoes!P484-Cotacoes!P483)/Cotacoes!P483</f>
        <v>-8.6206896551722304E-4</v>
      </c>
      <c r="Q484" s="5">
        <f>(Cotacoes!Q484-Cotacoes!Q483)/Cotacoes!Q483</f>
        <v>-7.5356415478615999E-3</v>
      </c>
      <c r="R484" s="5">
        <f>(Cotacoes!R484-Cotacoes!R483)/Cotacoes!R483</f>
        <v>-1.5264890751272017E-2</v>
      </c>
      <c r="S484" s="5">
        <f>(Cotacoes!S484-Cotacoes!S483)/Cotacoes!S483</f>
        <v>-1.3348810214741755E-2</v>
      </c>
      <c r="T484" s="5">
        <f>(Cotacoes!T484-Cotacoes!T483)/Cotacoes!T483</f>
        <v>-3.991645393362743E-2</v>
      </c>
      <c r="U484" s="5">
        <f>(Cotacoes!U484-Cotacoes!U483)/Cotacoes!U483</f>
        <v>4.4161808867691221E-3</v>
      </c>
      <c r="V484" s="5">
        <f>(Cotacoes!V484-Cotacoes!V483)/Cotacoes!V483</f>
        <v>-7.7489345215032658E-3</v>
      </c>
      <c r="W484" s="5"/>
    </row>
    <row r="485" spans="1:23" x14ac:dyDescent="0.2">
      <c r="A485" s="4">
        <v>45267</v>
      </c>
      <c r="B485" s="5">
        <f>(Cotacoes!B485-Cotacoes!B484)/Cotacoes!B484</f>
        <v>1.1105792245093313E-2</v>
      </c>
      <c r="C485" s="5">
        <f>(Cotacoes!C485-Cotacoes!C484)/Cotacoes!C484</f>
        <v>3.0478023740776023E-3</v>
      </c>
      <c r="D485" s="5">
        <f>(Cotacoes!D485-Cotacoes!D484)/Cotacoes!D484</f>
        <v>-2.2338049143707643E-3</v>
      </c>
      <c r="E485" s="5">
        <f>(Cotacoes!E485-Cotacoes!E484)/Cotacoes!E484</f>
        <v>1.0004001600640256E-2</v>
      </c>
      <c r="F485" s="5">
        <f>(Cotacoes!F485-Cotacoes!F484)/Cotacoes!F484</f>
        <v>3.131524008350726E-3</v>
      </c>
      <c r="G485" s="5">
        <f>(Cotacoes!G485-Cotacoes!G484)/Cotacoes!G484</f>
        <v>-5.8565153733516906E-4</v>
      </c>
      <c r="H485" s="5">
        <f>(Cotacoes!H485-Cotacoes!H484)/Cotacoes!H484</f>
        <v>1.6239316239316348E-2</v>
      </c>
      <c r="I485" s="5">
        <f>(Cotacoes!I485-Cotacoes!I484)/Cotacoes!I484</f>
        <v>3.7273695420660426E-3</v>
      </c>
      <c r="J485" s="5">
        <f>(Cotacoes!J485-Cotacoes!J484)/Cotacoes!J484</f>
        <v>-1.5219597043049678E-2</v>
      </c>
      <c r="K485" s="5">
        <f>(Cotacoes!K485-Cotacoes!K484)/Cotacoes!K484</f>
        <v>2.9154518950436693E-3</v>
      </c>
      <c r="L485" s="5">
        <f>(Cotacoes!L485-Cotacoes!L484)/Cotacoes!L484</f>
        <v>4.7656870532168782E-3</v>
      </c>
      <c r="M485" s="5">
        <f>(Cotacoes!M485-Cotacoes!M484)/Cotacoes!M484</f>
        <v>6.4620355411954822E-3</v>
      </c>
      <c r="N485" s="5">
        <f>(Cotacoes!N485-Cotacoes!N484)/Cotacoes!N484</f>
        <v>7.6142131979696067E-3</v>
      </c>
      <c r="O485" s="5">
        <f>(Cotacoes!O485-Cotacoes!O484)/Cotacoes!O484</f>
        <v>3.8281582305401893E-3</v>
      </c>
      <c r="P485" s="5">
        <f>(Cotacoes!P485-Cotacoes!P484)/Cotacoes!P484</f>
        <v>1.7256255392579442E-3</v>
      </c>
      <c r="Q485" s="5">
        <f>(Cotacoes!Q485-Cotacoes!Q484)/Cotacoes!Q484</f>
        <v>-3.0781859224296858E-3</v>
      </c>
      <c r="R485" s="5">
        <f>(Cotacoes!R485-Cotacoes!R484)/Cotacoes!R484</f>
        <v>-6.9908814589664707E-3</v>
      </c>
      <c r="S485" s="5">
        <f>(Cotacoes!S485-Cotacoes!S484)/Cotacoes!S484</f>
        <v>6.4705882352940839E-3</v>
      </c>
      <c r="T485" s="5">
        <f>(Cotacoes!T485-Cotacoes!T484)/Cotacoes!T484</f>
        <v>2.368866328257201E-2</v>
      </c>
      <c r="U485" s="5">
        <f>(Cotacoes!U485-Cotacoes!U484)/Cotacoes!U484</f>
        <v>7.0348223707351141E-3</v>
      </c>
      <c r="V485" s="5">
        <f>(Cotacoes!V485-Cotacoes!V484)/Cotacoes!V484</f>
        <v>-1.3666536509176021E-2</v>
      </c>
      <c r="W485" s="5"/>
    </row>
    <row r="486" spans="1:23" x14ac:dyDescent="0.2">
      <c r="A486" s="4">
        <v>45268</v>
      </c>
      <c r="B486" s="5">
        <f>(Cotacoes!B486-Cotacoes!B485)/Cotacoes!B485</f>
        <v>-1.1362560363602362E-3</v>
      </c>
      <c r="C486" s="5">
        <f>(Cotacoes!C486-Cotacoes!C485)/Cotacoes!C485</f>
        <v>2.8786182632336431E-3</v>
      </c>
      <c r="D486" s="5">
        <f>(Cotacoes!D486-Cotacoes!D485)/Cotacoes!D485</f>
        <v>3.1716417910447679E-2</v>
      </c>
      <c r="E486" s="5">
        <f>(Cotacoes!E486-Cotacoes!E485)/Cotacoes!E485</f>
        <v>1.2678288431061819E-2</v>
      </c>
      <c r="F486" s="5">
        <f>(Cotacoes!F486-Cotacoes!F485)/Cotacoes!F485</f>
        <v>3.3992369060006952E-2</v>
      </c>
      <c r="G486" s="5">
        <f>(Cotacoes!G486-Cotacoes!G485)/Cotacoes!G485</f>
        <v>-2.0216818048637702E-2</v>
      </c>
      <c r="H486" s="5">
        <f>(Cotacoes!H486-Cotacoes!H485)/Cotacoes!H485</f>
        <v>1.09335576114381E-2</v>
      </c>
      <c r="I486" s="5">
        <f>(Cotacoes!I486-Cotacoes!I485)/Cotacoes!I485</f>
        <v>-1.5384615384615526E-2</v>
      </c>
      <c r="J486" s="5">
        <f>(Cotacoes!J486-Cotacoes!J485)/Cotacoes!J485</f>
        <v>-4.1212834854283363E-3</v>
      </c>
      <c r="K486" s="5">
        <f>(Cotacoes!K486-Cotacoes!K485)/Cotacoes!K485</f>
        <v>1.5988372093023302E-2</v>
      </c>
      <c r="L486" s="5">
        <f>(Cotacoes!L486-Cotacoes!L485)/Cotacoes!L485</f>
        <v>1.8181818181818216E-2</v>
      </c>
      <c r="M486" s="5">
        <f>(Cotacoes!M486-Cotacoes!M485)/Cotacoes!M485</f>
        <v>1.6051364365971051E-2</v>
      </c>
      <c r="N486" s="5">
        <f>(Cotacoes!N486-Cotacoes!N485)/Cotacoes!N485</f>
        <v>1.3853904282115909E-2</v>
      </c>
      <c r="O486" s="5">
        <f>(Cotacoes!O486-Cotacoes!O485)/Cotacoes!O485</f>
        <v>1.1864406779660913E-2</v>
      </c>
      <c r="P486" s="5">
        <f>(Cotacoes!P486-Cotacoes!P485)/Cotacoes!P485</f>
        <v>-4.3066322136088662E-3</v>
      </c>
      <c r="Q486" s="5">
        <f>(Cotacoes!Q486-Cotacoes!Q485)/Cotacoes!Q485</f>
        <v>1.7085220255249039E-2</v>
      </c>
      <c r="R486" s="5">
        <f>(Cotacoes!R486-Cotacoes!R485)/Cotacoes!R485</f>
        <v>1.0101010101010048E-2</v>
      </c>
      <c r="S486" s="5">
        <f>(Cotacoes!S486-Cotacoes!S485)/Cotacoes!S485</f>
        <v>8.7668030391587198E-4</v>
      </c>
      <c r="T486" s="5">
        <f>(Cotacoes!T486-Cotacoes!T485)/Cotacoes!T485</f>
        <v>5.0295159386068371E-2</v>
      </c>
      <c r="U486" s="5">
        <f>(Cotacoes!U486-Cotacoes!U485)/Cotacoes!U485</f>
        <v>-6.8110373733845722E-3</v>
      </c>
      <c r="V486" s="5">
        <f>(Cotacoes!V486-Cotacoes!V485)/Cotacoes!V485</f>
        <v>7.5217735550276209E-3</v>
      </c>
      <c r="W486" s="5"/>
    </row>
    <row r="487" spans="1:23" x14ac:dyDescent="0.2">
      <c r="A487" s="4">
        <v>45271</v>
      </c>
      <c r="B487" s="5">
        <f>(Cotacoes!B487-Cotacoes!B486)/Cotacoes!B486</f>
        <v>-5.9721300597212574E-3</v>
      </c>
      <c r="C487" s="5">
        <f>(Cotacoes!C487-Cotacoes!C486)/Cotacoes!C486</f>
        <v>7.9732100143513243E-4</v>
      </c>
      <c r="D487" s="5">
        <f>(Cotacoes!D487-Cotacoes!D486)/Cotacoes!D486</f>
        <v>-3.6166365280288562E-3</v>
      </c>
      <c r="E487" s="5">
        <f>(Cotacoes!E487-Cotacoes!E486)/Cotacoes!E486</f>
        <v>-7.0422535211267494E-3</v>
      </c>
      <c r="F487" s="5">
        <f>(Cotacoes!F487-Cotacoes!F486)/Cotacoes!F486</f>
        <v>-3.0191211003019074E-3</v>
      </c>
      <c r="G487" s="5">
        <f>(Cotacoes!G487-Cotacoes!G486)/Cotacoes!G486</f>
        <v>6.2799043062201215E-3</v>
      </c>
      <c r="H487" s="5">
        <f>(Cotacoes!H487-Cotacoes!H486)/Cotacoes!H486</f>
        <v>-4.1597337770374419E-4</v>
      </c>
      <c r="I487" s="5">
        <f>(Cotacoes!I487-Cotacoes!I486)/Cotacoes!I486</f>
        <v>-8.081896551722531E-4</v>
      </c>
      <c r="J487" s="5">
        <f>(Cotacoes!J487-Cotacoes!J486)/Cotacoes!J486</f>
        <v>1.906591782441629E-2</v>
      </c>
      <c r="K487" s="5">
        <f>(Cotacoes!K487-Cotacoes!K486)/Cotacoes!K486</f>
        <v>-7.8683834048641783E-3</v>
      </c>
      <c r="L487" s="5">
        <f>(Cotacoes!L487-Cotacoes!L486)/Cotacoes!L486</f>
        <v>2.8726708074534098E-2</v>
      </c>
      <c r="M487" s="5">
        <f>(Cotacoes!M487-Cotacoes!M486)/Cotacoes!M486</f>
        <v>7.8988941548181573E-4</v>
      </c>
      <c r="N487" s="5">
        <f>(Cotacoes!N487-Cotacoes!N486)/Cotacoes!N486</f>
        <v>-8.6956521739130783E-3</v>
      </c>
      <c r="O487" s="5">
        <f>(Cotacoes!O487-Cotacoes!O486)/Cotacoes!O486</f>
        <v>-5.0251256281405969E-3</v>
      </c>
      <c r="P487" s="5">
        <f>(Cotacoes!P487-Cotacoes!P486)/Cotacoes!P486</f>
        <v>2.854671280276817E-2</v>
      </c>
      <c r="Q487" s="5">
        <f>(Cotacoes!Q487-Cotacoes!Q486)/Cotacoes!Q486</f>
        <v>1.2345679012345812E-2</v>
      </c>
      <c r="R487" s="5">
        <f>(Cotacoes!R487-Cotacoes!R486)/Cotacoes!R486</f>
        <v>4.2424242424242593E-3</v>
      </c>
      <c r="S487" s="5">
        <f>(Cotacoes!S487-Cotacoes!S486)/Cotacoes!S486</f>
        <v>-3.5036496350364216E-3</v>
      </c>
      <c r="T487" s="5">
        <f>(Cotacoes!T487-Cotacoes!T486)/Cotacoes!T486</f>
        <v>2.9226618705036548E-3</v>
      </c>
      <c r="U487" s="5">
        <f>(Cotacoes!U487-Cotacoes!U486)/Cotacoes!U486</f>
        <v>8.7919817126787877E-4</v>
      </c>
      <c r="V487" s="5">
        <f>(Cotacoes!V487-Cotacoes!V486)/Cotacoes!V486</f>
        <v>-9.0373280943025717E-3</v>
      </c>
      <c r="W487" s="5"/>
    </row>
    <row r="488" spans="1:23" x14ac:dyDescent="0.2">
      <c r="A488" s="4">
        <v>45272</v>
      </c>
      <c r="B488" s="5">
        <f>(Cotacoes!B488-Cotacoes!B487)/Cotacoes!B487</f>
        <v>2.2410833492275361E-2</v>
      </c>
      <c r="C488" s="5">
        <f>(Cotacoes!C488-Cotacoes!C487)/Cotacoes!C487</f>
        <v>1.7527087316762178E-3</v>
      </c>
      <c r="D488" s="5">
        <f>(Cotacoes!D488-Cotacoes!D487)/Cotacoes!D487</f>
        <v>-8.3484573502722471E-3</v>
      </c>
      <c r="E488" s="5">
        <f>(Cotacoes!E488-Cotacoes!E487)/Cotacoes!E487</f>
        <v>-5.1221434200157219E-3</v>
      </c>
      <c r="F488" s="5">
        <f>(Cotacoes!F488-Cotacoes!F487)/Cotacoes!F487</f>
        <v>-1.5141318977119761E-2</v>
      </c>
      <c r="G488" s="5">
        <f>(Cotacoes!G488-Cotacoes!G487)/Cotacoes!G487</f>
        <v>4.7548291233284901E-3</v>
      </c>
      <c r="H488" s="5">
        <f>(Cotacoes!H488-Cotacoes!H487)/Cotacoes!H487</f>
        <v>-3.0378693300041632E-2</v>
      </c>
      <c r="I488" s="5">
        <f>(Cotacoes!I488-Cotacoes!I487)/Cotacoes!I487</f>
        <v>-5.6619034780264451E-3</v>
      </c>
      <c r="J488" s="5">
        <f>(Cotacoes!J488-Cotacoes!J487)/Cotacoes!J487</f>
        <v>4.060913705583773E-3</v>
      </c>
      <c r="K488" s="5">
        <f>(Cotacoes!K488-Cotacoes!K487)/Cotacoes!K487</f>
        <v>-5.0468637346790567E-3</v>
      </c>
      <c r="L488" s="5">
        <f>(Cotacoes!L488-Cotacoes!L487)/Cotacoes!L487</f>
        <v>-5.2830188679245495E-3</v>
      </c>
      <c r="M488" s="5">
        <f>(Cotacoes!M488-Cotacoes!M487)/Cotacoes!M487</f>
        <v>-6.3141278610891931E-3</v>
      </c>
      <c r="N488" s="5">
        <f>(Cotacoes!N488-Cotacoes!N487)/Cotacoes!N487</f>
        <v>-5.0125313283208061E-3</v>
      </c>
      <c r="O488" s="5">
        <f>(Cotacoes!O488-Cotacoes!O487)/Cotacoes!O487</f>
        <v>-6.7340067340067398E-3</v>
      </c>
      <c r="P488" s="5">
        <f>(Cotacoes!P488-Cotacoes!P487)/Cotacoes!P487</f>
        <v>3.7846930193439804E-3</v>
      </c>
      <c r="Q488" s="5">
        <f>(Cotacoes!Q488-Cotacoes!Q487)/Cotacoes!Q487</f>
        <v>-8.5965613754498144E-3</v>
      </c>
      <c r="R488" s="5">
        <f>(Cotacoes!R488-Cotacoes!R487)/Cotacoes!R487</f>
        <v>-4.5262522631260883E-3</v>
      </c>
      <c r="S488" s="5">
        <f>(Cotacoes!S488-Cotacoes!S487)/Cotacoes!S487</f>
        <v>-1.171989452094906E-3</v>
      </c>
      <c r="T488" s="5">
        <f>(Cotacoes!T488-Cotacoes!T487)/Cotacoes!T487</f>
        <v>-1.972651871777634E-2</v>
      </c>
      <c r="U488" s="5">
        <f>(Cotacoes!U488-Cotacoes!U487)/Cotacoes!U487</f>
        <v>-1.0014054813773722E-2</v>
      </c>
      <c r="V488" s="5">
        <f>(Cotacoes!V488-Cotacoes!V487)/Cotacoes!V487</f>
        <v>1.8239492466296626E-2</v>
      </c>
      <c r="W488" s="5"/>
    </row>
    <row r="489" spans="1:23" x14ac:dyDescent="0.2">
      <c r="A489" s="4">
        <v>45273</v>
      </c>
      <c r="B489" s="5">
        <f>(Cotacoes!B489-Cotacoes!B488)/Cotacoes!B488</f>
        <v>1.1845909896464979E-2</v>
      </c>
      <c r="C489" s="5">
        <f>(Cotacoes!C489-Cotacoes!C488)/Cotacoes!C488</f>
        <v>1.5905837442349477E-4</v>
      </c>
      <c r="D489" s="5">
        <f>(Cotacoes!D489-Cotacoes!D488)/Cotacoes!D488</f>
        <v>1.4641288433382086E-2</v>
      </c>
      <c r="E489" s="5">
        <f>(Cotacoes!E489-Cotacoes!E488)/Cotacoes!E488</f>
        <v>3.0495049504950477E-2</v>
      </c>
      <c r="F489" s="5">
        <f>(Cotacoes!F489-Cotacoes!F488)/Cotacoes!F488</f>
        <v>1.3324222753672722E-2</v>
      </c>
      <c r="G489" s="5">
        <f>(Cotacoes!G489-Cotacoes!G488)/Cotacoes!G488</f>
        <v>2.9281277728482543E-2</v>
      </c>
      <c r="H489" s="5">
        <f>(Cotacoes!H489-Cotacoes!H488)/Cotacoes!H488</f>
        <v>9.0128755364807227E-3</v>
      </c>
      <c r="I489" s="5">
        <f>(Cotacoes!I489-Cotacoes!I488)/Cotacoes!I488</f>
        <v>2.9013015184381784E-2</v>
      </c>
      <c r="J489" s="5">
        <f>(Cotacoes!J489-Cotacoes!J488)/Cotacoes!J488</f>
        <v>3.2067022966921835E-2</v>
      </c>
      <c r="K489" s="5">
        <f>(Cotacoes!K489-Cotacoes!K488)/Cotacoes!K488</f>
        <v>4.3478260869565188E-2</v>
      </c>
      <c r="L489" s="5">
        <f>(Cotacoes!L489-Cotacoes!L488)/Cotacoes!L488</f>
        <v>4.1729893778452258E-2</v>
      </c>
      <c r="M489" s="5">
        <f>(Cotacoes!M489-Cotacoes!M488)/Cotacoes!M488</f>
        <v>3.3359809372517868E-2</v>
      </c>
      <c r="N489" s="5">
        <f>(Cotacoes!N489-Cotacoes!N488)/Cotacoes!N488</f>
        <v>2.8967254408060392E-2</v>
      </c>
      <c r="O489" s="5">
        <f>(Cotacoes!O489-Cotacoes!O488)/Cotacoes!O488</f>
        <v>3.1779661016949151E-2</v>
      </c>
      <c r="P489" s="5">
        <f>(Cotacoes!P489-Cotacoes!P488)/Cotacoes!P488</f>
        <v>1.9271051529115932E-2</v>
      </c>
      <c r="Q489" s="5">
        <f>(Cotacoes!Q489-Cotacoes!Q488)/Cotacoes!Q488</f>
        <v>1.7543859649122754E-2</v>
      </c>
      <c r="R489" s="5">
        <f>(Cotacoes!R489-Cotacoes!R488)/Cotacoes!R488</f>
        <v>4.1224613519248235E-2</v>
      </c>
      <c r="S489" s="5">
        <f>(Cotacoes!S489-Cotacoes!S488)/Cotacoes!S488</f>
        <v>1.2026987386330202E-2</v>
      </c>
      <c r="T489" s="5">
        <f>(Cotacoes!T489-Cotacoes!T488)/Cotacoes!T488</f>
        <v>3.4301394923393555E-2</v>
      </c>
      <c r="U489" s="5">
        <f>(Cotacoes!U489-Cotacoes!U488)/Cotacoes!U488</f>
        <v>3.9751552795031092E-2</v>
      </c>
      <c r="V489" s="5">
        <f>(Cotacoes!V489-Cotacoes!V488)/Cotacoes!V488</f>
        <v>5.7632398753894101E-2</v>
      </c>
      <c r="W489" s="5"/>
    </row>
    <row r="490" spans="1:23" x14ac:dyDescent="0.2">
      <c r="A490" s="4">
        <v>45274</v>
      </c>
      <c r="B490" s="5">
        <f>(Cotacoes!B490-Cotacoes!B489)/Cotacoes!B489</f>
        <v>-5.3466076696165035E-3</v>
      </c>
      <c r="C490" s="5">
        <f>(Cotacoes!C490-Cotacoes!C489)/Cotacoes!C489</f>
        <v>5.407124681933783E-3</v>
      </c>
      <c r="D490" s="5">
        <f>(Cotacoes!D490-Cotacoes!D489)/Cotacoes!D489</f>
        <v>2.1645021645021696E-2</v>
      </c>
      <c r="E490" s="5">
        <f>(Cotacoes!E490-Cotacoes!E489)/Cotacoes!E489</f>
        <v>8.4550345887778201E-3</v>
      </c>
      <c r="F490" s="5">
        <f>(Cotacoes!F490-Cotacoes!F489)/Cotacoes!F489</f>
        <v>2.326365475387732E-2</v>
      </c>
      <c r="G490" s="5">
        <f>(Cotacoes!G490-Cotacoes!G489)/Cotacoes!G489</f>
        <v>6.6091954022989658E-3</v>
      </c>
      <c r="H490" s="5">
        <f>(Cotacoes!H490-Cotacoes!H489)/Cotacoes!H489</f>
        <v>6.8056146320714644E-3</v>
      </c>
      <c r="I490" s="5">
        <f>(Cotacoes!I490-Cotacoes!I489)/Cotacoes!I489</f>
        <v>-3.9525691699606241E-3</v>
      </c>
      <c r="J490" s="5">
        <f>(Cotacoes!J490-Cotacoes!J489)/Cotacoes!J489</f>
        <v>-2.0993701889433967E-3</v>
      </c>
      <c r="K490" s="5">
        <f>(Cotacoes!K490-Cotacoes!K489)/Cotacoes!K489</f>
        <v>1.7361111111111112E-2</v>
      </c>
      <c r="L490" s="5">
        <f>(Cotacoes!L490-Cotacoes!L489)/Cotacoes!L489</f>
        <v>2.7676620538965694E-2</v>
      </c>
      <c r="M490" s="5">
        <f>(Cotacoes!M490-Cotacoes!M489)/Cotacoes!M489</f>
        <v>-1.3835511145272846E-2</v>
      </c>
      <c r="N490" s="5">
        <f>(Cotacoes!N490-Cotacoes!N489)/Cotacoes!N489</f>
        <v>1.2239902080783311E-2</v>
      </c>
      <c r="O490" s="5">
        <f>(Cotacoes!O490-Cotacoes!O489)/Cotacoes!O489</f>
        <v>-1.5605749486653081E-2</v>
      </c>
      <c r="P490" s="5">
        <f>(Cotacoes!P490-Cotacoes!P489)/Cotacoes!P489</f>
        <v>-1.8495684340320565E-2</v>
      </c>
      <c r="Q490" s="5">
        <f>(Cotacoes!Q490-Cotacoes!Q489)/Cotacoes!Q489</f>
        <v>1.0701545778834703E-2</v>
      </c>
      <c r="R490" s="5">
        <f>(Cotacoes!R490-Cotacoes!R489)/Cotacoes!R489</f>
        <v>2.9694323144104688E-2</v>
      </c>
      <c r="S490" s="5">
        <f>(Cotacoes!S490-Cotacoes!S489)/Cotacoes!S489</f>
        <v>6.0869565217391555E-3</v>
      </c>
      <c r="T490" s="5">
        <f>(Cotacoes!T490-Cotacoes!T489)/Cotacoes!T489</f>
        <v>4.5323900066327756E-2</v>
      </c>
      <c r="U490" s="5">
        <f>(Cotacoes!U490-Cotacoes!U489)/Cotacoes!U489</f>
        <v>3.7890424987199162E-2</v>
      </c>
      <c r="V490" s="5">
        <f>(Cotacoes!V490-Cotacoes!V489)/Cotacoes!V489</f>
        <v>7.7319587628866294E-3</v>
      </c>
      <c r="W490" s="5"/>
    </row>
    <row r="491" spans="1:23" x14ac:dyDescent="0.2">
      <c r="A491" s="4">
        <v>45275</v>
      </c>
      <c r="B491" s="5">
        <f>(Cotacoes!B491-Cotacoes!B490)/Cotacoes!B490</f>
        <v>1.0843373493975787E-2</v>
      </c>
      <c r="C491" s="5">
        <f>(Cotacoes!C491-Cotacoes!C490)/Cotacoes!C490</f>
        <v>6.3271116735210157E-3</v>
      </c>
      <c r="D491" s="5">
        <f>(Cotacoes!D491-Cotacoes!D490)/Cotacoes!D490</f>
        <v>2.1186440677965651E-3</v>
      </c>
      <c r="E491" s="5">
        <f>(Cotacoes!E491-Cotacoes!E490)/Cotacoes!E490</f>
        <v>-4.5731707317072197E-3</v>
      </c>
      <c r="F491" s="5">
        <f>(Cotacoes!F491-Cotacoes!F490)/Cotacoes!F490</f>
        <v>-7.9077429983526182E-3</v>
      </c>
      <c r="G491" s="5">
        <f>(Cotacoes!G491-Cotacoes!G490)/Cotacoes!G490</f>
        <v>-7.4222095346844989E-3</v>
      </c>
      <c r="H491" s="5">
        <f>(Cotacoes!H491-Cotacoes!H490)/Cotacoes!H490</f>
        <v>2.4081115335868049E-2</v>
      </c>
      <c r="I491" s="5">
        <f>(Cotacoes!I491-Cotacoes!I490)/Cotacoes!I490</f>
        <v>-2.0634920634920478E-2</v>
      </c>
      <c r="J491" s="5">
        <f>(Cotacoes!J491-Cotacoes!J490)/Cotacoes!J490</f>
        <v>-1.8232819074333164E-3</v>
      </c>
      <c r="K491" s="5">
        <f>(Cotacoes!K491-Cotacoes!K490)/Cotacoes!K490</f>
        <v>9.5563139931739791E-3</v>
      </c>
      <c r="L491" s="5">
        <f>(Cotacoes!L491-Cotacoes!L490)/Cotacoes!L490</f>
        <v>-1.0630758327427256E-2</v>
      </c>
      <c r="M491" s="5">
        <f>(Cotacoes!M491-Cotacoes!M490)/Cotacoes!M490</f>
        <v>-2.3382696804364273E-3</v>
      </c>
      <c r="N491" s="5">
        <f>(Cotacoes!N491-Cotacoes!N490)/Cotacoes!N490</f>
        <v>1.2091898428052948E-3</v>
      </c>
      <c r="O491" s="5">
        <f>(Cotacoes!O491-Cotacoes!O490)/Cotacoes!O490</f>
        <v>-1.0429703796412183E-2</v>
      </c>
      <c r="P491" s="5">
        <f>(Cotacoes!P491-Cotacoes!P490)/Cotacoes!P490</f>
        <v>-1.2562814070350749E-3</v>
      </c>
      <c r="Q491" s="5">
        <f>(Cotacoes!Q491-Cotacoes!Q490)/Cotacoes!Q490</f>
        <v>4.3137254901960565E-3</v>
      </c>
      <c r="R491" s="5">
        <f>(Cotacoes!R491-Cotacoes!R490)/Cotacoes!R490</f>
        <v>-9.6126661012156164E-3</v>
      </c>
      <c r="S491" s="5">
        <f>(Cotacoes!S491-Cotacoes!S490)/Cotacoes!S490</f>
        <v>-1.2100259291270576E-2</v>
      </c>
      <c r="T491" s="5">
        <f>(Cotacoes!T491-Cotacoes!T490)/Cotacoes!T490</f>
        <v>-2.1785109983079549E-2</v>
      </c>
      <c r="U491" s="5">
        <f>(Cotacoes!U491-Cotacoes!U490)/Cotacoes!U490</f>
        <v>-1.9404703173820089E-2</v>
      </c>
      <c r="V491" s="5">
        <f>(Cotacoes!V491-Cotacoes!V490)/Cotacoes!V490</f>
        <v>-1.6441359152356567E-2</v>
      </c>
      <c r="W491" s="5"/>
    </row>
    <row r="492" spans="1:23" x14ac:dyDescent="0.2">
      <c r="A492" s="4">
        <v>45278</v>
      </c>
      <c r="B492" s="5">
        <f>(Cotacoes!B492-Cotacoes!B491)/Cotacoes!B491</f>
        <v>3.300632621252532E-3</v>
      </c>
      <c r="C492" s="5">
        <f>(Cotacoes!C492-Cotacoes!C491)/Cotacoes!C491</f>
        <v>4.7154982709840341E-3</v>
      </c>
      <c r="D492" s="5">
        <f>(Cotacoes!D492-Cotacoes!D491)/Cotacoes!D491</f>
        <v>1.2684989429175456E-2</v>
      </c>
      <c r="E492" s="5">
        <f>(Cotacoes!E492-Cotacoes!E491)/Cotacoes!E491</f>
        <v>4.9770290964777563E-3</v>
      </c>
      <c r="F492" s="5">
        <f>(Cotacoes!F492-Cotacoes!F491)/Cotacoes!F491</f>
        <v>2.0591165725672569E-2</v>
      </c>
      <c r="G492" s="5">
        <f>(Cotacoes!G492-Cotacoes!G491)/Cotacoes!G491</f>
        <v>2.0132297958009859E-3</v>
      </c>
      <c r="H492" s="5">
        <f>(Cotacoes!H492-Cotacoes!H491)/Cotacoes!H491</f>
        <v>4.1254125412547706E-4</v>
      </c>
      <c r="I492" s="5">
        <f>(Cotacoes!I492-Cotacoes!I491)/Cotacoes!I491</f>
        <v>1.890869800108038E-2</v>
      </c>
      <c r="J492" s="5">
        <f>(Cotacoes!J492-Cotacoes!J491)/Cotacoes!J491</f>
        <v>1.4612898693269524E-2</v>
      </c>
      <c r="K492" s="5">
        <f>(Cotacoes!K492-Cotacoes!K491)/Cotacoes!K491</f>
        <v>7.4374577417174589E-3</v>
      </c>
      <c r="L492" s="5">
        <f>(Cotacoes!L492-Cotacoes!L491)/Cotacoes!L491</f>
        <v>5.0143266475643627E-3</v>
      </c>
      <c r="M492" s="5">
        <f>(Cotacoes!M492-Cotacoes!M491)/Cotacoes!M491</f>
        <v>5.4687499999998834E-3</v>
      </c>
      <c r="N492" s="5">
        <f>(Cotacoes!N492-Cotacoes!N491)/Cotacoes!N491</f>
        <v>0</v>
      </c>
      <c r="O492" s="5">
        <f>(Cotacoes!O492-Cotacoes!O491)/Cotacoes!O491</f>
        <v>-1.6863406408094076E-3</v>
      </c>
      <c r="P492" s="5">
        <f>(Cotacoes!P492-Cotacoes!P491)/Cotacoes!P491</f>
        <v>-2.0545073375262138E-2</v>
      </c>
      <c r="Q492" s="5">
        <f>(Cotacoes!Q492-Cotacoes!Q491)/Cotacoes!Q491</f>
        <v>-1.5618898867629499E-3</v>
      </c>
      <c r="R492" s="5">
        <f>(Cotacoes!R492-Cotacoes!R491)/Cotacoes!R491</f>
        <v>1.3988010276905567E-2</v>
      </c>
      <c r="S492" s="5">
        <f>(Cotacoes!S492-Cotacoes!S491)/Cotacoes!S491</f>
        <v>6.1242344706911884E-3</v>
      </c>
      <c r="T492" s="5">
        <f>(Cotacoes!T492-Cotacoes!T491)/Cotacoes!T491</f>
        <v>-3.2432432432432127E-3</v>
      </c>
      <c r="U492" s="5">
        <f>(Cotacoes!U492-Cotacoes!U491)/Cotacoes!U491</f>
        <v>5.1987254737547398E-3</v>
      </c>
      <c r="V492" s="5">
        <f>(Cotacoes!V492-Cotacoes!V491)/Cotacoes!V491</f>
        <v>1.8202080237741398E-2</v>
      </c>
      <c r="W492" s="5"/>
    </row>
    <row r="493" spans="1:23" x14ac:dyDescent="0.2">
      <c r="A493" s="4">
        <v>45279</v>
      </c>
      <c r="B493" s="5">
        <f>(Cotacoes!B493-Cotacoes!B492)/Cotacoes!B492</f>
        <v>-4.386365713241378E-3</v>
      </c>
      <c r="C493" s="5">
        <f>(Cotacoes!C493-Cotacoes!C492)/Cotacoes!C492</f>
        <v>7.0400500625782672E-3</v>
      </c>
      <c r="D493" s="5">
        <f>(Cotacoes!D493-Cotacoes!D492)/Cotacoes!D492</f>
        <v>1.1134307585247053E-2</v>
      </c>
      <c r="E493" s="5">
        <f>(Cotacoes!E493-Cotacoes!E492)/Cotacoes!E492</f>
        <v>7.6190476190474566E-4</v>
      </c>
      <c r="F493" s="5">
        <f>(Cotacoes!F493-Cotacoes!F492)/Cotacoes!F492</f>
        <v>6.5082980800520432E-3</v>
      </c>
      <c r="G493" s="5">
        <f>(Cotacoes!G493-Cotacoes!G492)/Cotacoes!G492</f>
        <v>1.0619977037887411E-2</v>
      </c>
      <c r="H493" s="5">
        <f>(Cotacoes!H493-Cotacoes!H492)/Cotacoes!H492</f>
        <v>3.7113402061855613E-3</v>
      </c>
      <c r="I493" s="5">
        <f>(Cotacoes!I493-Cotacoes!I492)/Cotacoes!I492</f>
        <v>8.2184517497349494E-3</v>
      </c>
      <c r="J493" s="5">
        <f>(Cotacoes!J493-Cotacoes!J492)/Cotacoes!J492</f>
        <v>7.8936435396760474E-3</v>
      </c>
      <c r="K493" s="5">
        <f>(Cotacoes!K493-Cotacoes!K492)/Cotacoes!K492</f>
        <v>0</v>
      </c>
      <c r="L493" s="5">
        <f>(Cotacoes!L493-Cotacoes!L492)/Cotacoes!L492</f>
        <v>-1.3542409123307165E-2</v>
      </c>
      <c r="M493" s="5">
        <f>(Cotacoes!M493-Cotacoes!M492)/Cotacoes!M492</f>
        <v>1.0878010878010923E-2</v>
      </c>
      <c r="N493" s="5">
        <f>(Cotacoes!N493-Cotacoes!N492)/Cotacoes!N492</f>
        <v>4.8309178743962469E-3</v>
      </c>
      <c r="O493" s="5">
        <f>(Cotacoes!O493-Cotacoes!O492)/Cotacoes!O492</f>
        <v>2.2804054054054019E-2</v>
      </c>
      <c r="P493" s="5">
        <f>(Cotacoes!P493-Cotacoes!P492)/Cotacoes!P492</f>
        <v>-2.7397260273972629E-2</v>
      </c>
      <c r="Q493" s="5">
        <f>(Cotacoes!Q493-Cotacoes!Q492)/Cotacoes!Q492</f>
        <v>8.0172076652326278E-3</v>
      </c>
      <c r="R493" s="5">
        <f>(Cotacoes!R493-Cotacoes!R492)/Cotacoes!R492</f>
        <v>1.6891891891890531E-3</v>
      </c>
      <c r="S493" s="5">
        <f>(Cotacoes!S493-Cotacoes!S492)/Cotacoes!S492</f>
        <v>8.1159420289855407E-3</v>
      </c>
      <c r="T493" s="5">
        <f>(Cotacoes!T493-Cotacoes!T492)/Cotacoes!T492</f>
        <v>1.3232104121475042E-2</v>
      </c>
      <c r="U493" s="5">
        <f>(Cotacoes!U493-Cotacoes!U492)/Cotacoes!U492</f>
        <v>-3.3366700033360061E-4</v>
      </c>
      <c r="V493" s="5">
        <f>(Cotacoes!V493-Cotacoes!V492)/Cotacoes!V492</f>
        <v>-6.2021160160525973E-3</v>
      </c>
      <c r="W493" s="5"/>
    </row>
    <row r="494" spans="1:23" x14ac:dyDescent="0.2">
      <c r="A494" s="4">
        <v>45280</v>
      </c>
      <c r="B494" s="5">
        <f>(Cotacoes!B494-Cotacoes!B493)/Cotacoes!B493</f>
        <v>5.5071133547498329E-3</v>
      </c>
      <c r="C494" s="5">
        <f>(Cotacoes!C494-Cotacoes!C493)/Cotacoes!C493</f>
        <v>-3.2623893117913307E-3</v>
      </c>
      <c r="D494" s="5">
        <f>(Cotacoes!D494-Cotacoes!D493)/Cotacoes!D493</f>
        <v>3.7852718513421537E-3</v>
      </c>
      <c r="E494" s="5">
        <f>(Cotacoes!E494-Cotacoes!E493)/Cotacoes!E493</f>
        <v>-1.0277883517320121E-2</v>
      </c>
      <c r="F494" s="5">
        <f>(Cotacoes!F494-Cotacoes!F493)/Cotacoes!F493</f>
        <v>1.9398642095052932E-3</v>
      </c>
      <c r="G494" s="5">
        <f>(Cotacoes!G494-Cotacoes!G493)/Cotacoes!G493</f>
        <v>-7.1002556092019308E-3</v>
      </c>
      <c r="H494" s="5">
        <f>(Cotacoes!H494-Cotacoes!H493)/Cotacoes!H493</f>
        <v>-1.1503697617091255E-2</v>
      </c>
      <c r="I494" s="5">
        <f>(Cotacoes!I494-Cotacoes!I493)/Cotacoes!I493</f>
        <v>-1.6302918748356678E-2</v>
      </c>
      <c r="J494" s="5">
        <f>(Cotacoes!J494-Cotacoes!J493)/Cotacoes!J493</f>
        <v>-2.4732069249794836E-3</v>
      </c>
      <c r="K494" s="5">
        <f>(Cotacoes!K494-Cotacoes!K493)/Cotacoes!K493</f>
        <v>-1.6107382550335586E-2</v>
      </c>
      <c r="L494" s="5">
        <f>(Cotacoes!L494-Cotacoes!L493)/Cotacoes!L493</f>
        <v>-2.6011560693641578E-2</v>
      </c>
      <c r="M494" s="5">
        <f>(Cotacoes!M494-Cotacoes!M493)/Cotacoes!M493</f>
        <v>-2.4596464258262896E-2</v>
      </c>
      <c r="N494" s="5">
        <f>(Cotacoes!N494-Cotacoes!N493)/Cotacoes!N493</f>
        <v>-9.6153846153846229E-3</v>
      </c>
      <c r="O494" s="5">
        <f>(Cotacoes!O494-Cotacoes!O493)/Cotacoes!O493</f>
        <v>3.3856317093311328E-2</v>
      </c>
      <c r="P494" s="5">
        <f>(Cotacoes!P494-Cotacoes!P493)/Cotacoes!P493</f>
        <v>-1.1883802816901391E-2</v>
      </c>
      <c r="Q494" s="5">
        <f>(Cotacoes!Q494-Cotacoes!Q493)/Cotacoes!Q493</f>
        <v>1.7458777885548123E-2</v>
      </c>
      <c r="R494" s="5">
        <f>(Cotacoes!R494-Cotacoes!R493)/Cotacoes!R493</f>
        <v>-1.1523327712197769E-2</v>
      </c>
      <c r="S494" s="5">
        <f>(Cotacoes!S494-Cotacoes!S493)/Cotacoes!S493</f>
        <v>1.552616446233465E-2</v>
      </c>
      <c r="T494" s="5">
        <f>(Cotacoes!T494-Cotacoes!T493)/Cotacoes!T493</f>
        <v>-2.5048169556840114E-2</v>
      </c>
      <c r="U494" s="5">
        <f>(Cotacoes!U494-Cotacoes!U493)/Cotacoes!U493</f>
        <v>-1.7690253671562121E-2</v>
      </c>
      <c r="V494" s="5">
        <f>(Cotacoes!V494-Cotacoes!V493)/Cotacoes!V493</f>
        <v>-2.3494860499265677E-2</v>
      </c>
      <c r="W494" s="5"/>
    </row>
    <row r="495" spans="1:23" x14ac:dyDescent="0.2">
      <c r="A495" s="4">
        <v>45281</v>
      </c>
      <c r="B495" s="5">
        <f>(Cotacoes!B495-Cotacoes!B494)/Cotacoes!B494</f>
        <v>6.4810588772250839E-3</v>
      </c>
      <c r="C495" s="5">
        <f>(Cotacoes!C495-Cotacoes!C494)/Cotacoes!C494</f>
        <v>3.3354114713216969E-2</v>
      </c>
      <c r="D495" s="5">
        <f>(Cotacoes!D495-Cotacoes!D494)/Cotacoes!D494</f>
        <v>3.4281796366122762E-4</v>
      </c>
      <c r="E495" s="5">
        <f>(Cotacoes!E495-Cotacoes!E494)/Cotacoes!E494</f>
        <v>6.5384615384616041E-3</v>
      </c>
      <c r="F495" s="5">
        <f>(Cotacoes!F495-Cotacoes!F494)/Cotacoes!F494</f>
        <v>0</v>
      </c>
      <c r="G495" s="5">
        <f>(Cotacoes!G495-Cotacoes!G494)/Cotacoes!G494</f>
        <v>6.2929061784896701E-3</v>
      </c>
      <c r="H495" s="5">
        <f>(Cotacoes!H495-Cotacoes!H494)/Cotacoes!H494</f>
        <v>1.2468827930175036E-3</v>
      </c>
      <c r="I495" s="5">
        <f>(Cotacoes!I495-Cotacoes!I494)/Cotacoes!I494</f>
        <v>9.3557872226677739E-3</v>
      </c>
      <c r="J495" s="5">
        <f>(Cotacoes!J495-Cotacoes!J494)/Cotacoes!J494</f>
        <v>2.258953168044078E-2</v>
      </c>
      <c r="K495" s="5">
        <f>(Cotacoes!K495-Cotacoes!K494)/Cotacoes!K494</f>
        <v>6.8212824010912599E-4</v>
      </c>
      <c r="L495" s="5">
        <f>(Cotacoes!L495-Cotacoes!L494)/Cotacoes!L494</f>
        <v>2.2997032640949461E-2</v>
      </c>
      <c r="M495" s="5">
        <f>(Cotacoes!M495-Cotacoes!M494)/Cotacoes!M494</f>
        <v>-2.3640661938533775E-3</v>
      </c>
      <c r="N495" s="5">
        <f>(Cotacoes!N495-Cotacoes!N494)/Cotacoes!N494</f>
        <v>7.2815533980583125E-3</v>
      </c>
      <c r="O495" s="5">
        <f>(Cotacoes!O495-Cotacoes!O494)/Cotacoes!O494</f>
        <v>-8.7859424920127341E-3</v>
      </c>
      <c r="P495" s="5">
        <f>(Cotacoes!P495-Cotacoes!P494)/Cotacoes!P494</f>
        <v>7.1269487750556856E-3</v>
      </c>
      <c r="Q495" s="5">
        <f>(Cotacoes!Q495-Cotacoes!Q494)/Cotacoes!Q494</f>
        <v>1.0295519542421337E-2</v>
      </c>
      <c r="R495" s="5">
        <f>(Cotacoes!R495-Cotacoes!R494)/Cotacoes!R494</f>
        <v>8.5299971566679374E-4</v>
      </c>
      <c r="S495" s="5">
        <f>(Cotacoes!S495-Cotacoes!S494)/Cotacoes!S494</f>
        <v>-8.4937712344284081E-4</v>
      </c>
      <c r="T495" s="5">
        <f>(Cotacoes!T495-Cotacoes!T494)/Cotacoes!T494</f>
        <v>-8.3443126921388354E-3</v>
      </c>
      <c r="U495" s="5">
        <f>(Cotacoes!U495-Cotacoes!U494)/Cotacoes!U494</f>
        <v>2.0897043832823717E-2</v>
      </c>
      <c r="V495" s="5">
        <f>(Cotacoes!V495-Cotacoes!V494)/Cotacoes!V494</f>
        <v>1.3157894736842025E-2</v>
      </c>
      <c r="W495" s="5"/>
    </row>
    <row r="496" spans="1:23" x14ac:dyDescent="0.2">
      <c r="A496" s="4">
        <v>45282</v>
      </c>
      <c r="B496" s="5">
        <f>(Cotacoes!B496-Cotacoes!B495)/Cotacoes!B495</f>
        <v>5.3509885724649844E-3</v>
      </c>
      <c r="C496" s="5">
        <f>(Cotacoes!C496-Cotacoes!C495)/Cotacoes!C495</f>
        <v>-7.5414781297134239E-3</v>
      </c>
      <c r="D496" s="5">
        <f>(Cotacoes!D496-Cotacoes!D495)/Cotacoes!D495</f>
        <v>9.5956134338588458E-3</v>
      </c>
      <c r="E496" s="5">
        <f>(Cotacoes!E496-Cotacoes!E495)/Cotacoes!E495</f>
        <v>1.6048910966755755E-2</v>
      </c>
      <c r="F496" s="5">
        <f>(Cotacoes!F496-Cotacoes!F495)/Cotacoes!F495</f>
        <v>1.3552758954501507E-2</v>
      </c>
      <c r="G496" s="5">
        <f>(Cotacoes!G496-Cotacoes!G495)/Cotacoes!G495</f>
        <v>3.4110289937463742E-3</v>
      </c>
      <c r="H496" s="5">
        <f>(Cotacoes!H496-Cotacoes!H495)/Cotacoes!H495</f>
        <v>2.9057700290577122E-3</v>
      </c>
      <c r="I496" s="5">
        <f>(Cotacoes!I496-Cotacoes!I495)/Cotacoes!I495</f>
        <v>9.0042372881356837E-3</v>
      </c>
      <c r="J496" s="5">
        <f>(Cotacoes!J496-Cotacoes!J495)/Cotacoes!J495</f>
        <v>8.6206896551724223E-3</v>
      </c>
      <c r="K496" s="5">
        <f>(Cotacoes!K496-Cotacoes!K495)/Cotacoes!K495</f>
        <v>8.179959100204446E-3</v>
      </c>
      <c r="L496" s="5">
        <f>(Cotacoes!L496-Cotacoes!L495)/Cotacoes!L495</f>
        <v>1.4503263234228682E-3</v>
      </c>
      <c r="M496" s="5">
        <f>(Cotacoes!M496-Cotacoes!M495)/Cotacoes!M495</f>
        <v>7.8988941548181573E-4</v>
      </c>
      <c r="N496" s="5">
        <f>(Cotacoes!N496-Cotacoes!N495)/Cotacoes!N495</f>
        <v>1.5662650602409518E-2</v>
      </c>
      <c r="O496" s="5">
        <f>(Cotacoes!O496-Cotacoes!O495)/Cotacoes!O495</f>
        <v>2.0145044319097786E-3</v>
      </c>
      <c r="P496" s="5">
        <f>(Cotacoes!P496-Cotacoes!P495)/Cotacoes!P495</f>
        <v>4.8651039363113418E-3</v>
      </c>
      <c r="Q496" s="5">
        <f>(Cotacoes!Q496-Cotacoes!Q495)/Cotacoes!Q495</f>
        <v>8.869598037365518E-3</v>
      </c>
      <c r="R496" s="5">
        <f>(Cotacoes!R496-Cotacoes!R495)/Cotacoes!R495</f>
        <v>3.6931818181816889E-3</v>
      </c>
      <c r="S496" s="5">
        <f>(Cotacoes!S496-Cotacoes!S495)/Cotacoes!S495</f>
        <v>-2.2669311419665143E-3</v>
      </c>
      <c r="T496" s="5">
        <f>(Cotacoes!T496-Cotacoes!T495)/Cotacoes!T495</f>
        <v>4.650132860938903E-3</v>
      </c>
      <c r="U496" s="5">
        <f>(Cotacoes!U496-Cotacoes!U495)/Cotacoes!U495</f>
        <v>-1.6641704110509429E-4</v>
      </c>
      <c r="V496" s="5">
        <f>(Cotacoes!V496-Cotacoes!V495)/Cotacoes!V495</f>
        <v>1.0018552875695717E-2</v>
      </c>
      <c r="W496" s="5"/>
    </row>
    <row r="497" spans="1:23" x14ac:dyDescent="0.2">
      <c r="A497" s="4">
        <v>45286</v>
      </c>
      <c r="B497" s="5">
        <f>(Cotacoes!B497-Cotacoes!B496)/Cotacoes!B496</f>
        <v>4.9616599007669049E-3</v>
      </c>
      <c r="C497" s="5">
        <f>(Cotacoes!C497-Cotacoes!C496)/Cotacoes!C496</f>
        <v>3.4954407294833434E-3</v>
      </c>
      <c r="D497" s="5">
        <f>(Cotacoes!D497-Cotacoes!D496)/Cotacoes!D496</f>
        <v>1.5953835709436485E-2</v>
      </c>
      <c r="E497" s="5">
        <f>(Cotacoes!E497-Cotacoes!E496)/Cotacoes!E496</f>
        <v>1.0154193305754027E-2</v>
      </c>
      <c r="F497" s="5">
        <f>(Cotacoes!F497-Cotacoes!F496)/Cotacoes!F496</f>
        <v>1.4963387456224097E-2</v>
      </c>
      <c r="G497" s="5">
        <f>(Cotacoes!G497-Cotacoes!G496)/Cotacoes!G496</f>
        <v>5.6657223796034804E-3</v>
      </c>
      <c r="H497" s="5">
        <f>(Cotacoes!H497-Cotacoes!H496)/Cotacoes!H496</f>
        <v>9.1059602649006151E-3</v>
      </c>
      <c r="I497" s="5">
        <f>(Cotacoes!I497-Cotacoes!I496)/Cotacoes!I496</f>
        <v>2.6246719160105359E-3</v>
      </c>
      <c r="J497" s="5">
        <f>(Cotacoes!J497-Cotacoes!J496)/Cotacoes!J496</f>
        <v>-9.7489316239314887E-3</v>
      </c>
      <c r="K497" s="5">
        <f>(Cotacoes!K497-Cotacoes!K496)/Cotacoes!K496</f>
        <v>3.3806626098715829E-3</v>
      </c>
      <c r="L497" s="5">
        <f>(Cotacoes!L497-Cotacoes!L496)/Cotacoes!L496</f>
        <v>1.0137581462708095E-2</v>
      </c>
      <c r="M497" s="5">
        <f>(Cotacoes!M497-Cotacoes!M496)/Cotacoes!M496</f>
        <v>3.9463299131807976E-3</v>
      </c>
      <c r="N497" s="5">
        <f>(Cotacoes!N497-Cotacoes!N496)/Cotacoes!N496</f>
        <v>2.3724792408065924E-3</v>
      </c>
      <c r="O497" s="5">
        <f>(Cotacoes!O497-Cotacoes!O496)/Cotacoes!O496</f>
        <v>5.2271813429834741E-3</v>
      </c>
      <c r="P497" s="5">
        <f>(Cotacoes!P497-Cotacoes!P496)/Cotacoes!P496</f>
        <v>-9.6830985915492464E-3</v>
      </c>
      <c r="Q497" s="5">
        <f>(Cotacoes!Q497-Cotacoes!Q496)/Cotacoes!Q496</f>
        <v>5.2375607931163699E-3</v>
      </c>
      <c r="R497" s="5">
        <f>(Cotacoes!R497-Cotacoes!R496)/Cotacoes!R496</f>
        <v>1.3303141805830707E-2</v>
      </c>
      <c r="S497" s="5">
        <f>(Cotacoes!S497-Cotacoes!S496)/Cotacoes!S496</f>
        <v>0</v>
      </c>
      <c r="T497" s="5">
        <f>(Cotacoes!T497-Cotacoes!T496)/Cotacoes!T496</f>
        <v>1.2122547939166945E-2</v>
      </c>
      <c r="U497" s="5">
        <f>(Cotacoes!U497-Cotacoes!U496)/Cotacoes!U496</f>
        <v>-4.9933422103861048E-3</v>
      </c>
      <c r="V497" s="5">
        <f>(Cotacoes!V497-Cotacoes!V496)/Cotacoes!V496</f>
        <v>4.0411462160176133E-3</v>
      </c>
      <c r="W497" s="5"/>
    </row>
    <row r="498" spans="1:23" x14ac:dyDescent="0.2">
      <c r="A498" s="4">
        <v>45287</v>
      </c>
      <c r="B498" s="5">
        <f>(Cotacoes!B498-Cotacoes!B497)/Cotacoes!B497</f>
        <v>0</v>
      </c>
      <c r="C498" s="5">
        <f>(Cotacoes!C498-Cotacoes!C497)/Cotacoes!C497</f>
        <v>9.6925639860669481E-3</v>
      </c>
      <c r="D498" s="5">
        <f>(Cotacoes!D498-Cotacoes!D497)/Cotacoes!D497</f>
        <v>6.6822586034078098E-4</v>
      </c>
      <c r="E498" s="5">
        <f>(Cotacoes!E498-Cotacoes!E497)/Cotacoes!E497</f>
        <v>6.7014147431124242E-3</v>
      </c>
      <c r="F498" s="5">
        <f>(Cotacoes!F498-Cotacoes!F497)/Cotacoes!F497</f>
        <v>-1.5683814303638869E-3</v>
      </c>
      <c r="G498" s="5">
        <f>(Cotacoes!G498-Cotacoes!G497)/Cotacoes!G497</f>
        <v>3.0985915492957586E-3</v>
      </c>
      <c r="H498" s="5">
        <f>(Cotacoes!H498-Cotacoes!H497)/Cotacoes!H497</f>
        <v>-1.2305168170630675E-3</v>
      </c>
      <c r="I498" s="5">
        <f>(Cotacoes!I498-Cotacoes!I497)/Cotacoes!I497</f>
        <v>3.4031413612564251E-3</v>
      </c>
      <c r="J498" s="5">
        <f>(Cotacoes!J498-Cotacoes!J497)/Cotacoes!J497</f>
        <v>9.5751854349291118E-3</v>
      </c>
      <c r="K498" s="5">
        <f>(Cotacoes!K498-Cotacoes!K497)/Cotacoes!K497</f>
        <v>6.0646900269541682E-3</v>
      </c>
      <c r="L498" s="5">
        <f>(Cotacoes!L498-Cotacoes!L497)/Cotacoes!L497</f>
        <v>-5.7347670250896109E-3</v>
      </c>
      <c r="M498" s="5">
        <f>(Cotacoes!M498-Cotacoes!M497)/Cotacoes!M497</f>
        <v>5.5031446540879329E-3</v>
      </c>
      <c r="N498" s="5">
        <f>(Cotacoes!N498-Cotacoes!N497)/Cotacoes!N497</f>
        <v>8.2840236686390883E-3</v>
      </c>
      <c r="O498" s="5">
        <f>(Cotacoes!O498-Cotacoes!O497)/Cotacoes!O497</f>
        <v>-4.0000000000006252E-4</v>
      </c>
      <c r="P498" s="5">
        <f>(Cotacoes!P498-Cotacoes!P497)/Cotacoes!P497</f>
        <v>6.2222222222222479E-3</v>
      </c>
      <c r="Q498" s="5">
        <f>(Cotacoes!Q498-Cotacoes!Q497)/Cotacoes!Q497</f>
        <v>5.9545962039449247E-3</v>
      </c>
      <c r="R498" s="5">
        <f>(Cotacoes!R498-Cotacoes!R497)/Cotacoes!R497</f>
        <v>7.2625698324023779E-3</v>
      </c>
      <c r="S498" s="5">
        <f>(Cotacoes!S498-Cotacoes!S497)/Cotacoes!S497</f>
        <v>7.6682760579379729E-3</v>
      </c>
      <c r="T498" s="5">
        <f>(Cotacoes!T498-Cotacoes!T497)/Cotacoes!T497</f>
        <v>4.3554006968632447E-4</v>
      </c>
      <c r="U498" s="5">
        <f>(Cotacoes!U498-Cotacoes!U497)/Cotacoes!U497</f>
        <v>-4.349280695884878E-3</v>
      </c>
      <c r="V498" s="5">
        <f>(Cotacoes!V498-Cotacoes!V497)/Cotacoes!V497</f>
        <v>1.9392608854738425E-2</v>
      </c>
      <c r="W498" s="5"/>
    </row>
    <row r="499" spans="1:23" x14ac:dyDescent="0.2">
      <c r="A499" s="4">
        <v>45288</v>
      </c>
      <c r="B499" s="5">
        <f>(Cotacoes!B499-Cotacoes!B498)/Cotacoes!B498</f>
        <v>-1.2477558348294438E-2</v>
      </c>
      <c r="C499" s="5">
        <f>(Cotacoes!C499-Cotacoes!C498)/Cotacoes!C498</f>
        <v>-2.5498725063747068E-3</v>
      </c>
      <c r="D499" s="5">
        <f>(Cotacoes!D499-Cotacoes!D498)/Cotacoes!D498</f>
        <v>-3.0050083472454043E-3</v>
      </c>
      <c r="E499" s="5">
        <f>(Cotacoes!E499-Cotacoes!E498)/Cotacoes!E498</f>
        <v>2.5887573964497148E-3</v>
      </c>
      <c r="F499" s="5">
        <f>(Cotacoes!F499-Cotacoes!F498)/Cotacoes!F498</f>
        <v>-4.0841972981463717E-3</v>
      </c>
      <c r="G499" s="5">
        <f>(Cotacoes!G499-Cotacoes!G498)/Cotacoes!G498</f>
        <v>1.9657399606852087E-3</v>
      </c>
      <c r="H499" s="5">
        <f>(Cotacoes!H499-Cotacoes!H498)/Cotacoes!H498</f>
        <v>9.4455852156056213E-3</v>
      </c>
      <c r="I499" s="5">
        <f>(Cotacoes!I499-Cotacoes!I498)/Cotacoes!I498</f>
        <v>4.6960605270023412E-3</v>
      </c>
      <c r="J499" s="5">
        <f>(Cotacoes!J499-Cotacoes!J498)/Cotacoes!J498</f>
        <v>6.8127170718675547E-3</v>
      </c>
      <c r="K499" s="5">
        <f>(Cotacoes!K499-Cotacoes!K498)/Cotacoes!K498</f>
        <v>6.0281312793034067E-3</v>
      </c>
      <c r="L499" s="5">
        <f>(Cotacoes!L499-Cotacoes!L498)/Cotacoes!L498</f>
        <v>-2.1629416005767383E-3</v>
      </c>
      <c r="M499" s="5">
        <f>(Cotacoes!M499-Cotacoes!M498)/Cotacoes!M498</f>
        <v>-8.6004691164972193E-3</v>
      </c>
      <c r="N499" s="5">
        <f>(Cotacoes!N499-Cotacoes!N498)/Cotacoes!N498</f>
        <v>0</v>
      </c>
      <c r="O499" s="5">
        <f>(Cotacoes!O499-Cotacoes!O498)/Cotacoes!O498</f>
        <v>-3.2012805122048141E-3</v>
      </c>
      <c r="P499" s="5">
        <f>(Cotacoes!P499-Cotacoes!P498)/Cotacoes!P498</f>
        <v>-1.1925795053003514E-2</v>
      </c>
      <c r="Q499" s="5">
        <f>(Cotacoes!Q499-Cotacoes!Q498)/Cotacoes!Q498</f>
        <v>1.4798372179059987E-3</v>
      </c>
      <c r="R499" s="5">
        <f>(Cotacoes!R499-Cotacoes!R498)/Cotacoes!R498</f>
        <v>1.3865779256793443E-3</v>
      </c>
      <c r="S499" s="5">
        <f>(Cotacoes!S499-Cotacoes!S498)/Cotacoes!S498</f>
        <v>6.7643742953777345E-3</v>
      </c>
      <c r="T499" s="5">
        <f>(Cotacoes!T499-Cotacoes!T498)/Cotacoes!T498</f>
        <v>2.3944275141488777E-3</v>
      </c>
      <c r="U499" s="5">
        <f>(Cotacoes!U499-Cotacoes!U498)/Cotacoes!U498</f>
        <v>0</v>
      </c>
      <c r="V499" s="5">
        <f>(Cotacoes!V499-Cotacoes!V498)/Cotacoes!V498</f>
        <v>-3.2304379038047329E-3</v>
      </c>
      <c r="W499" s="5"/>
    </row>
    <row r="500" spans="1:23" x14ac:dyDescent="0.2">
      <c r="A500" s="4">
        <v>45293</v>
      </c>
      <c r="B500" s="5">
        <f>(Cotacoes!B500-Cotacoes!B499)/Cotacoes!B499</f>
        <v>8.9991818925551758E-3</v>
      </c>
      <c r="C500" s="5">
        <f>(Cotacoes!C500-Cotacoes!C499)/Cotacoes!C499</f>
        <v>-1.9548872180450445E-3</v>
      </c>
      <c r="D500" s="5">
        <f>(Cotacoes!D500-Cotacoes!D499)/Cotacoes!D499</f>
        <v>1.4400535833891484E-2</v>
      </c>
      <c r="E500" s="5">
        <f>(Cotacoes!E500-Cotacoes!E499)/Cotacoes!E499</f>
        <v>-1.2541497602360747E-2</v>
      </c>
      <c r="F500" s="5">
        <f>(Cotacoes!F500-Cotacoes!F499)/Cotacoes!F499</f>
        <v>9.7791798107255117E-3</v>
      </c>
      <c r="G500" s="5">
        <f>(Cotacoes!G500-Cotacoes!G499)/Cotacoes!G499</f>
        <v>-9.2488789237667682E-3</v>
      </c>
      <c r="H500" s="5">
        <f>(Cotacoes!H500-Cotacoes!H499)/Cotacoes!H499</f>
        <v>-1.1391375101708609E-2</v>
      </c>
      <c r="I500" s="5">
        <f>(Cotacoes!I500-Cotacoes!I499)/Cotacoes!I499</f>
        <v>-1.6099714359906453E-2</v>
      </c>
      <c r="J500" s="5">
        <f>(Cotacoes!J500-Cotacoes!J499)/Cotacoes!J499</f>
        <v>-2.3086108531245972E-2</v>
      </c>
      <c r="K500" s="5">
        <f>(Cotacoes!K500-Cotacoes!K499)/Cotacoes!K499</f>
        <v>-1.9973368841544537E-2</v>
      </c>
      <c r="L500" s="5">
        <f>(Cotacoes!L500-Cotacoes!L499)/Cotacoes!L499</f>
        <v>-1.9508670520231183E-2</v>
      </c>
      <c r="M500" s="5">
        <f>(Cotacoes!M500-Cotacoes!M499)/Cotacoes!M499</f>
        <v>-7.8864353312301156E-4</v>
      </c>
      <c r="N500" s="5">
        <f>(Cotacoes!N500-Cotacoes!N499)/Cotacoes!N499</f>
        <v>-1.8779342723004713E-2</v>
      </c>
      <c r="O500" s="5">
        <f>(Cotacoes!O500-Cotacoes!O499)/Cotacoes!O499</f>
        <v>1.0437575270975575E-2</v>
      </c>
      <c r="P500" s="5">
        <f>(Cotacoes!P500-Cotacoes!P499)/Cotacoes!P499</f>
        <v>-1.6540008940545418E-2</v>
      </c>
      <c r="Q500" s="5">
        <f>(Cotacoes!Q500-Cotacoes!Q499)/Cotacoes!Q499</f>
        <v>-8.8659032138899887E-3</v>
      </c>
      <c r="R500" s="5">
        <f>(Cotacoes!R500-Cotacoes!R499)/Cotacoes!R499</f>
        <v>-9.969537524231499E-3</v>
      </c>
      <c r="S500" s="5">
        <f>(Cotacoes!S500-Cotacoes!S499)/Cotacoes!S499</f>
        <v>-2.0156774916013406E-2</v>
      </c>
      <c r="T500" s="5">
        <f>(Cotacoes!T500-Cotacoes!T499)/Cotacoes!T499</f>
        <v>-1.5200868621063969E-2</v>
      </c>
      <c r="U500" s="5">
        <f>(Cotacoes!U500-Cotacoes!U499)/Cotacoes!U499</f>
        <v>-3.6794354838709756E-2</v>
      </c>
      <c r="V500" s="5">
        <f>(Cotacoes!V500-Cotacoes!V499)/Cotacoes!V499</f>
        <v>-3.5289881166726697E-2</v>
      </c>
      <c r="W500" s="5"/>
    </row>
    <row r="501" spans="1:23" x14ac:dyDescent="0.2">
      <c r="A501" s="4">
        <v>45294</v>
      </c>
      <c r="B501" s="5">
        <f>(Cotacoes!B501-Cotacoes!B500)/Cotacoes!B500</f>
        <v>-1.6936936936936896E-2</v>
      </c>
      <c r="C501" s="5">
        <f>(Cotacoes!C501-Cotacoes!C500)/Cotacoes!C500</f>
        <v>-5.2734669278289665E-3</v>
      </c>
      <c r="D501" s="5">
        <f>(Cotacoes!D501-Cotacoes!D500)/Cotacoes!D500</f>
        <v>3.1363486299108595E-2</v>
      </c>
      <c r="E501" s="5">
        <f>(Cotacoes!E501-Cotacoes!E500)/Cotacoes!E500</f>
        <v>-1.1206574523720609E-2</v>
      </c>
      <c r="F501" s="5">
        <f>(Cotacoes!F501-Cotacoes!F500)/Cotacoes!F500</f>
        <v>3.4051858794126942E-2</v>
      </c>
      <c r="G501" s="5">
        <f>(Cotacoes!G501-Cotacoes!G500)/Cotacoes!G500</f>
        <v>7.6379066478075254E-3</v>
      </c>
      <c r="H501" s="5">
        <f>(Cotacoes!H501-Cotacoes!H500)/Cotacoes!H500</f>
        <v>8.2304526748969435E-4</v>
      </c>
      <c r="I501" s="5">
        <f>(Cotacoes!I501-Cotacoes!I500)/Cotacoes!I500</f>
        <v>-1.3196093956188218E-3</v>
      </c>
      <c r="J501" s="5">
        <f>(Cotacoes!J501-Cotacoes!J500)/Cotacoes!J500</f>
        <v>-2.1730272986553931E-3</v>
      </c>
      <c r="K501" s="5">
        <f>(Cotacoes!K501-Cotacoes!K500)/Cotacoes!K500</f>
        <v>1.3586956521738839E-3</v>
      </c>
      <c r="L501" s="5">
        <f>(Cotacoes!L501-Cotacoes!L500)/Cotacoes!L500</f>
        <v>-2.9476787030214388E-3</v>
      </c>
      <c r="M501" s="5">
        <f>(Cotacoes!M501-Cotacoes!M500)/Cotacoes!M500</f>
        <v>-8.6819258089975877E-3</v>
      </c>
      <c r="N501" s="5">
        <f>(Cotacoes!N501-Cotacoes!N500)/Cotacoes!N500</f>
        <v>-2.3923444976076047E-3</v>
      </c>
      <c r="O501" s="5">
        <f>(Cotacoes!O501-Cotacoes!O500)/Cotacoes!O500</f>
        <v>-2.7810885975367614E-2</v>
      </c>
      <c r="P501" s="5">
        <f>(Cotacoes!P501-Cotacoes!P500)/Cotacoes!P500</f>
        <v>-2.0909090909090947E-2</v>
      </c>
      <c r="Q501" s="5">
        <f>(Cotacoes!Q501-Cotacoes!Q500)/Cotacoes!Q500</f>
        <v>5.590756615728742E-3</v>
      </c>
      <c r="R501" s="5">
        <f>(Cotacoes!R501-Cotacoes!R500)/Cotacoes!R500</f>
        <v>-1.8741258741258791E-2</v>
      </c>
      <c r="S501" s="5">
        <f>(Cotacoes!S501-Cotacoes!S500)/Cotacoes!S500</f>
        <v>5.4285714285713634E-3</v>
      </c>
      <c r="T501" s="5">
        <f>(Cotacoes!T501-Cotacoes!T500)/Cotacoes!T500</f>
        <v>3.3737596471885359E-2</v>
      </c>
      <c r="U501" s="5">
        <f>(Cotacoes!U501-Cotacoes!U500)/Cotacoes!U500</f>
        <v>-5.9305773591487232E-3</v>
      </c>
      <c r="V501" s="5">
        <f>(Cotacoes!V501-Cotacoes!V500)/Cotacoes!V500</f>
        <v>-8.9585666293392468E-3</v>
      </c>
      <c r="W501" s="5"/>
    </row>
    <row r="502" spans="1:23" x14ac:dyDescent="0.2">
      <c r="A502" s="4">
        <v>45295</v>
      </c>
      <c r="B502" s="5">
        <f>(Cotacoes!B502-Cotacoes!B501)/Cotacoes!B501</f>
        <v>4.8570381231671659E-3</v>
      </c>
      <c r="C502" s="5">
        <f>(Cotacoes!C502-Cotacoes!C501)/Cotacoes!C501</f>
        <v>-1.3329294153286814E-2</v>
      </c>
      <c r="D502" s="5">
        <f>(Cotacoes!D502-Cotacoes!D501)/Cotacoes!D501</f>
        <v>-8.6427656850191926E-3</v>
      </c>
      <c r="E502" s="5">
        <f>(Cotacoes!E502-Cotacoes!E501)/Cotacoes!E501</f>
        <v>-6.4223649414430735E-3</v>
      </c>
      <c r="F502" s="5">
        <f>(Cotacoes!F502-Cotacoes!F501)/Cotacoes!F501</f>
        <v>-1.6314199395770366E-2</v>
      </c>
      <c r="G502" s="5">
        <f>(Cotacoes!G502-Cotacoes!G501)/Cotacoes!G501</f>
        <v>-1.3194834362717544E-2</v>
      </c>
      <c r="H502" s="5">
        <f>(Cotacoes!H502-Cotacoes!H501)/Cotacoes!H501</f>
        <v>-1.0279605263157895E-2</v>
      </c>
      <c r="I502" s="5">
        <f>(Cotacoes!I502-Cotacoes!I501)/Cotacoes!I501</f>
        <v>-8.7209302325582817E-3</v>
      </c>
      <c r="J502" s="5">
        <f>(Cotacoes!J502-Cotacoes!J501)/Cotacoes!J501</f>
        <v>-1.1705458010072131E-2</v>
      </c>
      <c r="K502" s="5">
        <f>(Cotacoes!K502-Cotacoes!K501)/Cotacoes!K501</f>
        <v>-1.356852103120767E-2</v>
      </c>
      <c r="L502" s="5">
        <f>(Cotacoes!L502-Cotacoes!L501)/Cotacoes!L501</f>
        <v>-2.8824833702882396E-2</v>
      </c>
      <c r="M502" s="5">
        <f>(Cotacoes!M502-Cotacoes!M501)/Cotacoes!M501</f>
        <v>3.9808917197451379E-3</v>
      </c>
      <c r="N502" s="5">
        <f>(Cotacoes!N502-Cotacoes!N501)/Cotacoes!N501</f>
        <v>-1.199040767386087E-2</v>
      </c>
      <c r="O502" s="5">
        <f>(Cotacoes!O502-Cotacoes!O501)/Cotacoes!O501</f>
        <v>-1.4303228442991332E-2</v>
      </c>
      <c r="P502" s="5">
        <f>(Cotacoes!P502-Cotacoes!P501)/Cotacoes!P501</f>
        <v>-1.9034354688950796E-2</v>
      </c>
      <c r="Q502" s="5">
        <f>(Cotacoes!Q502-Cotacoes!Q501)/Cotacoes!Q501</f>
        <v>-1.5196441808747225E-2</v>
      </c>
      <c r="R502" s="5">
        <f>(Cotacoes!R502-Cotacoes!R501)/Cotacoes!R501</f>
        <v>-1.2257696693272513E-2</v>
      </c>
      <c r="S502" s="5">
        <f>(Cotacoes!S502-Cotacoes!S501)/Cotacoes!S501</f>
        <v>-1.0230179028132978E-2</v>
      </c>
      <c r="T502" s="5">
        <f>(Cotacoes!T502-Cotacoes!T501)/Cotacoes!T501</f>
        <v>-9.8122866894198128E-3</v>
      </c>
      <c r="U502" s="5">
        <f>(Cotacoes!U502-Cotacoes!U501)/Cotacoes!U501</f>
        <v>-2.0705386909984202E-2</v>
      </c>
      <c r="V502" s="5">
        <f>(Cotacoes!V502-Cotacoes!V501)/Cotacoes!V501</f>
        <v>-9.039548022598945E-3</v>
      </c>
      <c r="W502" s="5"/>
    </row>
    <row r="503" spans="1:23" x14ac:dyDescent="0.2">
      <c r="A503" s="4">
        <v>45296</v>
      </c>
      <c r="B503" s="5">
        <f>(Cotacoes!B503-Cotacoes!B502)/Cotacoes!B502</f>
        <v>4.1039671682625498E-3</v>
      </c>
      <c r="C503" s="5">
        <f>(Cotacoes!C503-Cotacoes!C502)/Cotacoes!C502</f>
        <v>-1.2895302425545032E-2</v>
      </c>
      <c r="D503" s="5">
        <f>(Cotacoes!D503-Cotacoes!D502)/Cotacoes!D502</f>
        <v>2.2602518566354631E-3</v>
      </c>
      <c r="E503" s="5">
        <f>(Cotacoes!E503-Cotacoes!E502)/Cotacoes!E502</f>
        <v>2.3193916349809864E-2</v>
      </c>
      <c r="F503" s="5">
        <f>(Cotacoes!F503-Cotacoes!F502)/Cotacoes!F502</f>
        <v>8.9066339066338797E-3</v>
      </c>
      <c r="G503" s="5">
        <f>(Cotacoes!G503-Cotacoes!G502)/Cotacoes!G502</f>
        <v>-1.0810810810810681E-2</v>
      </c>
      <c r="H503" s="5">
        <f>(Cotacoes!H503-Cotacoes!H502)/Cotacoes!H502</f>
        <v>1.2048192771084302E-2</v>
      </c>
      <c r="I503" s="5">
        <f>(Cotacoes!I503-Cotacoes!I502)/Cotacoes!I502</f>
        <v>-1.5995734470806498E-3</v>
      </c>
      <c r="J503" s="5">
        <f>(Cotacoes!J503-Cotacoes!J502)/Cotacoes!J502</f>
        <v>-3.5807739980719612E-3</v>
      </c>
      <c r="K503" s="5">
        <f>(Cotacoes!K503-Cotacoes!K502)/Cotacoes!K502</f>
        <v>2.132049518569467E-2</v>
      </c>
      <c r="L503" s="5">
        <f>(Cotacoes!L503-Cotacoes!L502)/Cotacoes!L502</f>
        <v>1.8264840182648418E-2</v>
      </c>
      <c r="M503" s="5">
        <f>(Cotacoes!M503-Cotacoes!M502)/Cotacoes!M502</f>
        <v>-3.9651070578904787E-3</v>
      </c>
      <c r="N503" s="5">
        <f>(Cotacoes!N503-Cotacoes!N502)/Cotacoes!N502</f>
        <v>2.0631067961165039E-2</v>
      </c>
      <c r="O503" s="5">
        <f>(Cotacoes!O503-Cotacoes!O502)/Cotacoes!O502</f>
        <v>-2.0729684908789678E-3</v>
      </c>
      <c r="P503" s="5">
        <f>(Cotacoes!P503-Cotacoes!P502)/Cotacoes!P502</f>
        <v>1.0411736867013839E-2</v>
      </c>
      <c r="Q503" s="5">
        <f>(Cotacoes!Q503-Cotacoes!Q502)/Cotacoes!Q502</f>
        <v>-1.0161836657884817E-2</v>
      </c>
      <c r="R503" s="5">
        <f>(Cotacoes!R503-Cotacoes!R502)/Cotacoes!R502</f>
        <v>2.1356421356421414E-2</v>
      </c>
      <c r="S503" s="5">
        <f>(Cotacoes!S503-Cotacoes!S502)/Cotacoes!S502</f>
        <v>-1.4355440712029044E-3</v>
      </c>
      <c r="T503" s="5">
        <f>(Cotacoes!T503-Cotacoes!T502)/Cotacoes!T502</f>
        <v>-7.3244291253770659E-3</v>
      </c>
      <c r="U503" s="5">
        <f>(Cotacoes!U503-Cotacoes!U502)/Cotacoes!U502</f>
        <v>1.4513528041569523E-2</v>
      </c>
      <c r="V503" s="5">
        <f>(Cotacoes!V503-Cotacoes!V502)/Cotacoes!V502</f>
        <v>2.7746104142911458E-2</v>
      </c>
      <c r="W503" s="5"/>
    </row>
    <row r="504" spans="1:23" x14ac:dyDescent="0.2">
      <c r="A504" s="4">
        <v>45299</v>
      </c>
      <c r="B504" s="5">
        <f>(Cotacoes!B504-Cotacoes!B503)/Cotacoes!B503</f>
        <v>-7.0844686648501472E-3</v>
      </c>
      <c r="C504" s="5">
        <f>(Cotacoes!C504-Cotacoes!C503)/Cotacoes!C503</f>
        <v>-5.1321928460341887E-3</v>
      </c>
      <c r="D504" s="5">
        <f>(Cotacoes!D504-Cotacoes!D503)/Cotacoes!D503</f>
        <v>-7.4097938144330033E-3</v>
      </c>
      <c r="E504" s="5">
        <f>(Cotacoes!E504-Cotacoes!E503)/Cotacoes!E503</f>
        <v>-1.0776662950575963E-2</v>
      </c>
      <c r="F504" s="5">
        <f>(Cotacoes!F504-Cotacoes!F503)/Cotacoes!F503</f>
        <v>-1.8569254185692524E-2</v>
      </c>
      <c r="G504" s="5">
        <f>(Cotacoes!G504-Cotacoes!G503)/Cotacoes!G503</f>
        <v>2.5884383088868651E-3</v>
      </c>
      <c r="H504" s="5">
        <f>(Cotacoes!H504-Cotacoes!H503)/Cotacoes!H503</f>
        <v>8.2101806239736983E-3</v>
      </c>
      <c r="I504" s="5">
        <f>(Cotacoes!I504-Cotacoes!I503)/Cotacoes!I503</f>
        <v>-4.8064085447262934E-3</v>
      </c>
      <c r="J504" s="5">
        <f>(Cotacoes!J504-Cotacoes!J503)/Cotacoes!J503</f>
        <v>1.2577747062888885E-2</v>
      </c>
      <c r="K504" s="5">
        <f>(Cotacoes!K504-Cotacoes!K503)/Cotacoes!K503</f>
        <v>-7.4074074074073695E-3</v>
      </c>
      <c r="L504" s="5">
        <f>(Cotacoes!L504-Cotacoes!L503)/Cotacoes!L503</f>
        <v>2.1674140508221161E-2</v>
      </c>
      <c r="M504" s="5">
        <f>(Cotacoes!M504-Cotacoes!M503)/Cotacoes!M503</f>
        <v>8.7579617834394451E-3</v>
      </c>
      <c r="N504" s="5">
        <f>(Cotacoes!N504-Cotacoes!N503)/Cotacoes!N503</f>
        <v>-7.1343638525565396E-3</v>
      </c>
      <c r="O504" s="5">
        <f>(Cotacoes!O504-Cotacoes!O503)/Cotacoes!O503</f>
        <v>-5.4009140008308681E-3</v>
      </c>
      <c r="P504" s="5">
        <f>(Cotacoes!P504-Cotacoes!P503)/Cotacoes!P503</f>
        <v>1.451990632318495E-2</v>
      </c>
      <c r="Q504" s="5">
        <f>(Cotacoes!Q504-Cotacoes!Q503)/Cotacoes!Q503</f>
        <v>1.292775665399239E-2</v>
      </c>
      <c r="R504" s="5">
        <f>(Cotacoes!R504-Cotacoes!R503)/Cotacoes!R503</f>
        <v>3.1929923707262012E-2</v>
      </c>
      <c r="S504" s="5">
        <f>(Cotacoes!S504-Cotacoes!S503)/Cotacoes!S503</f>
        <v>-2.3001725129384214E-3</v>
      </c>
      <c r="T504" s="5">
        <f>(Cotacoes!T504-Cotacoes!T503)/Cotacoes!T503</f>
        <v>-7.1614583333332966E-3</v>
      </c>
      <c r="U504" s="5">
        <f>(Cotacoes!U504-Cotacoes!U503)/Cotacoes!U503</f>
        <v>3.7972447898269264E-2</v>
      </c>
      <c r="V504" s="5">
        <f>(Cotacoes!V504-Cotacoes!V503)/Cotacoes!V503</f>
        <v>3.1434911242603607E-2</v>
      </c>
      <c r="W504" s="5"/>
    </row>
    <row r="505" spans="1:23" x14ac:dyDescent="0.2">
      <c r="A505" s="4">
        <v>45300</v>
      </c>
      <c r="B505" s="5">
        <f>(Cotacoes!B505-Cotacoes!B504)/Cotacoes!B504</f>
        <v>-4.848152213684476E-3</v>
      </c>
      <c r="C505" s="5">
        <f>(Cotacoes!C505-Cotacoes!C504)/Cotacoes!C504</f>
        <v>-1.2662185399406008E-2</v>
      </c>
      <c r="D505" s="5">
        <f>(Cotacoes!D505-Cotacoes!D504)/Cotacoes!D504</f>
        <v>-8.438818565400779E-3</v>
      </c>
      <c r="E505" s="5">
        <f>(Cotacoes!E505-Cotacoes!E504)/Cotacoes!E504</f>
        <v>-3.7565740045084761E-4</v>
      </c>
      <c r="F505" s="5">
        <f>(Cotacoes!F505-Cotacoes!F504)/Cotacoes!F504</f>
        <v>-5.5831265508684775E-3</v>
      </c>
      <c r="G505" s="5">
        <f>(Cotacoes!G505-Cotacoes!G504)/Cotacoes!G504</f>
        <v>-2.4670109007458391E-2</v>
      </c>
      <c r="H505" s="5">
        <f>(Cotacoes!H505-Cotacoes!H504)/Cotacoes!H504</f>
        <v>-1.4657980456026036E-2</v>
      </c>
      <c r="I505" s="5">
        <f>(Cotacoes!I505-Cotacoes!I504)/Cotacoes!I504</f>
        <v>1.502548966997572E-2</v>
      </c>
      <c r="J505" s="5">
        <f>(Cotacoes!J505-Cotacoes!J504)/Cotacoes!J504</f>
        <v>2.5935025935025623E-3</v>
      </c>
      <c r="K505" s="5">
        <f>(Cotacoes!K505-Cotacoes!K504)/Cotacoes!K504</f>
        <v>-2.7137042062415219E-2</v>
      </c>
      <c r="L505" s="5">
        <f>(Cotacoes!L505-Cotacoes!L504)/Cotacoes!L504</f>
        <v>-1.536210680321866E-2</v>
      </c>
      <c r="M505" s="5">
        <f>(Cotacoes!M505-Cotacoes!M504)/Cotacoes!M504</f>
        <v>-7.1033938437253244E-3</v>
      </c>
      <c r="N505" s="5">
        <f>(Cotacoes!N505-Cotacoes!N504)/Cotacoes!N504</f>
        <v>2.3952095808382726E-3</v>
      </c>
      <c r="O505" s="5">
        <f>(Cotacoes!O505-Cotacoes!O504)/Cotacoes!O504</f>
        <v>2.5062656641603475E-3</v>
      </c>
      <c r="P505" s="5">
        <f>(Cotacoes!P505-Cotacoes!P504)/Cotacoes!P504</f>
        <v>-4.1551246537396055E-3</v>
      </c>
      <c r="Q505" s="5">
        <f>(Cotacoes!Q505-Cotacoes!Q504)/Cotacoes!Q504</f>
        <v>-1.2199699699699673E-2</v>
      </c>
      <c r="R505" s="5">
        <f>(Cotacoes!R505-Cotacoes!R504)/Cotacoes!R504</f>
        <v>-3.2858707557503982E-3</v>
      </c>
      <c r="S505" s="5">
        <f>(Cotacoes!S505-Cotacoes!S504)/Cotacoes!S504</f>
        <v>7.2046109510086453E-3</v>
      </c>
      <c r="T505" s="5">
        <f>(Cotacoes!T505-Cotacoes!T504)/Cotacoes!T504</f>
        <v>1.1584699453551938E-2</v>
      </c>
      <c r="U505" s="5">
        <f>(Cotacoes!U505-Cotacoes!U504)/Cotacoes!U504</f>
        <v>-9.358516249787379E-3</v>
      </c>
      <c r="V505" s="5">
        <f>(Cotacoes!V505-Cotacoes!V504)/Cotacoes!V504</f>
        <v>-1.2190749372534953E-2</v>
      </c>
      <c r="W505" s="5"/>
    </row>
    <row r="506" spans="1:23" x14ac:dyDescent="0.2">
      <c r="A506" s="4">
        <v>45301</v>
      </c>
      <c r="B506" s="5">
        <f>(Cotacoes!B506-Cotacoes!B505)/Cotacoes!B505</f>
        <v>1.1030425590586482E-3</v>
      </c>
      <c r="C506" s="5">
        <f>(Cotacoes!C506-Cotacoes!C505)/Cotacoes!C505</f>
        <v>-1.4882837238758672E-2</v>
      </c>
      <c r="D506" s="5">
        <f>(Cotacoes!D506-Cotacoes!D505)/Cotacoes!D505</f>
        <v>-9.1653027823240963E-3</v>
      </c>
      <c r="E506" s="5">
        <f>(Cotacoes!E506-Cotacoes!E505)/Cotacoes!E505</f>
        <v>-1.1273957158963223E-3</v>
      </c>
      <c r="F506" s="5">
        <f>(Cotacoes!F506-Cotacoes!F505)/Cotacoes!F505</f>
        <v>-9.9812850904555158E-3</v>
      </c>
      <c r="G506" s="5">
        <f>(Cotacoes!G506-Cotacoes!G505)/Cotacoes!G505</f>
        <v>4.1176470588235462E-3</v>
      </c>
      <c r="H506" s="5">
        <f>(Cotacoes!H506-Cotacoes!H505)/Cotacoes!H505</f>
        <v>-1.6528925619834359E-3</v>
      </c>
      <c r="I506" s="5">
        <f>(Cotacoes!I506-Cotacoes!I505)/Cotacoes!I505</f>
        <v>2.5905366111551784E-2</v>
      </c>
      <c r="J506" s="5">
        <f>(Cotacoes!J506-Cotacoes!J505)/Cotacoes!J505</f>
        <v>1.7835262083049724E-2</v>
      </c>
      <c r="K506" s="5">
        <f>(Cotacoes!K506-Cotacoes!K505)/Cotacoes!K505</f>
        <v>-1.6736401673640183E-2</v>
      </c>
      <c r="L506" s="5">
        <f>(Cotacoes!L506-Cotacoes!L505)/Cotacoes!L505</f>
        <v>-9.6582466567608303E-3</v>
      </c>
      <c r="M506" s="5">
        <f>(Cotacoes!M506-Cotacoes!M505)/Cotacoes!M505</f>
        <v>1.0333863275039807E-2</v>
      </c>
      <c r="N506" s="5">
        <f>(Cotacoes!N506-Cotacoes!N505)/Cotacoes!N505</f>
        <v>-3.5842293906809277E-3</v>
      </c>
      <c r="O506" s="5">
        <f>(Cotacoes!O506-Cotacoes!O505)/Cotacoes!O505</f>
        <v>1.1666666666666714E-2</v>
      </c>
      <c r="P506" s="5">
        <f>(Cotacoes!P506-Cotacoes!P505)/Cotacoes!P505</f>
        <v>3.3843300880853057E-2</v>
      </c>
      <c r="Q506" s="5">
        <f>(Cotacoes!Q506-Cotacoes!Q505)/Cotacoes!Q505</f>
        <v>-5.7001710051302343E-3</v>
      </c>
      <c r="R506" s="5">
        <f>(Cotacoes!R506-Cotacoes!R505)/Cotacoes!R505</f>
        <v>-5.4945054945044016E-4</v>
      </c>
      <c r="S506" s="5">
        <f>(Cotacoes!S506-Cotacoes!S505)/Cotacoes!S505</f>
        <v>1.3733905579399051E-2</v>
      </c>
      <c r="T506" s="5">
        <f>(Cotacoes!T506-Cotacoes!T505)/Cotacoes!T505</f>
        <v>-4.1702679343128775E-2</v>
      </c>
      <c r="U506" s="5">
        <f>(Cotacoes!U506-Cotacoes!U505)/Cotacoes!U505</f>
        <v>1.2710408794228821E-2</v>
      </c>
      <c r="V506" s="5">
        <f>(Cotacoes!V506-Cotacoes!V505)/Cotacoes!V505</f>
        <v>-3.6297640653358046E-3</v>
      </c>
      <c r="W506" s="5"/>
    </row>
    <row r="507" spans="1:23" x14ac:dyDescent="0.2">
      <c r="A507" s="4">
        <v>45302</v>
      </c>
      <c r="B507" s="5">
        <f>(Cotacoes!B507-Cotacoes!B506)/Cotacoes!B506</f>
        <v>1.4691029290239334E-3</v>
      </c>
      <c r="C507" s="5">
        <f>(Cotacoes!C507-Cotacoes!C506)/Cotacoes!C506</f>
        <v>5.1430408228865365E-3</v>
      </c>
      <c r="D507" s="5">
        <f>(Cotacoes!D507-Cotacoes!D506)/Cotacoes!D506</f>
        <v>8.2590023125206479E-3</v>
      </c>
      <c r="E507" s="5">
        <f>(Cotacoes!E507-Cotacoes!E506)/Cotacoes!E506</f>
        <v>1.8811136192626303E-3</v>
      </c>
      <c r="F507" s="5">
        <f>(Cotacoes!F507-Cotacoes!F506)/Cotacoes!F506</f>
        <v>1.0396975425330872E-2</v>
      </c>
      <c r="G507" s="5">
        <f>(Cotacoes!G507-Cotacoes!G506)/Cotacoes!G506</f>
        <v>-1.4059753954305917E-2</v>
      </c>
      <c r="H507" s="5">
        <f>(Cotacoes!H507-Cotacoes!H506)/Cotacoes!H506</f>
        <v>6.6225165562913968E-3</v>
      </c>
      <c r="I507" s="5">
        <f>(Cotacoes!I507-Cotacoes!I506)/Cotacoes!I506</f>
        <v>1.056428755475384E-2</v>
      </c>
      <c r="J507" s="5">
        <f>(Cotacoes!J507-Cotacoes!J506)/Cotacoes!J506</f>
        <v>2.4478330658105913E-2</v>
      </c>
      <c r="K507" s="5">
        <f>(Cotacoes!K507-Cotacoes!K506)/Cotacoes!K506</f>
        <v>-4.9645390070922188E-3</v>
      </c>
      <c r="L507" s="5">
        <f>(Cotacoes!L507-Cotacoes!L506)/Cotacoes!L506</f>
        <v>2.2505626406601172E-3</v>
      </c>
      <c r="M507" s="5">
        <f>(Cotacoes!M507-Cotacoes!M506)/Cotacoes!M506</f>
        <v>-1.416207710464213E-2</v>
      </c>
      <c r="N507" s="5">
        <f>(Cotacoes!N507-Cotacoes!N506)/Cotacoes!N506</f>
        <v>-4.7961630695442627E-3</v>
      </c>
      <c r="O507" s="5">
        <f>(Cotacoes!O507-Cotacoes!O506)/Cotacoes!O506</f>
        <v>-4.9423393739703864E-3</v>
      </c>
      <c r="P507" s="5">
        <f>(Cotacoes!P507-Cotacoes!P506)/Cotacoes!P506</f>
        <v>-1.8834080717488867E-2</v>
      </c>
      <c r="Q507" s="5">
        <f>(Cotacoes!Q507-Cotacoes!Q506)/Cotacoes!Q506</f>
        <v>7.2616090196828314E-3</v>
      </c>
      <c r="R507" s="5">
        <f>(Cotacoes!R507-Cotacoes!R506)/Cotacoes!R506</f>
        <v>-7.146783947223889E-3</v>
      </c>
      <c r="S507" s="5">
        <f>(Cotacoes!S507-Cotacoes!S506)/Cotacoes!S506</f>
        <v>-1.5805814281682255E-2</v>
      </c>
      <c r="T507" s="5">
        <f>(Cotacoes!T507-Cotacoes!T506)/Cotacoes!T506</f>
        <v>2.5930101465614398E-2</v>
      </c>
      <c r="U507" s="5">
        <f>(Cotacoes!U507-Cotacoes!U506)/Cotacoes!U506</f>
        <v>-3.1546811397557654E-2</v>
      </c>
      <c r="V507" s="5">
        <f>(Cotacoes!V507-Cotacoes!V506)/Cotacoes!V506</f>
        <v>-1.3114754098360635E-2</v>
      </c>
      <c r="W507" s="5"/>
    </row>
    <row r="508" spans="1:23" x14ac:dyDescent="0.2">
      <c r="A508" s="4">
        <v>45303</v>
      </c>
      <c r="B508" s="5">
        <f>(Cotacoes!B508-Cotacoes!B507)/Cotacoes!B507</f>
        <v>3.942422297607104E-3</v>
      </c>
      <c r="C508" s="5">
        <f>(Cotacoes!C508-Cotacoes!C507)/Cotacoes!C507</f>
        <v>-1.2631915574032605E-2</v>
      </c>
      <c r="D508" s="5">
        <f>(Cotacoes!D508-Cotacoes!D507)/Cotacoes!D507</f>
        <v>2.6212319790302049E-3</v>
      </c>
      <c r="E508" s="5">
        <f>(Cotacoes!E508-Cotacoes!E507)/Cotacoes!E507</f>
        <v>1.1265490048817551E-3</v>
      </c>
      <c r="F508" s="5">
        <f>(Cotacoes!F508-Cotacoes!F507)/Cotacoes!F507</f>
        <v>5.3009042719052608E-3</v>
      </c>
      <c r="G508" s="5">
        <f>(Cotacoes!G508-Cotacoes!G507)/Cotacoes!G507</f>
        <v>-4.159239453356907E-3</v>
      </c>
      <c r="H508" s="5">
        <f>(Cotacoes!H508-Cotacoes!H507)/Cotacoes!H507</f>
        <v>5.7565789473684442E-3</v>
      </c>
      <c r="I508" s="5">
        <f>(Cotacoes!I508-Cotacoes!I507)/Cotacoes!I507</f>
        <v>-6.3742988271290159E-3</v>
      </c>
      <c r="J508" s="5">
        <f>(Cotacoes!J508-Cotacoes!J507)/Cotacoes!J507</f>
        <v>5.8754406580493902E-3</v>
      </c>
      <c r="K508" s="5">
        <f>(Cotacoes!K508-Cotacoes!K507)/Cotacoes!K507</f>
        <v>-8.5531004989308074E-3</v>
      </c>
      <c r="L508" s="5">
        <f>(Cotacoes!L508-Cotacoes!L507)/Cotacoes!L507</f>
        <v>1.0479041916167707E-2</v>
      </c>
      <c r="M508" s="5">
        <f>(Cotacoes!M508-Cotacoes!M507)/Cotacoes!M507</f>
        <v>1.5961691939346649E-3</v>
      </c>
      <c r="N508" s="5">
        <f>(Cotacoes!N508-Cotacoes!N507)/Cotacoes!N507</f>
        <v>4.8192771084336321E-3</v>
      </c>
      <c r="O508" s="5">
        <f>(Cotacoes!O508-Cotacoes!O507)/Cotacoes!O507</f>
        <v>2.2764900662251685E-2</v>
      </c>
      <c r="P508" s="5">
        <f>(Cotacoes!P508-Cotacoes!P507)/Cotacoes!P507</f>
        <v>-9.140767824497225E-3</v>
      </c>
      <c r="Q508" s="5">
        <f>(Cotacoes!Q508-Cotacoes!Q507)/Cotacoes!Q507</f>
        <v>-1.0813887307911217E-2</v>
      </c>
      <c r="R508" s="5">
        <f>(Cotacoes!R508-Cotacoes!R507)/Cotacoes!R507</f>
        <v>2.2702104097452946E-2</v>
      </c>
      <c r="S508" s="5">
        <f>(Cotacoes!S508-Cotacoes!S507)/Cotacoes!S507</f>
        <v>0</v>
      </c>
      <c r="T508" s="5">
        <f>(Cotacoes!T508-Cotacoes!T507)/Cotacoes!T507</f>
        <v>1.274725274725271E-2</v>
      </c>
      <c r="U508" s="5">
        <f>(Cotacoes!U508-Cotacoes!U507)/Cotacoes!U507</f>
        <v>-1.7513134851134869E-4</v>
      </c>
      <c r="V508" s="5">
        <f>(Cotacoes!V508-Cotacoes!V507)/Cotacoes!V507</f>
        <v>6.6445182724252389E-3</v>
      </c>
      <c r="W508" s="5"/>
    </row>
    <row r="509" spans="1:23" x14ac:dyDescent="0.2">
      <c r="A509" s="4">
        <v>45306</v>
      </c>
      <c r="B509" s="5">
        <f>(Cotacoes!B509-Cotacoes!B508)/Cotacoes!B508</f>
        <v>-1.6621004566209983E-2</v>
      </c>
      <c r="C509" s="5">
        <f>(Cotacoes!C509-Cotacoes!C508)/Cotacoes!C508</f>
        <v>-1.9433198380566388E-3</v>
      </c>
      <c r="D509" s="5">
        <f>(Cotacoes!D509-Cotacoes!D508)/Cotacoes!D508</f>
        <v>1.078431372549014E-2</v>
      </c>
      <c r="E509" s="5">
        <f>(Cotacoes!E509-Cotacoes!E508)/Cotacoes!E508</f>
        <v>1.8754688672168308E-3</v>
      </c>
      <c r="F509" s="5">
        <f>(Cotacoes!F509-Cotacoes!F508)/Cotacoes!F508</f>
        <v>9.9255583126550955E-3</v>
      </c>
      <c r="G509" s="5">
        <f>(Cotacoes!G509-Cotacoes!G508)/Cotacoes!G508</f>
        <v>-1.0143198090692225E-2</v>
      </c>
      <c r="H509" s="5">
        <f>(Cotacoes!H509-Cotacoes!H508)/Cotacoes!H508</f>
        <v>1.962387571545382E-2</v>
      </c>
      <c r="I509" s="5">
        <f>(Cotacoes!I509-Cotacoes!I508)/Cotacoes!I508</f>
        <v>1.2830382345393894E-2</v>
      </c>
      <c r="J509" s="5">
        <f>(Cotacoes!J509-Cotacoes!J508)/Cotacoes!J508</f>
        <v>3.3748701972999857E-3</v>
      </c>
      <c r="K509" s="5">
        <f>(Cotacoes!K509-Cotacoes!K508)/Cotacoes!K508</f>
        <v>3.5945363048167298E-3</v>
      </c>
      <c r="L509" s="5">
        <f>(Cotacoes!L509-Cotacoes!L508)/Cotacoes!L508</f>
        <v>2.2222222222221749E-3</v>
      </c>
      <c r="M509" s="5">
        <f>(Cotacoes!M509-Cotacoes!M508)/Cotacoes!M508</f>
        <v>0</v>
      </c>
      <c r="N509" s="5">
        <f>(Cotacoes!N509-Cotacoes!N508)/Cotacoes!N508</f>
        <v>7.1942446043166061E-3</v>
      </c>
      <c r="O509" s="5">
        <f>(Cotacoes!O509-Cotacoes!O508)/Cotacoes!O508</f>
        <v>8.0938891137189697E-4</v>
      </c>
      <c r="P509" s="5">
        <f>(Cotacoes!P509-Cotacoes!P508)/Cotacoes!P508</f>
        <v>-1.2915129151291565E-2</v>
      </c>
      <c r="Q509" s="5">
        <f>(Cotacoes!Q509-Cotacoes!Q508)/Cotacoes!Q508</f>
        <v>5.1783659378595321E-3</v>
      </c>
      <c r="R509" s="5">
        <f>(Cotacoes!R509-Cotacoes!R508)/Cotacoes!R508</f>
        <v>3.2485110990797118E-3</v>
      </c>
      <c r="S509" s="5">
        <f>(Cotacoes!S509-Cotacoes!S508)/Cotacoes!S508</f>
        <v>2.2082018927444887E-2</v>
      </c>
      <c r="T509" s="5">
        <f>(Cotacoes!T509-Cotacoes!T508)/Cotacoes!T508</f>
        <v>2.1484375000000045E-2</v>
      </c>
      <c r="U509" s="5">
        <f>(Cotacoes!U509-Cotacoes!U508)/Cotacoes!U508</f>
        <v>2.9777544228410334E-3</v>
      </c>
      <c r="V509" s="5">
        <f>(Cotacoes!V509-Cotacoes!V508)/Cotacoes!V508</f>
        <v>4.0337367070040131E-3</v>
      </c>
      <c r="W509" s="5"/>
    </row>
    <row r="510" spans="1:23" x14ac:dyDescent="0.2">
      <c r="A510" s="4">
        <v>45307</v>
      </c>
      <c r="B510" s="5">
        <f>(Cotacoes!B510-Cotacoes!B509)/Cotacoes!B509</f>
        <v>-5.7578008915305026E-3</v>
      </c>
      <c r="C510" s="5">
        <f>(Cotacoes!C510-Cotacoes!C509)/Cotacoes!C509</f>
        <v>-1.298069122180763E-2</v>
      </c>
      <c r="D510" s="5">
        <f>(Cotacoes!D510-Cotacoes!D509)/Cotacoes!D509</f>
        <v>-1.228580666020042E-2</v>
      </c>
      <c r="E510" s="5">
        <f>(Cotacoes!E510-Cotacoes!E509)/Cotacoes!E509</f>
        <v>-1.3852489704230662E-2</v>
      </c>
      <c r="F510" s="5">
        <f>(Cotacoes!F510-Cotacoes!F509)/Cotacoes!F509</f>
        <v>-1.1056511056511039E-2</v>
      </c>
      <c r="G510" s="5">
        <f>(Cotacoes!G510-Cotacoes!G509)/Cotacoes!G509</f>
        <v>-2.0795660036166296E-2</v>
      </c>
      <c r="H510" s="5">
        <f>(Cotacoes!H510-Cotacoes!H509)/Cotacoes!H509</f>
        <v>-5.613472333600664E-3</v>
      </c>
      <c r="I510" s="5">
        <f>(Cotacoes!I510-Cotacoes!I509)/Cotacoes!I509</f>
        <v>-3.3696478337978168E-2</v>
      </c>
      <c r="J510" s="5">
        <f>(Cotacoes!J510-Cotacoes!J509)/Cotacoes!J509</f>
        <v>-1.4230271668822696E-2</v>
      </c>
      <c r="K510" s="5">
        <f>(Cotacoes!K510-Cotacoes!K509)/Cotacoes!K509</f>
        <v>-8.5959885386820197E-3</v>
      </c>
      <c r="L510" s="5">
        <f>(Cotacoes!L510-Cotacoes!L509)/Cotacoes!L509</f>
        <v>-1.0347376201034649E-2</v>
      </c>
      <c r="M510" s="5">
        <f>(Cotacoes!M510-Cotacoes!M509)/Cotacoes!M509</f>
        <v>-1.7529880478087699E-2</v>
      </c>
      <c r="N510" s="5">
        <f>(Cotacoes!N510-Cotacoes!N509)/Cotacoes!N509</f>
        <v>-1.6666666666666732E-2</v>
      </c>
      <c r="O510" s="5">
        <f>(Cotacoes!O510-Cotacoes!O509)/Cotacoes!O509</f>
        <v>-1.5770319450060678E-2</v>
      </c>
      <c r="P510" s="5">
        <f>(Cotacoes!P510-Cotacoes!P509)/Cotacoes!P509</f>
        <v>-3.2710280373831912E-3</v>
      </c>
      <c r="Q510" s="5">
        <f>(Cotacoes!Q510-Cotacoes!Q509)/Cotacoes!Q509</f>
        <v>-1.7363098645296636E-2</v>
      </c>
      <c r="R510" s="5">
        <f>(Cotacoes!R510-Cotacoes!R509)/Cotacoes!R509</f>
        <v>-1.6189962223421516E-2</v>
      </c>
      <c r="S510" s="5">
        <f>(Cotacoes!S510-Cotacoes!S509)/Cotacoes!S509</f>
        <v>-1.1223344556677849E-2</v>
      </c>
      <c r="T510" s="5">
        <f>(Cotacoes!T510-Cotacoes!T509)/Cotacoes!T509</f>
        <v>-2.5281495644784314E-2</v>
      </c>
      <c r="U510" s="5">
        <f>(Cotacoes!U510-Cotacoes!U509)/Cotacoes!U509</f>
        <v>-1.4844568634299711E-2</v>
      </c>
      <c r="V510" s="5">
        <f>(Cotacoes!V510-Cotacoes!V509)/Cotacoes!V509</f>
        <v>-3.2505478451424416E-2</v>
      </c>
      <c r="W510" s="5"/>
    </row>
    <row r="511" spans="1:23" x14ac:dyDescent="0.2">
      <c r="A511" s="4">
        <v>45308</v>
      </c>
      <c r="B511" s="5">
        <f>(Cotacoes!B511-Cotacoes!B510)/Cotacoes!B510</f>
        <v>-7.7526620586586799E-3</v>
      </c>
      <c r="C511" s="5">
        <f>(Cotacoes!C511-Cotacoes!C510)/Cotacoes!C510</f>
        <v>-1.6603649515041889E-2</v>
      </c>
      <c r="D511" s="5">
        <f>(Cotacoes!D511-Cotacoes!D510)/Cotacoes!D510</f>
        <v>-5.8919803600654573E-3</v>
      </c>
      <c r="E511" s="5">
        <f>(Cotacoes!E511-Cotacoes!E510)/Cotacoes!E510</f>
        <v>3.7965072133642986E-4</v>
      </c>
      <c r="F511" s="5">
        <f>(Cotacoes!F511-Cotacoes!F510)/Cotacoes!F510</f>
        <v>-8.0745341614907318E-3</v>
      </c>
      <c r="G511" s="5">
        <f>(Cotacoes!G511-Cotacoes!G510)/Cotacoes!G510</f>
        <v>-6.1557402277624754E-3</v>
      </c>
      <c r="H511" s="5">
        <f>(Cotacoes!H511-Cotacoes!H510)/Cotacoes!H510</f>
        <v>2.0161290322580931E-3</v>
      </c>
      <c r="I511" s="5">
        <f>(Cotacoes!I511-Cotacoes!I510)/Cotacoes!I510</f>
        <v>0</v>
      </c>
      <c r="J511" s="5">
        <f>(Cotacoes!J511-Cotacoes!J510)/Cotacoes!J510</f>
        <v>5.643044619422475E-3</v>
      </c>
      <c r="K511" s="5">
        <f>(Cotacoes!K511-Cotacoes!K510)/Cotacoes!K510</f>
        <v>2.167630057803422E-3</v>
      </c>
      <c r="L511" s="5">
        <f>(Cotacoes!L511-Cotacoes!L510)/Cotacoes!L510</f>
        <v>-1.7923823749066484E-2</v>
      </c>
      <c r="M511" s="5">
        <f>(Cotacoes!M511-Cotacoes!M510)/Cotacoes!M510</f>
        <v>6.488240064882406E-3</v>
      </c>
      <c r="N511" s="5">
        <f>(Cotacoes!N511-Cotacoes!N510)/Cotacoes!N510</f>
        <v>3.6319612590798257E-3</v>
      </c>
      <c r="O511" s="5">
        <f>(Cotacoes!O511-Cotacoes!O510)/Cotacoes!O510</f>
        <v>8.2169268693506878E-4</v>
      </c>
      <c r="P511" s="5">
        <f>(Cotacoes!P511-Cotacoes!P510)/Cotacoes!P510</f>
        <v>-2.8129395218002215E-3</v>
      </c>
      <c r="Q511" s="5">
        <f>(Cotacoes!Q511-Cotacoes!Q510)/Cotacoes!Q510</f>
        <v>-4.0776699029126378E-3</v>
      </c>
      <c r="R511" s="5">
        <f>(Cotacoes!R511-Cotacoes!R510)/Cotacoes!R510</f>
        <v>-2.3313219967087257E-2</v>
      </c>
      <c r="S511" s="5">
        <f>(Cotacoes!S511-Cotacoes!S510)/Cotacoes!S510</f>
        <v>-1.1350737797956624E-3</v>
      </c>
      <c r="T511" s="5">
        <f>(Cotacoes!T511-Cotacoes!T510)/Cotacoes!T510</f>
        <v>-1.8090671316477885E-2</v>
      </c>
      <c r="U511" s="5">
        <f>(Cotacoes!U511-Cotacoes!U510)/Cotacoes!U510</f>
        <v>1.0990959049813944E-2</v>
      </c>
      <c r="V511" s="5">
        <f>(Cotacoes!V511-Cotacoes!V510)/Cotacoes!V510</f>
        <v>-1.8120045300113134E-2</v>
      </c>
      <c r="W511" s="5"/>
    </row>
    <row r="512" spans="1:23" x14ac:dyDescent="0.2">
      <c r="A512" s="4">
        <v>45309</v>
      </c>
      <c r="B512" s="5">
        <f>(Cotacoes!B512-Cotacoes!B511)/Cotacoes!B511</f>
        <v>6.5894756660070765E-4</v>
      </c>
      <c r="C512" s="5">
        <f>(Cotacoes!C512-Cotacoes!C511)/Cotacoes!C511</f>
        <v>-6.5195586760280937E-3</v>
      </c>
      <c r="D512" s="5">
        <f>(Cotacoes!D512-Cotacoes!D511)/Cotacoes!D511</f>
        <v>-3.9512676983865982E-3</v>
      </c>
      <c r="E512" s="5">
        <f>(Cotacoes!E512-Cotacoes!E511)/Cotacoes!E511</f>
        <v>-4.1745730550285763E-3</v>
      </c>
      <c r="F512" s="5">
        <f>(Cotacoes!F512-Cotacoes!F511)/Cotacoes!F511</f>
        <v>-7.5140889167189095E-3</v>
      </c>
      <c r="G512" s="5">
        <f>(Cotacoes!G512-Cotacoes!G511)/Cotacoes!G511</f>
        <v>-7.7423350882626198E-3</v>
      </c>
      <c r="H512" s="5">
        <f>(Cotacoes!H512-Cotacoes!H511)/Cotacoes!H511</f>
        <v>-1.1670020120724454E-2</v>
      </c>
      <c r="I512" s="5">
        <f>(Cotacoes!I512-Cotacoes!I511)/Cotacoes!I511</f>
        <v>-2.3335081279496607E-2</v>
      </c>
      <c r="J512" s="5">
        <f>(Cotacoes!J512-Cotacoes!J511)/Cotacoes!J511</f>
        <v>-1.1483753099308306E-2</v>
      </c>
      <c r="K512" s="5">
        <f>(Cotacoes!K512-Cotacoes!K511)/Cotacoes!K511</f>
        <v>-5.7678442682047642E-3</v>
      </c>
      <c r="L512" s="5">
        <f>(Cotacoes!L512-Cotacoes!L511)/Cotacoes!L511</f>
        <v>8.3650190114068004E-3</v>
      </c>
      <c r="M512" s="5">
        <f>(Cotacoes!M512-Cotacoes!M511)/Cotacoes!M511</f>
        <v>-7.2522159548750889E-3</v>
      </c>
      <c r="N512" s="5">
        <f>(Cotacoes!N512-Cotacoes!N511)/Cotacoes!N511</f>
        <v>-9.6501809408924364E-3</v>
      </c>
      <c r="O512" s="5">
        <f>(Cotacoes!O512-Cotacoes!O511)/Cotacoes!O511</f>
        <v>-1.7651888341543503E-2</v>
      </c>
      <c r="P512" s="5">
        <f>(Cotacoes!P512-Cotacoes!P511)/Cotacoes!P511</f>
        <v>-1.0343206393982082E-2</v>
      </c>
      <c r="Q512" s="5">
        <f>(Cotacoes!Q512-Cotacoes!Q511)/Cotacoes!Q511</f>
        <v>-2.2226554883992992E-2</v>
      </c>
      <c r="R512" s="5">
        <f>(Cotacoes!R512-Cotacoes!R511)/Cotacoes!R511</f>
        <v>-1.1232799775343964E-2</v>
      </c>
      <c r="S512" s="5">
        <f>(Cotacoes!S512-Cotacoes!S511)/Cotacoes!S511</f>
        <v>-1.7045454545454586E-2</v>
      </c>
      <c r="T512" s="5">
        <f>(Cotacoes!T512-Cotacoes!T511)/Cotacoes!T511</f>
        <v>-6.4372918978912131E-3</v>
      </c>
      <c r="U512" s="5">
        <f>(Cotacoes!U512-Cotacoes!U511)/Cotacoes!U511</f>
        <v>-2.5951253726109135E-2</v>
      </c>
      <c r="V512" s="5">
        <f>(Cotacoes!V512-Cotacoes!V511)/Cotacoes!V511</f>
        <v>-5.767012687427994E-3</v>
      </c>
      <c r="W512" s="5"/>
    </row>
    <row r="513" spans="1:23" x14ac:dyDescent="0.2">
      <c r="A513" s="4">
        <v>45310</v>
      </c>
      <c r="B513" s="5">
        <f>(Cotacoes!B513-Cotacoes!B512)/Cotacoes!B512</f>
        <v>-7.5258701787393901E-3</v>
      </c>
      <c r="C513" s="5">
        <f>(Cotacoes!C513-Cotacoes!C512)/Cotacoes!C512</f>
        <v>-1.2956419316843397E-2</v>
      </c>
      <c r="D513" s="5">
        <f>(Cotacoes!D513-Cotacoes!D512)/Cotacoes!D512</f>
        <v>-5.2892561983471122E-3</v>
      </c>
      <c r="E513" s="5">
        <f>(Cotacoes!E513-Cotacoes!E512)/Cotacoes!E512</f>
        <v>2.2865853658537451E-3</v>
      </c>
      <c r="F513" s="5">
        <f>(Cotacoes!F513-Cotacoes!F512)/Cotacoes!F512</f>
        <v>-9.4637223974755786E-4</v>
      </c>
      <c r="G513" s="5">
        <f>(Cotacoes!G513-Cotacoes!G512)/Cotacoes!G512</f>
        <v>1.0299625468164741E-2</v>
      </c>
      <c r="H513" s="5">
        <f>(Cotacoes!H513-Cotacoes!H512)/Cotacoes!H512</f>
        <v>1.0586319218241106E-2</v>
      </c>
      <c r="I513" s="5">
        <f>(Cotacoes!I513-Cotacoes!I512)/Cotacoes!I512</f>
        <v>1.6375838926174481E-2</v>
      </c>
      <c r="J513" s="5">
        <f>(Cotacoes!J513-Cotacoes!J512)/Cotacoes!J512</f>
        <v>3.3003300330033004E-3</v>
      </c>
      <c r="K513" s="5">
        <f>(Cotacoes!K513-Cotacoes!K512)/Cotacoes!K512</f>
        <v>-2.1754894851341087E-3</v>
      </c>
      <c r="L513" s="5">
        <f>(Cotacoes!L513-Cotacoes!L512)/Cotacoes!L512</f>
        <v>-4.524886877828092E-3</v>
      </c>
      <c r="M513" s="5">
        <f>(Cotacoes!M513-Cotacoes!M512)/Cotacoes!M512</f>
        <v>8.1168831168829439E-4</v>
      </c>
      <c r="N513" s="5">
        <f>(Cotacoes!N513-Cotacoes!N512)/Cotacoes!N512</f>
        <v>4.8721071863579955E-3</v>
      </c>
      <c r="O513" s="5">
        <f>(Cotacoes!O513-Cotacoes!O512)/Cotacoes!O512</f>
        <v>-7.5219389887170801E-3</v>
      </c>
      <c r="P513" s="5">
        <f>(Cotacoes!P513-Cotacoes!P512)/Cotacoes!P512</f>
        <v>1.2351543942992779E-2</v>
      </c>
      <c r="Q513" s="5">
        <f>(Cotacoes!Q513-Cotacoes!Q512)/Cotacoes!Q512</f>
        <v>5.1844466600199004E-3</v>
      </c>
      <c r="R513" s="5">
        <f>(Cotacoes!R513-Cotacoes!R512)/Cotacoes!R512</f>
        <v>7.3842658335699519E-3</v>
      </c>
      <c r="S513" s="5">
        <f>(Cotacoes!S513-Cotacoes!S512)/Cotacoes!S512</f>
        <v>-6.6473988439307505E-3</v>
      </c>
      <c r="T513" s="5">
        <f>(Cotacoes!T513-Cotacoes!T512)/Cotacoes!T512</f>
        <v>-3.3512064343163223E-3</v>
      </c>
      <c r="U513" s="5">
        <f>(Cotacoes!U513-Cotacoes!U512)/Cotacoes!U512</f>
        <v>1.2421242124212509E-2</v>
      </c>
      <c r="V513" s="5">
        <f>(Cotacoes!V513-Cotacoes!V512)/Cotacoes!V512</f>
        <v>-4.6403712296984147E-3</v>
      </c>
      <c r="W513" s="5"/>
    </row>
    <row r="514" spans="1:23" x14ac:dyDescent="0.2">
      <c r="A514" s="4">
        <v>45313</v>
      </c>
      <c r="B514" s="5">
        <f>(Cotacoes!B514-Cotacoes!B513)/Cotacoes!B513</f>
        <v>1.0331753554502401E-2</v>
      </c>
      <c r="C514" s="5">
        <f>(Cotacoes!C514-Cotacoes!C513)/Cotacoes!C513</f>
        <v>-4.4323218547561889E-3</v>
      </c>
      <c r="D514" s="5">
        <f>(Cotacoes!D514-Cotacoes!D513)/Cotacoes!D513</f>
        <v>4.6527085410435548E-3</v>
      </c>
      <c r="E514" s="5">
        <f>(Cotacoes!E514-Cotacoes!E513)/Cotacoes!E513</f>
        <v>-1.6349809885931547E-2</v>
      </c>
      <c r="F514" s="5">
        <f>(Cotacoes!F514-Cotacoes!F513)/Cotacoes!F513</f>
        <v>2.5260498894852635E-3</v>
      </c>
      <c r="G514" s="5">
        <f>(Cotacoes!G514-Cotacoes!G513)/Cotacoes!G513</f>
        <v>-3.0892801977137575E-3</v>
      </c>
      <c r="H514" s="5">
        <f>(Cotacoes!H514-Cotacoes!H513)/Cotacoes!H513</f>
        <v>-6.8493150684932197E-3</v>
      </c>
      <c r="I514" s="5">
        <f>(Cotacoes!I514-Cotacoes!I513)/Cotacoes!I513</f>
        <v>-2.2187004754358065E-2</v>
      </c>
      <c r="J514" s="5">
        <f>(Cotacoes!J514-Cotacoes!J513)/Cotacoes!J513</f>
        <v>2.2368421052631803E-3</v>
      </c>
      <c r="K514" s="5">
        <f>(Cotacoes!K514-Cotacoes!K513)/Cotacoes!K513</f>
        <v>-1.1627906976744196E-2</v>
      </c>
      <c r="L514" s="5">
        <f>(Cotacoes!L514-Cotacoes!L513)/Cotacoes!L513</f>
        <v>-2.1969696969696906E-2</v>
      </c>
      <c r="M514" s="5">
        <f>(Cotacoes!M514-Cotacoes!M513)/Cotacoes!M513</f>
        <v>8.1103000811028276E-4</v>
      </c>
      <c r="N514" s="5">
        <f>(Cotacoes!N514-Cotacoes!N513)/Cotacoes!N513</f>
        <v>-1.2121212121212078E-2</v>
      </c>
      <c r="O514" s="5">
        <f>(Cotacoes!O514-Cotacoes!O513)/Cotacoes!O513</f>
        <v>-2.1052631578947667E-3</v>
      </c>
      <c r="P514" s="5">
        <f>(Cotacoes!P514-Cotacoes!P513)/Cotacoes!P513</f>
        <v>1.9709056780854141E-2</v>
      </c>
      <c r="Q514" s="5">
        <f>(Cotacoes!Q514-Cotacoes!Q513)/Cotacoes!Q513</f>
        <v>-2.5788534021026674E-3</v>
      </c>
      <c r="R514" s="5">
        <f>(Cotacoes!R514-Cotacoes!R513)/Cotacoes!R513</f>
        <v>1.127713560755544E-3</v>
      </c>
      <c r="S514" s="5">
        <f>(Cotacoes!S514-Cotacoes!S513)/Cotacoes!S513</f>
        <v>-1.1056153622344937E-2</v>
      </c>
      <c r="T514" s="5">
        <f>(Cotacoes!T514-Cotacoes!T513)/Cotacoes!T513</f>
        <v>-1.0087424344317482E-2</v>
      </c>
      <c r="U514" s="5">
        <f>(Cotacoes!U514-Cotacoes!U513)/Cotacoes!U513</f>
        <v>-2.2937411095305817E-2</v>
      </c>
      <c r="V514" s="5">
        <f>(Cotacoes!V514-Cotacoes!V513)/Cotacoes!V513</f>
        <v>-6.9930069930069826E-3</v>
      </c>
      <c r="W514" s="5"/>
    </row>
    <row r="515" spans="1:23" x14ac:dyDescent="0.2">
      <c r="A515" s="4">
        <v>45314</v>
      </c>
      <c r="B515" s="5">
        <f>(Cotacoes!B515-Cotacoes!B514)/Cotacoes!B514</f>
        <v>-1.2196266066236013E-3</v>
      </c>
      <c r="C515" s="5">
        <f>(Cotacoes!C515-Cotacoes!C514)/Cotacoes!C514</f>
        <v>2.0719178082191796E-2</v>
      </c>
      <c r="D515" s="5">
        <f>(Cotacoes!D515-Cotacoes!D514)/Cotacoes!D514</f>
        <v>1.2239497188223652E-2</v>
      </c>
      <c r="E515" s="5">
        <f>(Cotacoes!E515-Cotacoes!E514)/Cotacoes!E514</f>
        <v>4.638577502899012E-3</v>
      </c>
      <c r="F515" s="5">
        <f>(Cotacoes!F515-Cotacoes!F514)/Cotacoes!F514</f>
        <v>1.4488188976377979E-2</v>
      </c>
      <c r="G515" s="5">
        <f>(Cotacoes!G515-Cotacoes!G514)/Cotacoes!G514</f>
        <v>1.1775643012085387E-2</v>
      </c>
      <c r="H515" s="5">
        <f>(Cotacoes!H515-Cotacoes!H514)/Cotacoes!H514</f>
        <v>1.7849898580121756E-2</v>
      </c>
      <c r="I515" s="5">
        <f>(Cotacoes!I515-Cotacoes!I514)/Cotacoes!I514</f>
        <v>5.9427336574824109E-3</v>
      </c>
      <c r="J515" s="5">
        <f>(Cotacoes!J515-Cotacoes!J514)/Cotacoes!J514</f>
        <v>1.4310095838256575E-2</v>
      </c>
      <c r="K515" s="5">
        <f>(Cotacoes!K515-Cotacoes!K514)/Cotacoes!K514</f>
        <v>-5.1470588235294325E-3</v>
      </c>
      <c r="L515" s="5">
        <f>(Cotacoes!L515-Cotacoes!L514)/Cotacoes!L514</f>
        <v>1.859024012393495E-2</v>
      </c>
      <c r="M515" s="5">
        <f>(Cotacoes!M515-Cotacoes!M514)/Cotacoes!M514</f>
        <v>8.1037277147486117E-4</v>
      </c>
      <c r="N515" s="5">
        <f>(Cotacoes!N515-Cotacoes!N514)/Cotacoes!N514</f>
        <v>1.3496932515337352E-2</v>
      </c>
      <c r="O515" s="5">
        <f>(Cotacoes!O515-Cotacoes!O514)/Cotacoes!O514</f>
        <v>2.4472573839662524E-2</v>
      </c>
      <c r="P515" s="5">
        <f>(Cotacoes!P515-Cotacoes!P514)/Cotacoes!P514</f>
        <v>3.4514496088357112E-2</v>
      </c>
      <c r="Q515" s="5">
        <f>(Cotacoes!Q515-Cotacoes!Q514)/Cotacoes!Q514</f>
        <v>8.3532219570406057E-3</v>
      </c>
      <c r="R515" s="5">
        <f>(Cotacoes!R515-Cotacoes!R514)/Cotacoes!R514</f>
        <v>1.070121092649965E-2</v>
      </c>
      <c r="S515" s="5">
        <f>(Cotacoes!S515-Cotacoes!S514)/Cotacoes!S514</f>
        <v>3.5304501323918046E-3</v>
      </c>
      <c r="T515" s="5">
        <f>(Cotacoes!T515-Cotacoes!T514)/Cotacoes!T514</f>
        <v>3.8496376811594591E-3</v>
      </c>
      <c r="U515" s="5">
        <f>(Cotacoes!U515-Cotacoes!U514)/Cotacoes!U514</f>
        <v>8.553230209281143E-3</v>
      </c>
      <c r="V515" s="5">
        <f>(Cotacoes!V515-Cotacoes!V514)/Cotacoes!V514</f>
        <v>2.5039123630672951E-2</v>
      </c>
      <c r="W515" s="5"/>
    </row>
    <row r="516" spans="1:23" x14ac:dyDescent="0.2">
      <c r="A516" s="4">
        <v>45315</v>
      </c>
      <c r="B516" s="5">
        <f>(Cotacoes!B516-Cotacoes!B515)/Cotacoes!B515</f>
        <v>1.7847078715011455E-3</v>
      </c>
      <c r="C516" s="5">
        <f>(Cotacoes!C516-Cotacoes!C515)/Cotacoes!C515</f>
        <v>1.0065425264217437E-2</v>
      </c>
      <c r="D516" s="5">
        <f>(Cotacoes!D516-Cotacoes!D515)/Cotacoes!D515</f>
        <v>-7.5163398692810589E-3</v>
      </c>
      <c r="E516" s="5">
        <f>(Cotacoes!E516-Cotacoes!E515)/Cotacoes!E515</f>
        <v>-4.6171604463254119E-3</v>
      </c>
      <c r="F516" s="5">
        <f>(Cotacoes!F516-Cotacoes!F515)/Cotacoes!F515</f>
        <v>-9.3138776777398537E-3</v>
      </c>
      <c r="G516" s="5">
        <f>(Cotacoes!G516-Cotacoes!G515)/Cotacoes!G515</f>
        <v>-8.8820826952526535E-3</v>
      </c>
      <c r="H516" s="5">
        <f>(Cotacoes!H516-Cotacoes!H515)/Cotacoes!H515</f>
        <v>1.9928258270227464E-3</v>
      </c>
      <c r="I516" s="5">
        <f>(Cotacoes!I516-Cotacoes!I515)/Cotacoes!I515</f>
        <v>1.0741138560687203E-3</v>
      </c>
      <c r="J516" s="5">
        <f>(Cotacoes!J516-Cotacoes!J515)/Cotacoes!J515</f>
        <v>-1.1131245146259376E-2</v>
      </c>
      <c r="K516" s="5">
        <f>(Cotacoes!K516-Cotacoes!K515)/Cotacoes!K515</f>
        <v>-3.6954915003694707E-3</v>
      </c>
      <c r="L516" s="5">
        <f>(Cotacoes!L516-Cotacoes!L515)/Cotacoes!L515</f>
        <v>-7.6045627376425586E-3</v>
      </c>
      <c r="M516" s="5">
        <f>(Cotacoes!M516-Cotacoes!M515)/Cotacoes!M515</f>
        <v>-1.2955465587044546E-2</v>
      </c>
      <c r="N516" s="5">
        <f>(Cotacoes!N516-Cotacoes!N515)/Cotacoes!N515</f>
        <v>-8.4745762711864753E-3</v>
      </c>
      <c r="O516" s="5">
        <f>(Cotacoes!O516-Cotacoes!O515)/Cotacoes!O515</f>
        <v>-4.5304777594727935E-3</v>
      </c>
      <c r="P516" s="5">
        <f>(Cotacoes!P516-Cotacoes!P515)/Cotacoes!P515</f>
        <v>1.0231316725978667E-2</v>
      </c>
      <c r="Q516" s="5">
        <f>(Cotacoes!Q516-Cotacoes!Q515)/Cotacoes!Q515</f>
        <v>-4.3392504930967642E-3</v>
      </c>
      <c r="R516" s="5">
        <f>(Cotacoes!R516-Cotacoes!R515)/Cotacoes!R515</f>
        <v>3.3435497353022413E-3</v>
      </c>
      <c r="S516" s="5">
        <f>(Cotacoes!S516-Cotacoes!S515)/Cotacoes!S515</f>
        <v>-2.3453532688360685E-3</v>
      </c>
      <c r="T516" s="5">
        <f>(Cotacoes!T516-Cotacoes!T515)/Cotacoes!T515</f>
        <v>6.0906835100384199E-3</v>
      </c>
      <c r="U516" s="5">
        <f>(Cotacoes!U516-Cotacoes!U515)/Cotacoes!U515</f>
        <v>-9.9242150848070053E-3</v>
      </c>
      <c r="V516" s="5">
        <f>(Cotacoes!V516-Cotacoes!V515)/Cotacoes!V515</f>
        <v>9.160305343511527E-3</v>
      </c>
      <c r="W516" s="5"/>
    </row>
    <row r="517" spans="1:23" x14ac:dyDescent="0.2">
      <c r="A517" s="4">
        <v>45316</v>
      </c>
      <c r="B517" s="5">
        <f>(Cotacoes!B517-Cotacoes!B516)/Cotacoes!B516</f>
        <v>8.3450539146741731E-3</v>
      </c>
      <c r="C517" s="5">
        <f>(Cotacoes!C517-Cotacoes!C516)/Cotacoes!C516</f>
        <v>-2.2089353927918921E-2</v>
      </c>
      <c r="D517" s="5">
        <f>(Cotacoes!D517-Cotacoes!D516)/Cotacoes!D516</f>
        <v>3.687849851827453E-2</v>
      </c>
      <c r="E517" s="5">
        <f>(Cotacoes!E517-Cotacoes!E516)/Cotacoes!E516</f>
        <v>-1.9327406262079903E-3</v>
      </c>
      <c r="F517" s="5">
        <f>(Cotacoes!F517-Cotacoes!F516)/Cotacoes!F516</f>
        <v>4.638044500156692E-2</v>
      </c>
      <c r="G517" s="5">
        <f>(Cotacoes!G517-Cotacoes!G516)/Cotacoes!G516</f>
        <v>-6.7985166872681973E-3</v>
      </c>
      <c r="H517" s="5">
        <f>(Cotacoes!H517-Cotacoes!H516)/Cotacoes!H516</f>
        <v>-1.1933174224344127E-3</v>
      </c>
      <c r="I517" s="5">
        <f>(Cotacoes!I517-Cotacoes!I516)/Cotacoes!I516</f>
        <v>1.3412017167381211E-3</v>
      </c>
      <c r="J517" s="5">
        <f>(Cotacoes!J517-Cotacoes!J516)/Cotacoes!J516</f>
        <v>9.0314136125654153E-3</v>
      </c>
      <c r="K517" s="5">
        <f>(Cotacoes!K517-Cotacoes!K516)/Cotacoes!K516</f>
        <v>2.9673590504450406E-3</v>
      </c>
      <c r="L517" s="5">
        <f>(Cotacoes!L517-Cotacoes!L516)/Cotacoes!L516</f>
        <v>-1.4559386973180174E-2</v>
      </c>
      <c r="M517" s="5">
        <f>(Cotacoes!M517-Cotacoes!M516)/Cotacoes!M516</f>
        <v>0</v>
      </c>
      <c r="N517" s="5">
        <f>(Cotacoes!N517-Cotacoes!N516)/Cotacoes!N516</f>
        <v>-2.44200244200239E-3</v>
      </c>
      <c r="O517" s="5">
        <f>(Cotacoes!O517-Cotacoes!O516)/Cotacoes!O516</f>
        <v>1.2412081092262135E-3</v>
      </c>
      <c r="P517" s="5">
        <f>(Cotacoes!P517-Cotacoes!P516)/Cotacoes!P516</f>
        <v>-4.4033465433736518E-4</v>
      </c>
      <c r="Q517" s="5">
        <f>(Cotacoes!Q517-Cotacoes!Q516)/Cotacoes!Q516</f>
        <v>-3.9619651347060265E-4</v>
      </c>
      <c r="R517" s="5">
        <f>(Cotacoes!R517-Cotacoes!R516)/Cotacoes!R516</f>
        <v>-9.9972229936128709E-3</v>
      </c>
      <c r="S517" s="5">
        <f>(Cotacoes!S517-Cotacoes!S516)/Cotacoes!S516</f>
        <v>2.4096385542168683E-2</v>
      </c>
      <c r="T517" s="5">
        <f>(Cotacoes!T517-Cotacoes!T516)/Cotacoes!T516</f>
        <v>4.4843049327353305E-3</v>
      </c>
      <c r="U517" s="5">
        <f>(Cotacoes!U517-Cotacoes!U516)/Cotacoes!U516</f>
        <v>-4.5562238017131402E-3</v>
      </c>
      <c r="V517" s="5">
        <f>(Cotacoes!V517-Cotacoes!V516)/Cotacoes!V516</f>
        <v>-7.5642965204237075E-3</v>
      </c>
      <c r="W517" s="5"/>
    </row>
    <row r="518" spans="1:23" x14ac:dyDescent="0.2">
      <c r="A518" s="4">
        <v>45317</v>
      </c>
      <c r="B518" s="5">
        <f>(Cotacoes!B518-Cotacoes!B517)/Cotacoes!B517</f>
        <v>-7.0671378091873259E-3</v>
      </c>
      <c r="C518" s="5">
        <f>(Cotacoes!C518-Cotacoes!C517)/Cotacoes!C517</f>
        <v>1.664402173913038E-2</v>
      </c>
      <c r="D518" s="5">
        <f>(Cotacoes!D518-Cotacoes!D517)/Cotacoes!D517</f>
        <v>1.746586217846938E-2</v>
      </c>
      <c r="E518" s="5">
        <f>(Cotacoes!E518-Cotacoes!E517)/Cotacoes!E517</f>
        <v>1.4717273431448451E-2</v>
      </c>
      <c r="F518" s="5">
        <f>(Cotacoes!F518-Cotacoes!F517)/Cotacoes!F517</f>
        <v>2.1862833183587806E-2</v>
      </c>
      <c r="G518" s="5">
        <f>(Cotacoes!G518-Cotacoes!G517)/Cotacoes!G517</f>
        <v>-2.1779713752333629E-3</v>
      </c>
      <c r="H518" s="5">
        <f>(Cotacoes!H518-Cotacoes!H517)/Cotacoes!H517</f>
        <v>6.7702110712864081E-3</v>
      </c>
      <c r="I518" s="5">
        <f>(Cotacoes!I518-Cotacoes!I517)/Cotacoes!I517</f>
        <v>-6.4291454594158828E-3</v>
      </c>
      <c r="J518" s="5">
        <f>(Cotacoes!J518-Cotacoes!J517)/Cotacoes!J517</f>
        <v>-6.4859255415744142E-4</v>
      </c>
      <c r="K518" s="5">
        <f>(Cotacoes!K518-Cotacoes!K517)/Cotacoes!K517</f>
        <v>1.0355029585798859E-2</v>
      </c>
      <c r="L518" s="5">
        <f>(Cotacoes!L518-Cotacoes!L517)/Cotacoes!L517</f>
        <v>-1.5552099533436959E-2</v>
      </c>
      <c r="M518" s="5">
        <f>(Cotacoes!M518-Cotacoes!M517)/Cotacoes!M517</f>
        <v>0</v>
      </c>
      <c r="N518" s="5">
        <f>(Cotacoes!N518-Cotacoes!N517)/Cotacoes!N517</f>
        <v>7.3439412484700732E-3</v>
      </c>
      <c r="O518" s="5">
        <f>(Cotacoes!O518-Cotacoes!O517)/Cotacoes!O517</f>
        <v>5.7851239669421727E-3</v>
      </c>
      <c r="P518" s="5">
        <f>(Cotacoes!P518-Cotacoes!P517)/Cotacoes!P517</f>
        <v>-1.4096916299559484E-2</v>
      </c>
      <c r="Q518" s="5">
        <f>(Cotacoes!Q518-Cotacoes!Q517)/Cotacoes!Q517</f>
        <v>2.0412207689258843E-2</v>
      </c>
      <c r="R518" s="5">
        <f>(Cotacoes!R518-Cotacoes!R517)/Cotacoes!R517</f>
        <v>1.1220196353435947E-3</v>
      </c>
      <c r="S518" s="5">
        <f>(Cotacoes!S518-Cotacoes!S517)/Cotacoes!S517</f>
        <v>1.3486370157819193E-2</v>
      </c>
      <c r="T518" s="5">
        <f>(Cotacoes!T518-Cotacoes!T517)/Cotacoes!T517</f>
        <v>1.9866071428571441E-2</v>
      </c>
      <c r="U518" s="5">
        <f>(Cotacoes!U518-Cotacoes!U517)/Cotacoes!U517</f>
        <v>-3.643354082753561E-2</v>
      </c>
      <c r="V518" s="5">
        <f>(Cotacoes!V518-Cotacoes!V517)/Cotacoes!V517</f>
        <v>1.41006097560976E-2</v>
      </c>
      <c r="W518" s="5"/>
    </row>
    <row r="519" spans="1:23" x14ac:dyDescent="0.2">
      <c r="A519" s="4">
        <v>45320</v>
      </c>
      <c r="B519" s="5">
        <f>(Cotacoes!B519-Cotacoes!B518)/Cotacoes!B518</f>
        <v>-4.5888743210338537E-3</v>
      </c>
      <c r="C519" s="5">
        <f>(Cotacoes!C519-Cotacoes!C518)/Cotacoes!C518</f>
        <v>-4.6775810223855857E-3</v>
      </c>
      <c r="D519" s="5">
        <f>(Cotacoes!D519-Cotacoes!D518)/Cotacoes!D518</f>
        <v>1.5293383270911422E-2</v>
      </c>
      <c r="E519" s="5">
        <f>(Cotacoes!E519-Cotacoes!E518)/Cotacoes!E518</f>
        <v>-5.3435114503817011E-3</v>
      </c>
      <c r="F519" s="5">
        <f>(Cotacoes!F519-Cotacoes!F518)/Cotacoes!F518</f>
        <v>9.6717467760845666E-3</v>
      </c>
      <c r="G519" s="5">
        <f>(Cotacoes!G519-Cotacoes!G518)/Cotacoes!G518</f>
        <v>2.1827252884315646E-3</v>
      </c>
      <c r="H519" s="5">
        <f>(Cotacoes!H519-Cotacoes!H518)/Cotacoes!H518</f>
        <v>-7.9113924050634027E-3</v>
      </c>
      <c r="I519" s="5">
        <f>(Cotacoes!I519-Cotacoes!I518)/Cotacoes!I518</f>
        <v>2.6961445133453788E-4</v>
      </c>
      <c r="J519" s="5">
        <f>(Cotacoes!J519-Cotacoes!J518)/Cotacoes!J518</f>
        <v>7.1391484942886435E-3</v>
      </c>
      <c r="K519" s="5">
        <f>(Cotacoes!K519-Cotacoes!K518)/Cotacoes!K518</f>
        <v>-9.516837481698447E-3</v>
      </c>
      <c r="L519" s="5">
        <f>(Cotacoes!L519-Cotacoes!L518)/Cotacoes!L518</f>
        <v>-7.8988941548181573E-4</v>
      </c>
      <c r="M519" s="5">
        <f>(Cotacoes!M519-Cotacoes!M518)/Cotacoes!M518</f>
        <v>4.1017227235439465E-3</v>
      </c>
      <c r="N519" s="5">
        <f>(Cotacoes!N519-Cotacoes!N518)/Cotacoes!N518</f>
        <v>-8.5054678007290743E-3</v>
      </c>
      <c r="O519" s="5">
        <f>(Cotacoes!O519-Cotacoes!O518)/Cotacoes!O518</f>
        <v>-2.3829087921117431E-2</v>
      </c>
      <c r="P519" s="5">
        <f>(Cotacoes!P519-Cotacoes!P518)/Cotacoes!P518</f>
        <v>-3.5746201966040348E-3</v>
      </c>
      <c r="Q519" s="5">
        <f>(Cotacoes!Q519-Cotacoes!Q518)/Cotacoes!Q518</f>
        <v>-3.9813556030297223E-2</v>
      </c>
      <c r="R519" s="5">
        <f>(Cotacoes!R519-Cotacoes!R518)/Cotacoes!R518</f>
        <v>-1.0367049593723662E-2</v>
      </c>
      <c r="S519" s="5">
        <f>(Cotacoes!S519-Cotacoes!S518)/Cotacoes!S518</f>
        <v>-3.6806342015855763E-3</v>
      </c>
      <c r="T519" s="5">
        <f>(Cotacoes!T519-Cotacoes!T518)/Cotacoes!T518</f>
        <v>-2.0354563361785944E-2</v>
      </c>
      <c r="U519" s="5">
        <f>(Cotacoes!U519-Cotacoes!U518)/Cotacoes!U518</f>
        <v>-1.4060421812654416E-2</v>
      </c>
      <c r="V519" s="5">
        <f>(Cotacoes!V519-Cotacoes!V518)/Cotacoes!V518</f>
        <v>-1.5407741450582494E-2</v>
      </c>
      <c r="W519" s="5"/>
    </row>
    <row r="520" spans="1:23" x14ac:dyDescent="0.2">
      <c r="A520" s="4">
        <v>45321</v>
      </c>
      <c r="B520" s="5">
        <f>(Cotacoes!B520-Cotacoes!B519)/Cotacoes!B519</f>
        <v>7.6206604572395149E-3</v>
      </c>
      <c r="C520" s="5">
        <f>(Cotacoes!C520-Cotacoes!C519)/Cotacoes!C519</f>
        <v>-5.7066129573681828E-3</v>
      </c>
      <c r="D520" s="5">
        <f>(Cotacoes!D520-Cotacoes!D519)/Cotacoes!D519</f>
        <v>-6.1481709191516399E-3</v>
      </c>
      <c r="E520" s="5">
        <f>(Cotacoes!E520-Cotacoes!E519)/Cotacoes!E519</f>
        <v>-6.1396776669224926E-3</v>
      </c>
      <c r="F520" s="5">
        <f>(Cotacoes!F520-Cotacoes!F519)/Cotacoes!F519</f>
        <v>-4.6444121915821101E-3</v>
      </c>
      <c r="G520" s="5">
        <f>(Cotacoes!G520-Cotacoes!G519)/Cotacoes!G519</f>
        <v>-7.778469197261979E-3</v>
      </c>
      <c r="H520" s="5">
        <f>(Cotacoes!H520-Cotacoes!H519)/Cotacoes!H519</f>
        <v>-5.1834130781498811E-3</v>
      </c>
      <c r="I520" s="5">
        <f>(Cotacoes!I520-Cotacoes!I519)/Cotacoes!I519</f>
        <v>-1.6172506738544513E-2</v>
      </c>
      <c r="J520" s="5">
        <f>(Cotacoes!J520-Cotacoes!J519)/Cotacoes!J519</f>
        <v>7.4751901018172218E-3</v>
      </c>
      <c r="K520" s="5">
        <f>(Cotacoes!K520-Cotacoes!K519)/Cotacoes!K519</f>
        <v>-6.6518847006651781E-3</v>
      </c>
      <c r="L520" s="5">
        <f>(Cotacoes!L520-Cotacoes!L519)/Cotacoes!L519</f>
        <v>-1.5810276679841979E-2</v>
      </c>
      <c r="M520" s="5">
        <f>(Cotacoes!M520-Cotacoes!M519)/Cotacoes!M519</f>
        <v>-1.5522875816993423E-2</v>
      </c>
      <c r="N520" s="5">
        <f>(Cotacoes!N520-Cotacoes!N519)/Cotacoes!N519</f>
        <v>-3.6764705882352156E-3</v>
      </c>
      <c r="O520" s="5">
        <f>(Cotacoes!O520-Cotacoes!O519)/Cotacoes!O519</f>
        <v>-9.6801346801346968E-3</v>
      </c>
      <c r="P520" s="5">
        <f>(Cotacoes!P520-Cotacoes!P519)/Cotacoes!P519</f>
        <v>2.4663677130044873E-2</v>
      </c>
      <c r="Q520" s="5">
        <f>(Cotacoes!Q520-Cotacoes!Q519)/Cotacoes!Q519</f>
        <v>2.5485436893203987E-2</v>
      </c>
      <c r="R520" s="5">
        <f>(Cotacoes!R520-Cotacoes!R519)/Cotacoes!R519</f>
        <v>-2.0668176670441588E-2</v>
      </c>
      <c r="S520" s="5">
        <f>(Cotacoes!S520-Cotacoes!S519)/Cotacoes!S519</f>
        <v>-1.7618641659562305E-2</v>
      </c>
      <c r="T520" s="5">
        <f>(Cotacoes!T520-Cotacoes!T519)/Cotacoes!T519</f>
        <v>-1.4968722073279594E-2</v>
      </c>
      <c r="U520" s="5">
        <f>(Cotacoes!U520-Cotacoes!U519)/Cotacoes!U519</f>
        <v>-1.7151666987858943E-2</v>
      </c>
      <c r="V520" s="5">
        <f>(Cotacoes!V520-Cotacoes!V519)/Cotacoes!V519</f>
        <v>-2.1374045801526669E-2</v>
      </c>
      <c r="W520" s="5"/>
    </row>
    <row r="521" spans="1:23" x14ac:dyDescent="0.2">
      <c r="A521" s="4">
        <v>45322</v>
      </c>
      <c r="B521" s="5">
        <f>(Cotacoes!B521-Cotacoes!B520)/Cotacoes!B520</f>
        <v>-3.361344537815121E-3</v>
      </c>
      <c r="C521" s="5">
        <f>(Cotacoes!C521-Cotacoes!C520)/Cotacoes!C520</f>
        <v>-1.4686022957461251E-2</v>
      </c>
      <c r="D521" s="5">
        <f>(Cotacoes!D521-Cotacoes!D520)/Cotacoes!D520</f>
        <v>3.0931023816888779E-3</v>
      </c>
      <c r="E521" s="5">
        <f>(Cotacoes!E521-Cotacoes!E520)/Cotacoes!E520</f>
        <v>1.0810810810810855E-2</v>
      </c>
      <c r="F521" s="5">
        <f>(Cotacoes!F521-Cotacoes!F520)/Cotacoes!F520</f>
        <v>0</v>
      </c>
      <c r="G521" s="5">
        <f>(Cotacoes!G521-Cotacoes!G520)/Cotacoes!G520</f>
        <v>-1.9755409219190938E-2</v>
      </c>
      <c r="H521" s="5">
        <f>(Cotacoes!H521-Cotacoes!H520)/Cotacoes!H520</f>
        <v>4.0080160320641852E-3</v>
      </c>
      <c r="I521" s="5">
        <f>(Cotacoes!I521-Cotacoes!I520)/Cotacoes!I520</f>
        <v>1.4794520547945183E-2</v>
      </c>
      <c r="J521" s="5">
        <f>(Cotacoes!J521-Cotacoes!J520)/Cotacoes!J520</f>
        <v>8.8269156965587528E-3</v>
      </c>
      <c r="K521" s="5">
        <f>(Cotacoes!K521-Cotacoes!K520)/Cotacoes!K520</f>
        <v>5.2083333333333547E-3</v>
      </c>
      <c r="L521" s="5">
        <f>(Cotacoes!L521-Cotacoes!L520)/Cotacoes!L520</f>
        <v>6.4257028112449863E-3</v>
      </c>
      <c r="M521" s="5">
        <f>(Cotacoes!M521-Cotacoes!M520)/Cotacoes!M520</f>
        <v>2.4896265560165444E-3</v>
      </c>
      <c r="N521" s="5">
        <f>(Cotacoes!N521-Cotacoes!N520)/Cotacoes!N520</f>
        <v>1.1070110701106993E-2</v>
      </c>
      <c r="O521" s="5">
        <f>(Cotacoes!O521-Cotacoes!O520)/Cotacoes!O520</f>
        <v>-4.249893752656244E-3</v>
      </c>
      <c r="P521" s="5">
        <f>(Cotacoes!P521-Cotacoes!P520)/Cotacoes!P520</f>
        <v>-3.9387308533916782E-3</v>
      </c>
      <c r="Q521" s="5">
        <f>(Cotacoes!Q521-Cotacoes!Q520)/Cotacoes!Q520</f>
        <v>-9.2702169625247712E-3</v>
      </c>
      <c r="R521" s="5">
        <f>(Cotacoes!R521-Cotacoes!R520)/Cotacoes!R520</f>
        <v>3.180109858340544E-3</v>
      </c>
      <c r="S521" s="5">
        <f>(Cotacoes!S521-Cotacoes!S520)/Cotacoes!S520</f>
        <v>2.4877061035579965E-2</v>
      </c>
      <c r="T521" s="5">
        <f>(Cotacoes!T521-Cotacoes!T520)/Cotacoes!T520</f>
        <v>-3.6289408029032363E-3</v>
      </c>
      <c r="U521" s="5">
        <f>(Cotacoes!U521-Cotacoes!U520)/Cotacoes!U520</f>
        <v>-6.8627450980392433E-3</v>
      </c>
      <c r="V521" s="5">
        <f>(Cotacoes!V521-Cotacoes!V520)/Cotacoes!V520</f>
        <v>2.2620904836193379E-2</v>
      </c>
      <c r="W521" s="5"/>
    </row>
    <row r="522" spans="1:23" x14ac:dyDescent="0.2">
      <c r="A522" s="4">
        <v>45323</v>
      </c>
      <c r="B522" s="5">
        <f>(Cotacoes!B522-Cotacoes!B521)/Cotacoes!B521</f>
        <v>-5.8085066516768815E-3</v>
      </c>
      <c r="C522" s="5">
        <f>(Cotacoes!C522-Cotacoes!C521)/Cotacoes!C521</f>
        <v>-4.6256638684254933E-3</v>
      </c>
      <c r="D522" s="5">
        <f>(Cotacoes!D522-Cotacoes!D521)/Cotacoes!D521</f>
        <v>2.7752081406105415E-2</v>
      </c>
      <c r="E522" s="5">
        <f>(Cotacoes!E522-Cotacoes!E521)/Cotacoes!E521</f>
        <v>-2.2918258212375371E-3</v>
      </c>
      <c r="F522" s="5">
        <f>(Cotacoes!F522-Cotacoes!F521)/Cotacoes!F521</f>
        <v>1.895596383785356E-2</v>
      </c>
      <c r="G522" s="5">
        <f>(Cotacoes!G522-Cotacoes!G521)/Cotacoes!G521</f>
        <v>8.9571337172104151E-3</v>
      </c>
      <c r="H522" s="5">
        <f>(Cotacoes!H522-Cotacoes!H521)/Cotacoes!H521</f>
        <v>2.3153692614770391E-2</v>
      </c>
      <c r="I522" s="5">
        <f>(Cotacoes!I522-Cotacoes!I521)/Cotacoes!I521</f>
        <v>1.9438444924406016E-2</v>
      </c>
      <c r="J522" s="5">
        <f>(Cotacoes!J522-Cotacoes!J521)/Cotacoes!J521</f>
        <v>-1.2680699974645089E-4</v>
      </c>
      <c r="K522" s="5">
        <f>(Cotacoes!K522-Cotacoes!K521)/Cotacoes!K521</f>
        <v>-2.2205773501109815E-3</v>
      </c>
      <c r="L522" s="5">
        <f>(Cotacoes!L522-Cotacoes!L521)/Cotacoes!L521</f>
        <v>1.5961691939345657E-2</v>
      </c>
      <c r="M522" s="5">
        <f>(Cotacoes!M522-Cotacoes!M521)/Cotacoes!M521</f>
        <v>-8.2781456953640617E-4</v>
      </c>
      <c r="N522" s="5">
        <f>(Cotacoes!N522-Cotacoes!N521)/Cotacoes!N521</f>
        <v>-1.2165450121654241E-3</v>
      </c>
      <c r="O522" s="5">
        <f>(Cotacoes!O522-Cotacoes!O521)/Cotacoes!O521</f>
        <v>-1.4084507042253449E-2</v>
      </c>
      <c r="P522" s="5">
        <f>(Cotacoes!P522-Cotacoes!P521)/Cotacoes!P521</f>
        <v>-1.3620386643233843E-2</v>
      </c>
      <c r="Q522" s="5">
        <f>(Cotacoes!Q522-Cotacoes!Q521)/Cotacoes!Q521</f>
        <v>-9.954210631096954E-3</v>
      </c>
      <c r="R522" s="5">
        <f>(Cotacoes!R522-Cotacoes!R521)/Cotacoes!R521</f>
        <v>1.8443804034582147E-2</v>
      </c>
      <c r="S522" s="5">
        <f>(Cotacoes!S522-Cotacoes!S521)/Cotacoes!S521</f>
        <v>1.1289867344058667E-2</v>
      </c>
      <c r="T522" s="5">
        <f>(Cotacoes!T522-Cotacoes!T521)/Cotacoes!T521</f>
        <v>-1.7755520145686345E-2</v>
      </c>
      <c r="U522" s="5">
        <f>(Cotacoes!U522-Cotacoes!U521)/Cotacoes!U521</f>
        <v>6.7127344521224763E-3</v>
      </c>
      <c r="V522" s="5">
        <f>(Cotacoes!V522-Cotacoes!V521)/Cotacoes!V521</f>
        <v>-1.4492753623188368E-2</v>
      </c>
      <c r="W522" s="5"/>
    </row>
    <row r="523" spans="1:23" x14ac:dyDescent="0.2">
      <c r="A523" s="4">
        <v>45324</v>
      </c>
      <c r="B523" s="5">
        <f>(Cotacoes!B523-Cotacoes!B522)/Cotacoes!B522</f>
        <v>3.1096871466264444E-3</v>
      </c>
      <c r="C523" s="5">
        <f>(Cotacoes!C523-Cotacoes!C522)/Cotacoes!C522</f>
        <v>-2.0309810671256447E-2</v>
      </c>
      <c r="D523" s="5">
        <f>(Cotacoes!D523-Cotacoes!D522)/Cotacoes!D522</f>
        <v>-1.2901290129012893E-2</v>
      </c>
      <c r="E523" s="5">
        <f>(Cotacoes!E523-Cotacoes!E522)/Cotacoes!E522</f>
        <v>1.5313935681469811E-3</v>
      </c>
      <c r="F523" s="5">
        <f>(Cotacoes!F523-Cotacoes!F522)/Cotacoes!F522</f>
        <v>-1.4882655981682771E-2</v>
      </c>
      <c r="G523" s="5">
        <f>(Cotacoes!G523-Cotacoes!G522)/Cotacoes!G522</f>
        <v>-9.5117311350658167E-4</v>
      </c>
      <c r="H523" s="5">
        <f>(Cotacoes!H523-Cotacoes!H522)/Cotacoes!H522</f>
        <v>-3.9016777214194345E-4</v>
      </c>
      <c r="I523" s="5">
        <f>(Cotacoes!I523-Cotacoes!I522)/Cotacoes!I522</f>
        <v>-2.2775423728813544E-2</v>
      </c>
      <c r="J523" s="5">
        <f>(Cotacoes!J523-Cotacoes!J522)/Cotacoes!J522</f>
        <v>-1.3950538998097582E-3</v>
      </c>
      <c r="K523" s="5">
        <f>(Cotacoes!K523-Cotacoes!K522)/Cotacoes!K522</f>
        <v>7.4183976261126016E-4</v>
      </c>
      <c r="L523" s="5">
        <f>(Cotacoes!L523-Cotacoes!L522)/Cotacoes!L522</f>
        <v>-9.4265514532600927E-3</v>
      </c>
      <c r="M523" s="5">
        <f>(Cotacoes!M523-Cotacoes!M522)/Cotacoes!M522</f>
        <v>0</v>
      </c>
      <c r="N523" s="5">
        <f>(Cotacoes!N523-Cotacoes!N522)/Cotacoes!N522</f>
        <v>-1.2180267965897153E-3</v>
      </c>
      <c r="O523" s="5">
        <f>(Cotacoes!O523-Cotacoes!O522)/Cotacoes!O522</f>
        <v>-4.3290043290043906E-3</v>
      </c>
      <c r="P523" s="5">
        <f>(Cotacoes!P523-Cotacoes!P522)/Cotacoes!P522</f>
        <v>-1.3363028953228323E-3</v>
      </c>
      <c r="Q523" s="5">
        <f>(Cotacoes!Q523-Cotacoes!Q522)/Cotacoes!Q522</f>
        <v>4.6249748642671227E-3</v>
      </c>
      <c r="R523" s="5">
        <f>(Cotacoes!R523-Cotacoes!R522)/Cotacoes!R522</f>
        <v>-2.8296547821180293E-4</v>
      </c>
      <c r="S523" s="5">
        <f>(Cotacoes!S523-Cotacoes!S522)/Cotacoes!S522</f>
        <v>-1.3954786491766676E-2</v>
      </c>
      <c r="T523" s="5">
        <f>(Cotacoes!T523-Cotacoes!T522)/Cotacoes!T522</f>
        <v>-1.6222479721900249E-2</v>
      </c>
      <c r="U523" s="5">
        <f>(Cotacoes!U523-Cotacoes!U522)/Cotacoes!U522</f>
        <v>-1.6866052167091576E-2</v>
      </c>
      <c r="V523" s="5">
        <f>(Cotacoes!V523-Cotacoes!V522)/Cotacoes!V522</f>
        <v>-3.0959752321980762E-3</v>
      </c>
      <c r="W523" s="5"/>
    </row>
    <row r="524" spans="1:23" x14ac:dyDescent="0.2">
      <c r="A524" s="4">
        <v>45327</v>
      </c>
      <c r="B524" s="5">
        <f>(Cotacoes!B524-Cotacoes!B523)/Cotacoes!B523</f>
        <v>1.96336308125881E-2</v>
      </c>
      <c r="C524" s="5">
        <f>(Cotacoes!C524-Cotacoes!C523)/Cotacoes!C523</f>
        <v>-8.6085734364020026E-3</v>
      </c>
      <c r="D524" s="5">
        <f>(Cotacoes!D524-Cotacoes!D523)/Cotacoes!D523</f>
        <v>4.2553191489361876E-3</v>
      </c>
      <c r="E524" s="5">
        <f>(Cotacoes!E524-Cotacoes!E523)/Cotacoes!E523</f>
        <v>1.8730886850152846E-2</v>
      </c>
      <c r="F524" s="5">
        <f>(Cotacoes!F524-Cotacoes!F523)/Cotacoes!F523</f>
        <v>0</v>
      </c>
      <c r="G524" s="5">
        <f>(Cotacoes!G524-Cotacoes!G523)/Cotacoes!G523</f>
        <v>2.0311012377023072E-2</v>
      </c>
      <c r="H524" s="5">
        <f>(Cotacoes!H524-Cotacoes!H523)/Cotacoes!H523</f>
        <v>1.0538641686182652E-2</v>
      </c>
      <c r="I524" s="5">
        <f>(Cotacoes!I524-Cotacoes!I523)/Cotacoes!I523</f>
        <v>4.3360433604337049E-3</v>
      </c>
      <c r="J524" s="5">
        <f>(Cotacoes!J524-Cotacoes!J523)/Cotacoes!J523</f>
        <v>6.4770129540259735E-3</v>
      </c>
      <c r="K524" s="5">
        <f>(Cotacoes!K524-Cotacoes!K523)/Cotacoes!K523</f>
        <v>2.0756115641215666E-2</v>
      </c>
      <c r="L524" s="5">
        <f>(Cotacoes!L524-Cotacoes!L523)/Cotacoes!L523</f>
        <v>-7.9302141157810979E-3</v>
      </c>
      <c r="M524" s="5">
        <f>(Cotacoes!M524-Cotacoes!M523)/Cotacoes!M523</f>
        <v>1.6570008285003788E-3</v>
      </c>
      <c r="N524" s="5">
        <f>(Cotacoes!N524-Cotacoes!N523)/Cotacoes!N523</f>
        <v>1.7073170731707388E-2</v>
      </c>
      <c r="O524" s="5">
        <f>(Cotacoes!O524-Cotacoes!O523)/Cotacoes!O523</f>
        <v>2.0000000000000039E-2</v>
      </c>
      <c r="P524" s="5">
        <f>(Cotacoes!P524-Cotacoes!P523)/Cotacoes!P523</f>
        <v>1.1596788581623461E-2</v>
      </c>
      <c r="Q524" s="5">
        <f>(Cotacoes!Q524-Cotacoes!Q523)/Cotacoes!Q523</f>
        <v>8.0064051240992511E-3</v>
      </c>
      <c r="R524" s="5">
        <f>(Cotacoes!R524-Cotacoes!R523)/Cotacoes!R523</f>
        <v>8.4913671101048485E-3</v>
      </c>
      <c r="S524" s="5">
        <f>(Cotacoes!S524-Cotacoes!S523)/Cotacoes!S523</f>
        <v>-3.6795924143785863E-3</v>
      </c>
      <c r="T524" s="5">
        <f>(Cotacoes!T524-Cotacoes!T523)/Cotacoes!T523</f>
        <v>-9.4228504122498384E-3</v>
      </c>
      <c r="U524" s="5">
        <f>(Cotacoes!U524-Cotacoes!U523)/Cotacoes!U523</f>
        <v>3.1917015759025851E-3</v>
      </c>
      <c r="V524" s="5">
        <f>(Cotacoes!V524-Cotacoes!V523)/Cotacoes!V523</f>
        <v>5.046583850931638E-3</v>
      </c>
      <c r="W524" s="5"/>
    </row>
    <row r="525" spans="1:23" x14ac:dyDescent="0.2">
      <c r="A525" s="4">
        <v>45328</v>
      </c>
      <c r="B525" s="5">
        <f>(Cotacoes!B525-Cotacoes!B524)/Cotacoes!B524</f>
        <v>-1.3819789939193447E-3</v>
      </c>
      <c r="C525" s="5">
        <f>(Cotacoes!C525-Cotacoes!C524)/Cotacoes!C524</f>
        <v>1.7721070352649301E-2</v>
      </c>
      <c r="D525" s="5">
        <f>(Cotacoes!D525-Cotacoes!D524)/Cotacoes!D524</f>
        <v>9.3825665859564849E-3</v>
      </c>
      <c r="E525" s="5">
        <f>(Cotacoes!E525-Cotacoes!E524)/Cotacoes!E524</f>
        <v>4.2776735459662311E-2</v>
      </c>
      <c r="F525" s="5">
        <f>(Cotacoes!F525-Cotacoes!F524)/Cotacoes!F524</f>
        <v>1.5107495642068449E-2</v>
      </c>
      <c r="G525" s="5">
        <f>(Cotacoes!G525-Cotacoes!G524)/Cotacoes!G524</f>
        <v>-6.2208398133735681E-4</v>
      </c>
      <c r="H525" s="5">
        <f>(Cotacoes!H525-Cotacoes!H524)/Cotacoes!H524</f>
        <v>2.1629972962533748E-2</v>
      </c>
      <c r="I525" s="5">
        <f>(Cotacoes!I525-Cotacoes!I524)/Cotacoes!I524</f>
        <v>5.6395035078251381E-2</v>
      </c>
      <c r="J525" s="5">
        <f>(Cotacoes!J525-Cotacoes!J524)/Cotacoes!J524</f>
        <v>1.337539432176659E-2</v>
      </c>
      <c r="K525" s="5">
        <f>(Cotacoes!K525-Cotacoes!K524)/Cotacoes!K524</f>
        <v>6.1728395061728371E-2</v>
      </c>
      <c r="L525" s="5">
        <f>(Cotacoes!L525-Cotacoes!L524)/Cotacoes!L524</f>
        <v>1.1191047162270229E-2</v>
      </c>
      <c r="M525" s="5">
        <f>(Cotacoes!M525-Cotacoes!M524)/Cotacoes!M524</f>
        <v>1.0752688172043076E-2</v>
      </c>
      <c r="N525" s="5">
        <f>(Cotacoes!N525-Cotacoes!N524)/Cotacoes!N524</f>
        <v>3.9568345323741018E-2</v>
      </c>
      <c r="O525" s="5">
        <f>(Cotacoes!O525-Cotacoes!O524)/Cotacoes!O524</f>
        <v>1.2361466325660661E-2</v>
      </c>
      <c r="P525" s="5">
        <f>(Cotacoes!P525-Cotacoes!P524)/Cotacoes!P524</f>
        <v>-3.8359788359788406E-2</v>
      </c>
      <c r="Q525" s="5">
        <f>(Cotacoes!Q525-Cotacoes!Q524)/Cotacoes!Q524</f>
        <v>3.7926926131850752E-2</v>
      </c>
      <c r="R525" s="5">
        <f>(Cotacoes!R525-Cotacoes!R524)/Cotacoes!R524</f>
        <v>1.5436429974740306E-2</v>
      </c>
      <c r="S525" s="5">
        <f>(Cotacoes!S525-Cotacoes!S524)/Cotacoes!S524</f>
        <v>1.7045454545454381E-2</v>
      </c>
      <c r="T525" s="5">
        <f>(Cotacoes!T525-Cotacoes!T524)/Cotacoes!T524</f>
        <v>3.686087990487525E-2</v>
      </c>
      <c r="U525" s="5">
        <f>(Cotacoes!U525-Cotacoes!U524)/Cotacoes!U524</f>
        <v>-1.9486975541857167E-2</v>
      </c>
      <c r="V525" s="5">
        <f>(Cotacoes!V525-Cotacoes!V524)/Cotacoes!V524</f>
        <v>3.7079953650057972E-2</v>
      </c>
      <c r="W525" s="5"/>
    </row>
    <row r="526" spans="1:23" x14ac:dyDescent="0.2">
      <c r="A526" s="4">
        <v>45329</v>
      </c>
      <c r="B526" s="5">
        <f>(Cotacoes!B526-Cotacoes!B525)/Cotacoes!B525</f>
        <v>-1.2547282959682621E-2</v>
      </c>
      <c r="C526" s="5">
        <f>(Cotacoes!C526-Cotacoes!C525)/Cotacoes!C525</f>
        <v>1.915375239421895E-3</v>
      </c>
      <c r="D526" s="5">
        <f>(Cotacoes!D526-Cotacoes!D525)/Cotacoes!D525</f>
        <v>1.4392803598200806E-2</v>
      </c>
      <c r="E526" s="5">
        <f>(Cotacoes!E526-Cotacoes!E525)/Cotacoes!E525</f>
        <v>-7.1968333933069197E-3</v>
      </c>
      <c r="F526" s="5">
        <f>(Cotacoes!F526-Cotacoes!F525)/Cotacoes!F525</f>
        <v>9.7309673726389077E-3</v>
      </c>
      <c r="G526" s="5">
        <f>(Cotacoes!G526-Cotacoes!G525)/Cotacoes!G525</f>
        <v>1.1826953003423448E-2</v>
      </c>
      <c r="H526" s="5">
        <f>(Cotacoes!H526-Cotacoes!H525)/Cotacoes!H525</f>
        <v>-2.646502835538763E-3</v>
      </c>
      <c r="I526" s="5">
        <f>(Cotacoes!I526-Cotacoes!I525)/Cotacoes!I525</f>
        <v>1.2771392081737999E-3</v>
      </c>
      <c r="J526" s="5">
        <f>(Cotacoes!J526-Cotacoes!J525)/Cotacoes!J525</f>
        <v>7.4710496824806718E-4</v>
      </c>
      <c r="K526" s="5">
        <f>(Cotacoes!K526-Cotacoes!K525)/Cotacoes!K525</f>
        <v>-0.15868673050615587</v>
      </c>
      <c r="L526" s="5">
        <f>(Cotacoes!L526-Cotacoes!L525)/Cotacoes!L525</f>
        <v>1.6600790513833917E-2</v>
      </c>
      <c r="M526" s="5">
        <f>(Cotacoes!M526-Cotacoes!M525)/Cotacoes!M525</f>
        <v>-1.7184942716857679E-2</v>
      </c>
      <c r="N526" s="5">
        <f>(Cotacoes!N526-Cotacoes!N525)/Cotacoes!N525</f>
        <v>-6.9204152249135523E-3</v>
      </c>
      <c r="O526" s="5">
        <f>(Cotacoes!O526-Cotacoes!O525)/Cotacoes!O525</f>
        <v>-9.2631578947367944E-3</v>
      </c>
      <c r="P526" s="5">
        <f>(Cotacoes!P526-Cotacoes!P525)/Cotacoes!P525</f>
        <v>-6.4190738193487858E-3</v>
      </c>
      <c r="Q526" s="5">
        <f>(Cotacoes!Q526-Cotacoes!Q525)/Cotacoes!Q525</f>
        <v>-1.9131432944337315E-4</v>
      </c>
      <c r="R526" s="5">
        <f>(Cotacoes!R526-Cotacoes!R525)/Cotacoes!R525</f>
        <v>2.2111663902708599E-2</v>
      </c>
      <c r="S526" s="5">
        <f>(Cotacoes!S526-Cotacoes!S525)/Cotacoes!S525</f>
        <v>-5.586592178769839E-4</v>
      </c>
      <c r="T526" s="5">
        <f>(Cotacoes!T526-Cotacoes!T525)/Cotacoes!T525</f>
        <v>8.4862385321100332E-3</v>
      </c>
      <c r="U526" s="5">
        <f>(Cotacoes!U526-Cotacoes!U525)/Cotacoes!U525</f>
        <v>1.5818292435611461E-2</v>
      </c>
      <c r="V526" s="5">
        <f>(Cotacoes!V526-Cotacoes!V525)/Cotacoes!V525</f>
        <v>6.3314711359403406E-3</v>
      </c>
      <c r="W526" s="5"/>
    </row>
    <row r="527" spans="1:23" x14ac:dyDescent="0.2">
      <c r="A527" s="4">
        <v>45330</v>
      </c>
      <c r="B527" s="5">
        <f>(Cotacoes!B527-Cotacoes!B526)/Cotacoes!B526</f>
        <v>-2.2423619545921228E-3</v>
      </c>
      <c r="C527" s="5">
        <f>(Cotacoes!C527-Cotacoes!C526)/Cotacoes!C526</f>
        <v>-8.8633993743482443E-3</v>
      </c>
      <c r="D527" s="5">
        <f>(Cotacoes!D527-Cotacoes!D526)/Cotacoes!D526</f>
        <v>-7.9810818799880591E-3</v>
      </c>
      <c r="E527" s="5">
        <f>(Cotacoes!E527-Cotacoes!E526)/Cotacoes!E526</f>
        <v>-1.9572308807538932E-2</v>
      </c>
      <c r="F527" s="5">
        <f>(Cotacoes!F527-Cotacoes!F526)/Cotacoes!F526</f>
        <v>-3.4013605442178158E-3</v>
      </c>
      <c r="G527" s="5">
        <f>(Cotacoes!G527-Cotacoes!G526)/Cotacoes!G526</f>
        <v>5.2291602583820892E-3</v>
      </c>
      <c r="H527" s="5">
        <f>(Cotacoes!H527-Cotacoes!H526)/Cotacoes!H526</f>
        <v>-1.5163002274450287E-2</v>
      </c>
      <c r="I527" s="5">
        <f>(Cotacoes!I527-Cotacoes!I526)/Cotacoes!I526</f>
        <v>-5.6122448979593351E-3</v>
      </c>
      <c r="J527" s="5">
        <f>(Cotacoes!J527-Cotacoes!J526)/Cotacoes!J526</f>
        <v>-1.7419435112604274E-2</v>
      </c>
      <c r="K527" s="5">
        <f>(Cotacoes!K527-Cotacoes!K526)/Cotacoes!K526</f>
        <v>-2.9268292682926925E-2</v>
      </c>
      <c r="L527" s="5">
        <f>(Cotacoes!L527-Cotacoes!L526)/Cotacoes!L526</f>
        <v>-2.0217729393468102E-2</v>
      </c>
      <c r="M527" s="5">
        <f>(Cotacoes!M527-Cotacoes!M526)/Cotacoes!M526</f>
        <v>-4.1631973355536166E-3</v>
      </c>
      <c r="N527" s="5">
        <f>(Cotacoes!N527-Cotacoes!N526)/Cotacoes!N526</f>
        <v>-1.3937282229965067E-2</v>
      </c>
      <c r="O527" s="5">
        <f>(Cotacoes!O527-Cotacoes!O526)/Cotacoes!O526</f>
        <v>-2.252443688907782E-2</v>
      </c>
      <c r="P527" s="5">
        <f>(Cotacoes!P527-Cotacoes!P526)/Cotacoes!P526</f>
        <v>1.0613751730502854E-2</v>
      </c>
      <c r="Q527" s="5">
        <f>(Cotacoes!Q527-Cotacoes!Q526)/Cotacoes!Q526</f>
        <v>-4.7837734404898588E-3</v>
      </c>
      <c r="R527" s="5">
        <f>(Cotacoes!R527-Cotacoes!R526)/Cotacoes!R526</f>
        <v>-2.7312060573282806E-2</v>
      </c>
      <c r="S527" s="5">
        <f>(Cotacoes!S527-Cotacoes!S526)/Cotacoes!S526</f>
        <v>-4.3040804918949106E-2</v>
      </c>
      <c r="T527" s="5">
        <f>(Cotacoes!T527-Cotacoes!T526)/Cotacoes!T526</f>
        <v>-1.2963384125540147E-2</v>
      </c>
      <c r="U527" s="5">
        <f>(Cotacoes!U527-Cotacoes!U526)/Cotacoes!U526</f>
        <v>-1.6370533040527057E-2</v>
      </c>
      <c r="V527" s="5">
        <f>(Cotacoes!V527-Cotacoes!V526)/Cotacoes!V526</f>
        <v>-1.665433012583269E-2</v>
      </c>
      <c r="W527" s="5"/>
    </row>
    <row r="528" spans="1:23" x14ac:dyDescent="0.2">
      <c r="A528" s="4">
        <v>45331</v>
      </c>
      <c r="B528" s="5">
        <f>(Cotacoes!B528-Cotacoes!B527)/Cotacoes!B527</f>
        <v>-8.6150388613166189E-3</v>
      </c>
      <c r="C528" s="5">
        <f>(Cotacoes!C528-Cotacoes!C527)/Cotacoes!C527</f>
        <v>-4.3836577240049098E-3</v>
      </c>
      <c r="D528" s="5">
        <f>(Cotacoes!D528-Cotacoes!D527)/Cotacoes!D527</f>
        <v>-1.3408820023837986E-2</v>
      </c>
      <c r="E528" s="5">
        <f>(Cotacoes!E528-Cotacoes!E527)/Cotacoes!E527</f>
        <v>1.2569316081330863E-2</v>
      </c>
      <c r="F528" s="5">
        <f>(Cotacoes!F528-Cotacoes!F527)/Cotacoes!F527</f>
        <v>-1.1376564277588128E-2</v>
      </c>
      <c r="G528" s="5">
        <f>(Cotacoes!G528-Cotacoes!G527)/Cotacoes!G527</f>
        <v>-1.2851897184822573E-2</v>
      </c>
      <c r="H528" s="5">
        <f>(Cotacoes!H528-Cotacoes!H527)/Cotacoes!H527</f>
        <v>-1.6551193225558109E-2</v>
      </c>
      <c r="I528" s="5">
        <f>(Cotacoes!I528-Cotacoes!I527)/Cotacoes!I527</f>
        <v>1.6162134427911815E-2</v>
      </c>
      <c r="J528" s="5">
        <f>(Cotacoes!J528-Cotacoes!J527)/Cotacoes!J527</f>
        <v>1.0383690008864219E-2</v>
      </c>
      <c r="K528" s="5">
        <f>(Cotacoes!K528-Cotacoes!K527)/Cotacoes!K527</f>
        <v>-6.7001675041876109E-3</v>
      </c>
      <c r="L528" s="5">
        <f>(Cotacoes!L528-Cotacoes!L527)/Cotacoes!L527</f>
        <v>6.3492063492063553E-3</v>
      </c>
      <c r="M528" s="5">
        <f>(Cotacoes!M528-Cotacoes!M527)/Cotacoes!M527</f>
        <v>0</v>
      </c>
      <c r="N528" s="5">
        <f>(Cotacoes!N528-Cotacoes!N527)/Cotacoes!N527</f>
        <v>3.5335689045935641E-3</v>
      </c>
      <c r="O528" s="5">
        <f>(Cotacoes!O528-Cotacoes!O527)/Cotacoes!O527</f>
        <v>-2.3913043478260902E-2</v>
      </c>
      <c r="P528" s="5">
        <f>(Cotacoes!P528-Cotacoes!P527)/Cotacoes!P527</f>
        <v>2.922374429223747E-2</v>
      </c>
      <c r="Q528" s="5">
        <f>(Cotacoes!Q528-Cotacoes!Q527)/Cotacoes!Q527</f>
        <v>-1.3843491636223781E-2</v>
      </c>
      <c r="R528" s="5">
        <f>(Cotacoes!R528-Cotacoes!R527)/Cotacoes!R527</f>
        <v>6.3942174033918258E-3</v>
      </c>
      <c r="S528" s="5">
        <f>(Cotacoes!S528-Cotacoes!S527)/Cotacoes!S527</f>
        <v>-4.3808411214952851E-3</v>
      </c>
      <c r="T528" s="5">
        <f>(Cotacoes!T528-Cotacoes!T527)/Cotacoes!T527</f>
        <v>-2.3963133640552976E-2</v>
      </c>
      <c r="U528" s="5">
        <f>(Cotacoes!U528-Cotacoes!U527)/Cotacoes!U527</f>
        <v>-2.8414856910899239E-3</v>
      </c>
      <c r="V528" s="5">
        <f>(Cotacoes!V528-Cotacoes!V527)/Cotacoes!V527</f>
        <v>1.0538200978547277E-2</v>
      </c>
      <c r="W528" s="5"/>
    </row>
    <row r="529" spans="1:23" x14ac:dyDescent="0.2">
      <c r="A529" s="4">
        <v>45336</v>
      </c>
      <c r="B529" s="5">
        <f>(Cotacoes!B529-Cotacoes!B528)/Cotacoes!B528</f>
        <v>7.3675262113913394E-3</v>
      </c>
      <c r="C529" s="5">
        <f>(Cotacoes!C529-Cotacoes!C528)/Cotacoes!C528</f>
        <v>-2.9940119760479343E-3</v>
      </c>
      <c r="D529" s="5">
        <f>(Cotacoes!D529-Cotacoes!D528)/Cotacoes!D528</f>
        <v>-7.5505889459377834E-3</v>
      </c>
      <c r="E529" s="5">
        <f>(Cotacoes!E529-Cotacoes!E528)/Cotacoes!E528</f>
        <v>0</v>
      </c>
      <c r="F529" s="5">
        <f>(Cotacoes!F529-Cotacoes!F528)/Cotacoes!F528</f>
        <v>-1.0069044879171502E-2</v>
      </c>
      <c r="G529" s="5">
        <f>(Cotacoes!G529-Cotacoes!G528)/Cotacoes!G528</f>
        <v>4.6497210167389521E-3</v>
      </c>
      <c r="H529" s="5">
        <f>(Cotacoes!H529-Cotacoes!H528)/Cotacoes!H528</f>
        <v>1.3698630136986217E-2</v>
      </c>
      <c r="I529" s="5">
        <f>(Cotacoes!I529-Cotacoes!I528)/Cotacoes!I528</f>
        <v>-1.4895228477657065E-2</v>
      </c>
      <c r="J529" s="5">
        <f>(Cotacoes!J529-Cotacoes!J528)/Cotacoes!J528</f>
        <v>-1.0026319087605104E-2</v>
      </c>
      <c r="K529" s="5">
        <f>(Cotacoes!K529-Cotacoes!K528)/Cotacoes!K528</f>
        <v>-6.7453625632377806E-3</v>
      </c>
      <c r="L529" s="5">
        <f>(Cotacoes!L529-Cotacoes!L528)/Cotacoes!L528</f>
        <v>-2.917981072555199E-2</v>
      </c>
      <c r="M529" s="5">
        <f>(Cotacoes!M529-Cotacoes!M528)/Cotacoes!M528</f>
        <v>-1.672240802675698E-3</v>
      </c>
      <c r="N529" s="5">
        <f>(Cotacoes!N529-Cotacoes!N528)/Cotacoes!N528</f>
        <v>0</v>
      </c>
      <c r="O529" s="5">
        <f>(Cotacoes!O529-Cotacoes!O528)/Cotacoes!O528</f>
        <v>4.0089086859688133E-3</v>
      </c>
      <c r="P529" s="5">
        <f>(Cotacoes!P529-Cotacoes!P528)/Cotacoes!P528</f>
        <v>1.1091393078970719E-2</v>
      </c>
      <c r="Q529" s="5">
        <f>(Cotacoes!Q529-Cotacoes!Q528)/Cotacoes!Q528</f>
        <v>-8.5786703061025097E-3</v>
      </c>
      <c r="R529" s="5">
        <f>(Cotacoes!R529-Cotacoes!R528)/Cotacoes!R528</f>
        <v>-1.4640883977900582E-2</v>
      </c>
      <c r="S529" s="5">
        <f>(Cotacoes!S529-Cotacoes!S528)/Cotacoes!S528</f>
        <v>-1.4667057788207684E-2</v>
      </c>
      <c r="T529" s="5">
        <f>(Cotacoes!T529-Cotacoes!T528)/Cotacoes!T528</f>
        <v>4.4853635505193046E-3</v>
      </c>
      <c r="U529" s="5">
        <f>(Cotacoes!U529-Cotacoes!U528)/Cotacoes!U528</f>
        <v>-9.3629147160594513E-3</v>
      </c>
      <c r="V529" s="5">
        <f>(Cotacoes!V529-Cotacoes!V528)/Cotacoes!V528</f>
        <v>-5.2141527001862274E-2</v>
      </c>
      <c r="W529" s="5"/>
    </row>
    <row r="530" spans="1:23" x14ac:dyDescent="0.2">
      <c r="A530" s="4">
        <v>45337</v>
      </c>
      <c r="B530" s="5">
        <f>(Cotacoes!B530-Cotacoes!B529)/Cotacoes!B529</f>
        <v>8.8138771683075271E-3</v>
      </c>
      <c r="C530" s="5">
        <f>(Cotacoes!C530-Cotacoes!C529)/Cotacoes!C529</f>
        <v>-3.1796502384737629E-3</v>
      </c>
      <c r="D530" s="5">
        <f>(Cotacoes!D530-Cotacoes!D529)/Cotacoes!D529</f>
        <v>3.2258064516129101E-2</v>
      </c>
      <c r="E530" s="5">
        <f>(Cotacoes!E530-Cotacoes!E529)/Cotacoes!E529</f>
        <v>8.7623220153340061E-3</v>
      </c>
      <c r="F530" s="5">
        <f>(Cotacoes!F530-Cotacoes!F529)/Cotacoes!F529</f>
        <v>2.8189479802383205E-2</v>
      </c>
      <c r="G530" s="5">
        <f>(Cotacoes!G530-Cotacoes!G529)/Cotacoes!G529</f>
        <v>-9.2564023449551742E-3</v>
      </c>
      <c r="H530" s="5">
        <f>(Cotacoes!H530-Cotacoes!H529)/Cotacoes!H529</f>
        <v>0</v>
      </c>
      <c r="I530" s="5">
        <f>(Cotacoes!I530-Cotacoes!I529)/Cotacoes!I529</f>
        <v>-2.5627883136853258E-3</v>
      </c>
      <c r="J530" s="5">
        <f>(Cotacoes!J530-Cotacoes!J529)/Cotacoes!J529</f>
        <v>2.1521711609064475E-2</v>
      </c>
      <c r="K530" s="5">
        <f>(Cotacoes!K530-Cotacoes!K529)/Cotacoes!K529</f>
        <v>4.2444821731749335E-3</v>
      </c>
      <c r="L530" s="5">
        <f>(Cotacoes!L530-Cotacoes!L529)/Cotacoes!L529</f>
        <v>-1.2997562956945584E-2</v>
      </c>
      <c r="M530" s="5">
        <f>(Cotacoes!M530-Cotacoes!M529)/Cotacoes!M529</f>
        <v>-5.862646566164178E-3</v>
      </c>
      <c r="N530" s="5">
        <f>(Cotacoes!N530-Cotacoes!N529)/Cotacoes!N529</f>
        <v>4.6948356807512822E-3</v>
      </c>
      <c r="O530" s="5">
        <f>(Cotacoes!O530-Cotacoes!O529)/Cotacoes!O529</f>
        <v>-8.8731144631763867E-4</v>
      </c>
      <c r="P530" s="5">
        <f>(Cotacoes!P530-Cotacoes!P529)/Cotacoes!P529</f>
        <v>-4.8266783677051095E-3</v>
      </c>
      <c r="Q530" s="5">
        <f>(Cotacoes!Q530-Cotacoes!Q529)/Cotacoes!Q529</f>
        <v>1.5732546705997698E-3</v>
      </c>
      <c r="R530" s="5">
        <f>(Cotacoes!R530-Cotacoes!R529)/Cotacoes!R529</f>
        <v>-8.1300813008129847E-3</v>
      </c>
      <c r="S530" s="5">
        <f>(Cotacoes!S530-Cotacoes!S529)/Cotacoes!S529</f>
        <v>1.8755582018457739E-2</v>
      </c>
      <c r="T530" s="5">
        <f>(Cotacoes!T530-Cotacoes!T529)/Cotacoes!T529</f>
        <v>4.7473560517038854E-2</v>
      </c>
      <c r="U530" s="5">
        <f>(Cotacoes!U530-Cotacoes!U529)/Cotacoes!U529</f>
        <v>2.4655845490034402E-3</v>
      </c>
      <c r="V530" s="5">
        <f>(Cotacoes!V530-Cotacoes!V529)/Cotacoes!V529</f>
        <v>7.0726915520628571E-3</v>
      </c>
      <c r="W530" s="5"/>
    </row>
    <row r="531" spans="1:23" x14ac:dyDescent="0.2">
      <c r="A531" s="4">
        <v>45338</v>
      </c>
      <c r="B531" s="5">
        <f>(Cotacoes!B531-Cotacoes!B530)/Cotacoes!B530</f>
        <v>-1.0223998512872891E-3</v>
      </c>
      <c r="C531" s="5">
        <f>(Cotacoes!C531-Cotacoes!C530)/Cotacoes!C530</f>
        <v>3.3138401559454148E-2</v>
      </c>
      <c r="D531" s="5">
        <f>(Cotacoes!D531-Cotacoes!D530)/Cotacoes!D530</f>
        <v>9.1391509433960839E-3</v>
      </c>
      <c r="E531" s="5">
        <f>(Cotacoes!E531-Cotacoes!E530)/Cotacoes!E530</f>
        <v>-1.4477017734346417E-3</v>
      </c>
      <c r="F531" s="5">
        <f>(Cotacoes!F531-Cotacoes!F530)/Cotacoes!F530</f>
        <v>1.8371961560203463E-2</v>
      </c>
      <c r="G531" s="5">
        <f>(Cotacoes!G531-Cotacoes!G530)/Cotacoes!G530</f>
        <v>5.605730302086569E-3</v>
      </c>
      <c r="H531" s="5">
        <f>(Cotacoes!H531-Cotacoes!H530)/Cotacoes!H530</f>
        <v>-8.4942084942084516E-3</v>
      </c>
      <c r="I531" s="5">
        <f>(Cotacoes!I531-Cotacoes!I530)/Cotacoes!I530</f>
        <v>-8.7358684480987516E-3</v>
      </c>
      <c r="J531" s="5">
        <f>(Cotacoes!J531-Cotacoes!J530)/Cotacoes!J530</f>
        <v>9.2948320733672075E-3</v>
      </c>
      <c r="K531" s="5">
        <f>(Cotacoes!K531-Cotacoes!K530)/Cotacoes!K530</f>
        <v>3.3812341504648475E-3</v>
      </c>
      <c r="L531" s="5">
        <f>(Cotacoes!L531-Cotacoes!L530)/Cotacoes!L530</f>
        <v>3.2921810699587774E-3</v>
      </c>
      <c r="M531" s="5">
        <f>(Cotacoes!M531-Cotacoes!M530)/Cotacoes!M530</f>
        <v>-6.7396798652064093E-3</v>
      </c>
      <c r="N531" s="5">
        <f>(Cotacoes!N531-Cotacoes!N530)/Cotacoes!N530</f>
        <v>4.6728971962615821E-3</v>
      </c>
      <c r="O531" s="5">
        <f>(Cotacoes!O531-Cotacoes!O530)/Cotacoes!O530</f>
        <v>-3.1083481349911315E-3</v>
      </c>
      <c r="P531" s="5">
        <f>(Cotacoes!P531-Cotacoes!P530)/Cotacoes!P530</f>
        <v>-8.3774250440917675E-3</v>
      </c>
      <c r="Q531" s="5">
        <f>(Cotacoes!Q531-Cotacoes!Q530)/Cotacoes!Q530</f>
        <v>1.3744354997054837E-2</v>
      </c>
      <c r="R531" s="5">
        <f>(Cotacoes!R531-Cotacoes!R530)/Cotacoes!R530</f>
        <v>-8.196721311475386E-3</v>
      </c>
      <c r="S531" s="5">
        <f>(Cotacoes!S531-Cotacoes!S530)/Cotacoes!S530</f>
        <v>-9.3512565751022875E-3</v>
      </c>
      <c r="T531" s="5">
        <f>(Cotacoes!T531-Cotacoes!T530)/Cotacoes!T530</f>
        <v>1.8622391743325067E-2</v>
      </c>
      <c r="U531" s="5">
        <f>(Cotacoes!U531-Cotacoes!U530)/Cotacoes!U530</f>
        <v>-5.3289608526336961E-3</v>
      </c>
      <c r="V531" s="5">
        <f>(Cotacoes!V531-Cotacoes!V530)/Cotacoes!V530</f>
        <v>-4.6820132657041536E-3</v>
      </c>
      <c r="W531" s="5"/>
    </row>
    <row r="532" spans="1:23" x14ac:dyDescent="0.2">
      <c r="A532" s="4">
        <v>45341</v>
      </c>
      <c r="B532" s="5">
        <f>(Cotacoes!B532-Cotacoes!B531)/Cotacoes!B531</f>
        <v>7.0710829921845075E-3</v>
      </c>
      <c r="C532" s="5">
        <f>(Cotacoes!C532-Cotacoes!C531)/Cotacoes!C531</f>
        <v>-2.9159519725556536E-3</v>
      </c>
      <c r="D532" s="5">
        <f>(Cotacoes!D532-Cotacoes!D531)/Cotacoes!D531</f>
        <v>4.9664037394099242E-3</v>
      </c>
      <c r="E532" s="5">
        <f>(Cotacoes!E532-Cotacoes!E531)/Cotacoes!E531</f>
        <v>1.1235955056179728E-2</v>
      </c>
      <c r="F532" s="5">
        <f>(Cotacoes!F532-Cotacoes!F531)/Cotacoes!F531</f>
        <v>4.163197335553666E-3</v>
      </c>
      <c r="G532" s="5">
        <f>(Cotacoes!G532-Cotacoes!G531)/Cotacoes!G531</f>
        <v>2.7872406317746489E-3</v>
      </c>
      <c r="H532" s="5">
        <f>(Cotacoes!H532-Cotacoes!H531)/Cotacoes!H531</f>
        <v>1.8302180685358212E-2</v>
      </c>
      <c r="I532" s="5">
        <f>(Cotacoes!I532-Cotacoes!I531)/Cotacoes!I531</f>
        <v>8.0352514256091835E-3</v>
      </c>
      <c r="J532" s="5">
        <f>(Cotacoes!J532-Cotacoes!J531)/Cotacoes!J531</f>
        <v>5.4027504911591077E-3</v>
      </c>
      <c r="K532" s="5">
        <f>(Cotacoes!K532-Cotacoes!K531)/Cotacoes!K531</f>
        <v>1.2636899747262035E-2</v>
      </c>
      <c r="L532" s="5">
        <f>(Cotacoes!L532-Cotacoes!L531)/Cotacoes!L531</f>
        <v>-3.2813781788350411E-3</v>
      </c>
      <c r="M532" s="5">
        <f>(Cotacoes!M532-Cotacoes!M531)/Cotacoes!M531</f>
        <v>3.3927056827820971E-3</v>
      </c>
      <c r="N532" s="5">
        <f>(Cotacoes!N532-Cotacoes!N531)/Cotacoes!N531</f>
        <v>6.9767441860465696E-3</v>
      </c>
      <c r="O532" s="5">
        <f>(Cotacoes!O532-Cotacoes!O531)/Cotacoes!O531</f>
        <v>-1.0690423162583449E-2</v>
      </c>
      <c r="P532" s="5">
        <f>(Cotacoes!P532-Cotacoes!P531)/Cotacoes!P531</f>
        <v>7.5589150733660166E-3</v>
      </c>
      <c r="Q532" s="5">
        <f>(Cotacoes!Q532-Cotacoes!Q531)/Cotacoes!Q531</f>
        <v>-1.9368584156508067E-4</v>
      </c>
      <c r="R532" s="5">
        <f>(Cotacoes!R532-Cotacoes!R531)/Cotacoes!R531</f>
        <v>1.282416642918198E-2</v>
      </c>
      <c r="S532" s="5">
        <f>(Cotacoes!S532-Cotacoes!S531)/Cotacoes!S531</f>
        <v>2.6548672566372687E-3</v>
      </c>
      <c r="T532" s="5">
        <f>(Cotacoes!T532-Cotacoes!T531)/Cotacoes!T531</f>
        <v>1.0792951541850265E-2</v>
      </c>
      <c r="U532" s="5">
        <f>(Cotacoes!U532-Cotacoes!U531)/Cotacoes!U531</f>
        <v>1.3599835153513221E-2</v>
      </c>
      <c r="V532" s="5">
        <f>(Cotacoes!V532-Cotacoes!V531)/Cotacoes!V531</f>
        <v>-4.1552332418659438E-2</v>
      </c>
      <c r="W532" s="5"/>
    </row>
    <row r="533" spans="1:23" x14ac:dyDescent="0.2">
      <c r="A533" s="4">
        <v>45342</v>
      </c>
      <c r="B533" s="5">
        <f>(Cotacoes!B533-Cotacoes!B532)/Cotacoes!B532</f>
        <v>1.84774575018572E-4</v>
      </c>
      <c r="C533" s="5">
        <f>(Cotacoes!C533-Cotacoes!C532)/Cotacoes!C532</f>
        <v>-2.1847583003612645E-2</v>
      </c>
      <c r="D533" s="5">
        <f>(Cotacoes!D533-Cotacoes!D532)/Cotacoes!D532</f>
        <v>-1.0465116279069752E-2</v>
      </c>
      <c r="E533" s="5">
        <f>(Cotacoes!E533-Cotacoes!E532)/Cotacoes!E532</f>
        <v>2.1863799283154229E-2</v>
      </c>
      <c r="F533" s="5">
        <f>(Cotacoes!F533-Cotacoes!F532)/Cotacoes!F532</f>
        <v>-1.9900497512437779E-2</v>
      </c>
      <c r="G533" s="5">
        <f>(Cotacoes!G533-Cotacoes!G532)/Cotacoes!G532</f>
        <v>2.316244595429277E-2</v>
      </c>
      <c r="H533" s="5">
        <f>(Cotacoes!H533-Cotacoes!H532)/Cotacoes!H532</f>
        <v>6.5009560229446163E-3</v>
      </c>
      <c r="I533" s="5">
        <f>(Cotacoes!I533-Cotacoes!I532)/Cotacoes!I532</f>
        <v>3.7798920030856234E-2</v>
      </c>
      <c r="J533" s="5">
        <f>(Cotacoes!J533-Cotacoes!J532)/Cotacoes!J532</f>
        <v>-5.3737176355642133E-3</v>
      </c>
      <c r="K533" s="5">
        <f>(Cotacoes!K533-Cotacoes!K532)/Cotacoes!K532</f>
        <v>2.4126455906822043E-2</v>
      </c>
      <c r="L533" s="5">
        <f>(Cotacoes!L533-Cotacoes!L532)/Cotacoes!L532</f>
        <v>1.9753086419753103E-2</v>
      </c>
      <c r="M533" s="5">
        <f>(Cotacoes!M533-Cotacoes!M532)/Cotacoes!M532</f>
        <v>3.3812341504648475E-3</v>
      </c>
      <c r="N533" s="5">
        <f>(Cotacoes!N533-Cotacoes!N532)/Cotacoes!N532</f>
        <v>3.1177829099307108E-2</v>
      </c>
      <c r="O533" s="5">
        <f>(Cotacoes!O533-Cotacoes!O532)/Cotacoes!O532</f>
        <v>4.5024763619982034E-4</v>
      </c>
      <c r="P533" s="5">
        <f>(Cotacoes!P533-Cotacoes!P532)/Cotacoes!P532</f>
        <v>3.9717563989408585E-3</v>
      </c>
      <c r="Q533" s="5">
        <f>(Cotacoes!Q533-Cotacoes!Q532)/Cotacoes!Q532</f>
        <v>1.549786904300667E-2</v>
      </c>
      <c r="R533" s="5">
        <f>(Cotacoes!R533-Cotacoes!R532)/Cotacoes!R532</f>
        <v>1.1536297129994476E-2</v>
      </c>
      <c r="S533" s="5">
        <f>(Cotacoes!S533-Cotacoes!S532)/Cotacoes!S532</f>
        <v>8.2377169755810855E-3</v>
      </c>
      <c r="T533" s="5">
        <f>(Cotacoes!T533-Cotacoes!T532)/Cotacoes!T532</f>
        <v>5.0119851819567848E-3</v>
      </c>
      <c r="U533" s="5">
        <f>(Cotacoes!U533-Cotacoes!U532)/Cotacoes!U532</f>
        <v>2.805448261841843E-2</v>
      </c>
      <c r="V533" s="5">
        <f>(Cotacoes!V533-Cotacoes!V532)/Cotacoes!V532</f>
        <v>2.0040899795501103E-2</v>
      </c>
      <c r="W533" s="5"/>
    </row>
    <row r="534" spans="1:23" x14ac:dyDescent="0.2">
      <c r="A534" s="4">
        <v>45343</v>
      </c>
      <c r="B534" s="5">
        <f>(Cotacoes!B534-Cotacoes!B533)/Cotacoes!B533</f>
        <v>1.8474043968223592E-3</v>
      </c>
      <c r="C534" s="5">
        <f>(Cotacoes!C534-Cotacoes!C533)/Cotacoes!C533</f>
        <v>7.5624340485402697E-3</v>
      </c>
      <c r="D534" s="5">
        <f>(Cotacoes!D534-Cotacoes!D533)/Cotacoes!D533</f>
        <v>1.1750881316098458E-3</v>
      </c>
      <c r="E534" s="5">
        <f>(Cotacoes!E534-Cotacoes!E533)/Cotacoes!E533</f>
        <v>-5.6120659417748207E-3</v>
      </c>
      <c r="F534" s="5">
        <f>(Cotacoes!F534-Cotacoes!F533)/Cotacoes!F533</f>
        <v>2.5380710659897434E-3</v>
      </c>
      <c r="G534" s="5">
        <f>(Cotacoes!G534-Cotacoes!G533)/Cotacoes!G533</f>
        <v>6.8819800784787014E-2</v>
      </c>
      <c r="H534" s="5">
        <f>(Cotacoes!H534-Cotacoes!H533)/Cotacoes!H533</f>
        <v>2.2796352583586139E-3</v>
      </c>
      <c r="I534" s="5">
        <f>(Cotacoes!I534-Cotacoes!I533)/Cotacoes!I533</f>
        <v>-1.9573835480673915E-2</v>
      </c>
      <c r="J534" s="5">
        <f>(Cotacoes!J534-Cotacoes!J533)/Cotacoes!J533</f>
        <v>-2.1488212180746563E-2</v>
      </c>
      <c r="K534" s="5">
        <f>(Cotacoes!K534-Cotacoes!K533)/Cotacoes!K533</f>
        <v>-4.0617384240455492E-3</v>
      </c>
      <c r="L534" s="5">
        <f>(Cotacoes!L534-Cotacoes!L533)/Cotacoes!L533</f>
        <v>-9.6852300242131553E-3</v>
      </c>
      <c r="M534" s="5">
        <f>(Cotacoes!M534-Cotacoes!M533)/Cotacoes!M533</f>
        <v>4.2122999157540621E-3</v>
      </c>
      <c r="N534" s="5">
        <f>(Cotacoes!N534-Cotacoes!N533)/Cotacoes!N533</f>
        <v>-1.3437849944008871E-2</v>
      </c>
      <c r="O534" s="5">
        <f>(Cotacoes!O534-Cotacoes!O533)/Cotacoes!O533</f>
        <v>-1.8001800180017619E-3</v>
      </c>
      <c r="P534" s="5">
        <f>(Cotacoes!P534-Cotacoes!P533)/Cotacoes!P533</f>
        <v>-1.186813186813185E-2</v>
      </c>
      <c r="Q534" s="5">
        <f>(Cotacoes!Q534-Cotacoes!Q533)/Cotacoes!Q533</f>
        <v>2.6135062953071296E-2</v>
      </c>
      <c r="R534" s="5">
        <f>(Cotacoes!R534-Cotacoes!R533)/Cotacoes!R533</f>
        <v>1.9193324061196042E-2</v>
      </c>
      <c r="S534" s="5">
        <f>(Cotacoes!S534-Cotacoes!S533)/Cotacoes!S533</f>
        <v>-1.6632623285672606E-2</v>
      </c>
      <c r="T534" s="5">
        <f>(Cotacoes!T534-Cotacoes!T533)/Cotacoes!T533</f>
        <v>1.9080659150043422E-2</v>
      </c>
      <c r="U534" s="5">
        <f>(Cotacoes!U534-Cotacoes!U533)/Cotacoes!U533</f>
        <v>-1.5819655922483349E-3</v>
      </c>
      <c r="V534" s="5">
        <f>(Cotacoes!V534-Cotacoes!V533)/Cotacoes!V533</f>
        <v>-1.0425020048115539E-2</v>
      </c>
      <c r="W534" s="5"/>
    </row>
    <row r="535" spans="1:23" x14ac:dyDescent="0.2">
      <c r="A535" s="4">
        <v>45344</v>
      </c>
      <c r="B535" s="5">
        <f>(Cotacoes!B535-Cotacoes!B534)/Cotacoes!B534</f>
        <v>-4.6099944680066387E-3</v>
      </c>
      <c r="C535" s="5">
        <f>(Cotacoes!C535-Cotacoes!C534)/Cotacoes!C534</f>
        <v>1.064758247512654E-2</v>
      </c>
      <c r="D535" s="5">
        <f>(Cotacoes!D535-Cotacoes!D534)/Cotacoes!D534</f>
        <v>-7.335680751173709E-3</v>
      </c>
      <c r="E535" s="5">
        <f>(Cotacoes!E535-Cotacoes!E534)/Cotacoes!E534</f>
        <v>-5.9964726631393898E-3</v>
      </c>
      <c r="F535" s="5">
        <f>(Cotacoes!F535-Cotacoes!F534)/Cotacoes!F534</f>
        <v>5.625879043601442E-4</v>
      </c>
      <c r="G535" s="5">
        <f>(Cotacoes!G535-Cotacoes!G534)/Cotacoes!G534</f>
        <v>-3.1629483196836984E-2</v>
      </c>
      <c r="H535" s="5">
        <f>(Cotacoes!H535-Cotacoes!H534)/Cotacoes!H534</f>
        <v>-9.8559514783926466E-3</v>
      </c>
      <c r="I535" s="5">
        <f>(Cotacoes!I535-Cotacoes!I534)/Cotacoes!I534</f>
        <v>-2.2744503411676375E-3</v>
      </c>
      <c r="J535" s="5">
        <f>(Cotacoes!J535-Cotacoes!J534)/Cotacoes!J534</f>
        <v>1.367800225875271E-2</v>
      </c>
      <c r="K535" s="5">
        <f>(Cotacoes!K535-Cotacoes!K534)/Cotacoes!K534</f>
        <v>5.7096247960848516E-3</v>
      </c>
      <c r="L535" s="5">
        <f>(Cotacoes!L535-Cotacoes!L534)/Cotacoes!L534</f>
        <v>-1.303993480032601E-2</v>
      </c>
      <c r="M535" s="5">
        <f>(Cotacoes!M535-Cotacoes!M534)/Cotacoes!M534</f>
        <v>4.1946308724832813E-3</v>
      </c>
      <c r="N535" s="5">
        <f>(Cotacoes!N535-Cotacoes!N534)/Cotacoes!N534</f>
        <v>3.4052213393869872E-3</v>
      </c>
      <c r="O535" s="5">
        <f>(Cotacoes!O535-Cotacoes!O534)/Cotacoes!O534</f>
        <v>-2.5698827772768273E-2</v>
      </c>
      <c r="P535" s="5">
        <f>(Cotacoes!P535-Cotacoes!P534)/Cotacoes!P534</f>
        <v>1.201067615658361E-2</v>
      </c>
      <c r="Q535" s="5">
        <f>(Cotacoes!Q535-Cotacoes!Q534)/Cotacoes!Q534</f>
        <v>8.3658672615728354E-3</v>
      </c>
      <c r="R535" s="5">
        <f>(Cotacoes!R535-Cotacoes!R534)/Cotacoes!R534</f>
        <v>-5.4585152838428725E-3</v>
      </c>
      <c r="S535" s="5">
        <f>(Cotacoes!S535-Cotacoes!S534)/Cotacoes!S534</f>
        <v>-6.2314540059347431E-3</v>
      </c>
      <c r="T535" s="5">
        <f>(Cotacoes!T535-Cotacoes!T534)/Cotacoes!T534</f>
        <v>-1.0638297872339821E-3</v>
      </c>
      <c r="U535" s="5">
        <f>(Cotacoes!U535-Cotacoes!U534)/Cotacoes!U534</f>
        <v>-8.1204198851258409E-3</v>
      </c>
      <c r="V535" s="5">
        <f>(Cotacoes!V535-Cotacoes!V534)/Cotacoes!V534</f>
        <v>-4.0518638573735859E-4</v>
      </c>
      <c r="W535" s="5"/>
    </row>
    <row r="536" spans="1:23" x14ac:dyDescent="0.2">
      <c r="A536" s="4">
        <v>45345</v>
      </c>
      <c r="B536" s="5">
        <f>(Cotacoes!B536-Cotacoes!B535)/Cotacoes!B535</f>
        <v>3.0566876620971889E-3</v>
      </c>
      <c r="C536" s="5">
        <f>(Cotacoes!C536-Cotacoes!C535)/Cotacoes!C535</f>
        <v>2.4179620034542413E-3</v>
      </c>
      <c r="D536" s="5">
        <f>(Cotacoes!D536-Cotacoes!D535)/Cotacoes!D535</f>
        <v>-7.0942950044337837E-3</v>
      </c>
      <c r="E536" s="5">
        <f>(Cotacoes!E536-Cotacoes!E535)/Cotacoes!E535</f>
        <v>3.1937544357700447E-3</v>
      </c>
      <c r="F536" s="5">
        <f>(Cotacoes!F536-Cotacoes!F535)/Cotacoes!F535</f>
        <v>-2.8113578858589097E-3</v>
      </c>
      <c r="G536" s="5">
        <f>(Cotacoes!G536-Cotacoes!G535)/Cotacoes!G535</f>
        <v>1.4289880431612773E-2</v>
      </c>
      <c r="H536" s="5">
        <f>(Cotacoes!H536-Cotacoes!H535)/Cotacoes!H535</f>
        <v>-1.2633996937212934E-2</v>
      </c>
      <c r="I536" s="5">
        <f>(Cotacoes!I536-Cotacoes!I535)/Cotacoes!I535</f>
        <v>-8.1053698074974746E-3</v>
      </c>
      <c r="J536" s="5">
        <f>(Cotacoes!J536-Cotacoes!J535)/Cotacoes!J535</f>
        <v>-7.3037880663530995E-3</v>
      </c>
      <c r="K536" s="5">
        <f>(Cotacoes!K536-Cotacoes!K535)/Cotacoes!K535</f>
        <v>-1.2976480129764812E-2</v>
      </c>
      <c r="L536" s="5">
        <f>(Cotacoes!L536-Cotacoes!L535)/Cotacoes!L535</f>
        <v>-1.5689512799339347E-2</v>
      </c>
      <c r="M536" s="5">
        <f>(Cotacoes!M536-Cotacoes!M535)/Cotacoes!M535</f>
        <v>-5.0125313283208434E-3</v>
      </c>
      <c r="N536" s="5">
        <f>(Cotacoes!N536-Cotacoes!N535)/Cotacoes!N535</f>
        <v>-1.2443438914027086E-2</v>
      </c>
      <c r="O536" s="5">
        <f>(Cotacoes!O536-Cotacoes!O535)/Cotacoes!O535</f>
        <v>-1.6658954187875958E-2</v>
      </c>
      <c r="P536" s="5">
        <f>(Cotacoes!P536-Cotacoes!P535)/Cotacoes!P535</f>
        <v>-1.7582417582417207E-3</v>
      </c>
      <c r="Q536" s="5">
        <f>(Cotacoes!Q536-Cotacoes!Q535)/Cotacoes!Q535</f>
        <v>-8.2964601769912032E-3</v>
      </c>
      <c r="R536" s="5">
        <f>(Cotacoes!R536-Cotacoes!R535)/Cotacoes!R535</f>
        <v>-2.3051591657519108E-2</v>
      </c>
      <c r="S536" s="5">
        <f>(Cotacoes!S536-Cotacoes!S535)/Cotacoes!S535</f>
        <v>3.2845625559868447E-3</v>
      </c>
      <c r="T536" s="5">
        <f>(Cotacoes!T536-Cotacoes!T535)/Cotacoes!T535</f>
        <v>-2.4494142705005443E-2</v>
      </c>
      <c r="U536" s="5">
        <f>(Cotacoes!U536-Cotacoes!U535)/Cotacoes!U535</f>
        <v>-5.9904153354632022E-3</v>
      </c>
      <c r="V536" s="5">
        <f>(Cotacoes!V536-Cotacoes!V535)/Cotacoes!V535</f>
        <v>-1.7430077016619507E-2</v>
      </c>
      <c r="W536" s="5"/>
    </row>
    <row r="537" spans="1:23" x14ac:dyDescent="0.2">
      <c r="A537" s="4">
        <v>45348</v>
      </c>
      <c r="B537" s="5">
        <f>(Cotacoes!B537-Cotacoes!B536)/Cotacoes!B536</f>
        <v>1.3020592852525593E-2</v>
      </c>
      <c r="C537" s="5">
        <f>(Cotacoes!C537-Cotacoes!C536)/Cotacoes!C536</f>
        <v>-2.4293590627153628E-2</v>
      </c>
      <c r="D537" s="5">
        <f>(Cotacoes!D537-Cotacoes!D536)/Cotacoes!D536</f>
        <v>1.905328966954431E-2</v>
      </c>
      <c r="E537" s="5">
        <f>(Cotacoes!E537-Cotacoes!E536)/Cotacoes!E536</f>
        <v>2.8298549699328564E-3</v>
      </c>
      <c r="F537" s="5">
        <f>(Cotacoes!F537-Cotacoes!F536)/Cotacoes!F536</f>
        <v>1.071327882717797E-2</v>
      </c>
      <c r="G537" s="5">
        <f>(Cotacoes!G537-Cotacoes!G536)/Cotacoes!G536</f>
        <v>2.501437607820579E-2</v>
      </c>
      <c r="H537" s="5">
        <f>(Cotacoes!H537-Cotacoes!H536)/Cotacoes!H536</f>
        <v>9.6936797208220238E-3</v>
      </c>
      <c r="I537" s="5">
        <f>(Cotacoes!I537-Cotacoes!I536)/Cotacoes!I536</f>
        <v>1.2768130745659926E-3</v>
      </c>
      <c r="J537" s="5">
        <f>(Cotacoes!J537-Cotacoes!J536)/Cotacoes!J536</f>
        <v>8.729267988528169E-4</v>
      </c>
      <c r="K537" s="5">
        <f>(Cotacoes!K537-Cotacoes!K536)/Cotacoes!K536</f>
        <v>-8.2169268693506878E-4</v>
      </c>
      <c r="L537" s="5">
        <f>(Cotacoes!L537-Cotacoes!L536)/Cotacoes!L536</f>
        <v>2.5167785234898794E-3</v>
      </c>
      <c r="M537" s="5">
        <f>(Cotacoes!M537-Cotacoes!M536)/Cotacoes!M536</f>
        <v>1.1754827875734725E-2</v>
      </c>
      <c r="N537" s="5">
        <f>(Cotacoes!N537-Cotacoes!N536)/Cotacoes!N536</f>
        <v>-1.1454753722794715E-3</v>
      </c>
      <c r="O537" s="5">
        <f>(Cotacoes!O537-Cotacoes!O536)/Cotacoes!O536</f>
        <v>4.1882352941176496E-2</v>
      </c>
      <c r="P537" s="5">
        <f>(Cotacoes!P537-Cotacoes!P536)/Cotacoes!P536</f>
        <v>4.8436811977102343E-3</v>
      </c>
      <c r="Q537" s="5">
        <f>(Cotacoes!Q537-Cotacoes!Q536)/Cotacoes!Q536</f>
        <v>1.52444692321993E-2</v>
      </c>
      <c r="R537" s="5">
        <f>(Cotacoes!R537-Cotacoes!R536)/Cotacoes!R536</f>
        <v>0</v>
      </c>
      <c r="S537" s="5">
        <f>(Cotacoes!S537-Cotacoes!S536)/Cotacoes!S536</f>
        <v>-8.9285714285717666E-4</v>
      </c>
      <c r="T537" s="5">
        <f>(Cotacoes!T537-Cotacoes!T536)/Cotacoes!T536</f>
        <v>1.3100436681223204E-3</v>
      </c>
      <c r="U537" s="5">
        <f>(Cotacoes!U537-Cotacoes!U536)/Cotacoes!U536</f>
        <v>-2.0691040578545622E-2</v>
      </c>
      <c r="V537" s="5">
        <f>(Cotacoes!V537-Cotacoes!V536)/Cotacoes!V536</f>
        <v>-4.1254125412540374E-3</v>
      </c>
      <c r="W537" s="5"/>
    </row>
    <row r="538" spans="1:23" x14ac:dyDescent="0.2">
      <c r="A538" s="4">
        <v>45349</v>
      </c>
      <c r="B538" s="5">
        <f>(Cotacoes!B538-Cotacoes!B537)/Cotacoes!B537</f>
        <v>-1.1850501367365516E-2</v>
      </c>
      <c r="C538" s="5">
        <f>(Cotacoes!C538-Cotacoes!C537)/Cotacoes!C537</f>
        <v>2.6311142503973067E-2</v>
      </c>
      <c r="D538" s="5">
        <f>(Cotacoes!D538-Cotacoes!D537)/Cotacoes!D537</f>
        <v>-1.4607069821792919E-3</v>
      </c>
      <c r="E538" s="5">
        <f>(Cotacoes!E538-Cotacoes!E537)/Cotacoes!E537</f>
        <v>1.2345679012345604E-2</v>
      </c>
      <c r="F538" s="5">
        <f>(Cotacoes!F538-Cotacoes!F537)/Cotacoes!F537</f>
        <v>-2.51046025104612E-3</v>
      </c>
      <c r="G538" s="5">
        <f>(Cotacoes!G538-Cotacoes!G537)/Cotacoes!G537</f>
        <v>1.0659186535764448E-2</v>
      </c>
      <c r="H538" s="5">
        <f>(Cotacoes!H538-Cotacoes!H537)/Cotacoes!H537</f>
        <v>1.2288786482334882E-2</v>
      </c>
      <c r="I538" s="5">
        <f>(Cotacoes!I538-Cotacoes!I537)/Cotacoes!I537</f>
        <v>2.1423106350420718E-2</v>
      </c>
      <c r="J538" s="5">
        <f>(Cotacoes!J538-Cotacoes!J537)/Cotacoes!J537</f>
        <v>-7.7248940941939265E-3</v>
      </c>
      <c r="K538" s="5">
        <f>(Cotacoes!K538-Cotacoes!K537)/Cotacoes!K537</f>
        <v>1.5624999999999958E-2</v>
      </c>
      <c r="L538" s="5">
        <f>(Cotacoes!L538-Cotacoes!L537)/Cotacoes!L537</f>
        <v>2.1757322175732351E-2</v>
      </c>
      <c r="M538" s="5">
        <f>(Cotacoes!M538-Cotacoes!M537)/Cotacoes!M537</f>
        <v>2.0746887966804978E-2</v>
      </c>
      <c r="N538" s="5">
        <f>(Cotacoes!N538-Cotacoes!N537)/Cotacoes!N537</f>
        <v>1.8348623853211024E-2</v>
      </c>
      <c r="O538" s="5">
        <f>(Cotacoes!O538-Cotacoes!O537)/Cotacoes!O537</f>
        <v>3.4327009936765941E-2</v>
      </c>
      <c r="P538" s="5">
        <f>(Cotacoes!P538-Cotacoes!P537)/Cotacoes!P537</f>
        <v>2.6730937773882534E-2</v>
      </c>
      <c r="Q538" s="5">
        <f>(Cotacoes!Q538-Cotacoes!Q537)/Cotacoes!Q537</f>
        <v>1.2451931880607942E-2</v>
      </c>
      <c r="R538" s="5">
        <f>(Cotacoes!R538-Cotacoes!R537)/Cotacoes!R537</f>
        <v>-1.0674157303370858E-2</v>
      </c>
      <c r="S538" s="5">
        <f>(Cotacoes!S538-Cotacoes!S537)/Cotacoes!S537</f>
        <v>1.2809055704498055E-2</v>
      </c>
      <c r="T538" s="5">
        <f>(Cotacoes!T538-Cotacoes!T537)/Cotacoes!T537</f>
        <v>-1.0030527692978649E-2</v>
      </c>
      <c r="U538" s="5">
        <f>(Cotacoes!U538-Cotacoes!U537)/Cotacoes!U537</f>
        <v>4.635897435897432E-2</v>
      </c>
      <c r="V538" s="5">
        <f>(Cotacoes!V538-Cotacoes!V537)/Cotacoes!V537</f>
        <v>4.1425020712510356E-2</v>
      </c>
      <c r="W538" s="5"/>
    </row>
    <row r="539" spans="1:23" x14ac:dyDescent="0.2">
      <c r="A539" s="4">
        <v>45350</v>
      </c>
      <c r="B539" s="5">
        <f>(Cotacoes!B539-Cotacoes!B538)/Cotacoes!B538</f>
        <v>-8.763837638376409E-3</v>
      </c>
      <c r="C539" s="5">
        <f>(Cotacoes!C539-Cotacoes!C538)/Cotacoes!C538</f>
        <v>-1.083964211975216E-2</v>
      </c>
      <c r="D539" s="5">
        <f>(Cotacoes!D539-Cotacoes!D538)/Cotacoes!D538</f>
        <v>-5.1492100643651201E-2</v>
      </c>
      <c r="E539" s="5">
        <f>(Cotacoes!E539-Cotacoes!E538)/Cotacoes!E538</f>
        <v>3.484320557491834E-4</v>
      </c>
      <c r="F539" s="5">
        <f>(Cotacoes!F539-Cotacoes!F538)/Cotacoes!F538</f>
        <v>-5.3970917225950779E-2</v>
      </c>
      <c r="G539" s="5">
        <f>(Cotacoes!G539-Cotacoes!G538)/Cotacoes!G538</f>
        <v>-1.3877324451846867E-3</v>
      </c>
      <c r="H539" s="5">
        <f>(Cotacoes!H539-Cotacoes!H538)/Cotacoes!H538</f>
        <v>1.8968133535660361E-3</v>
      </c>
      <c r="I539" s="5">
        <f>(Cotacoes!I539-Cotacoes!I538)/Cotacoes!I538</f>
        <v>-4.7440699126091819E-3</v>
      </c>
      <c r="J539" s="5">
        <f>(Cotacoes!J539-Cotacoes!J538)/Cotacoes!J538</f>
        <v>-1.1300853842290735E-3</v>
      </c>
      <c r="K539" s="5">
        <f>(Cotacoes!K539-Cotacoes!K538)/Cotacoes!K538</f>
        <v>-4.0485829959513312E-3</v>
      </c>
      <c r="L539" s="5">
        <f>(Cotacoes!L539-Cotacoes!L538)/Cotacoes!L538</f>
        <v>-8.1900081900083063E-3</v>
      </c>
      <c r="M539" s="5">
        <f>(Cotacoes!M539-Cotacoes!M538)/Cotacoes!M538</f>
        <v>1.0569105691056829E-2</v>
      </c>
      <c r="N539" s="5">
        <f>(Cotacoes!N539-Cotacoes!N538)/Cotacoes!N538</f>
        <v>3.3783783783783061E-3</v>
      </c>
      <c r="O539" s="5">
        <f>(Cotacoes!O539-Cotacoes!O538)/Cotacoes!O538</f>
        <v>-1.9650655021834031E-2</v>
      </c>
      <c r="P539" s="5">
        <f>(Cotacoes!P539-Cotacoes!P538)/Cotacoes!P538</f>
        <v>2.091335894152804E-2</v>
      </c>
      <c r="Q539" s="5">
        <f>(Cotacoes!Q539-Cotacoes!Q538)/Cotacoes!Q538</f>
        <v>9.9475492855851735E-3</v>
      </c>
      <c r="R539" s="5">
        <f>(Cotacoes!R539-Cotacoes!R538)/Cotacoes!R538</f>
        <v>-4.5428733674047865E-3</v>
      </c>
      <c r="S539" s="5">
        <f>(Cotacoes!S539-Cotacoes!S538)/Cotacoes!S538</f>
        <v>5.8823529411765538E-3</v>
      </c>
      <c r="T539" s="5">
        <f>(Cotacoes!T539-Cotacoes!T538)/Cotacoes!T538</f>
        <v>-1.9823788546255477E-2</v>
      </c>
      <c r="U539" s="5">
        <f>(Cotacoes!U539-Cotacoes!U538)/Cotacoes!U538</f>
        <v>-1.1762399529504046E-2</v>
      </c>
      <c r="V539" s="5">
        <f>(Cotacoes!V539-Cotacoes!V538)/Cotacoes!V538</f>
        <v>-2.9037390612569627E-2</v>
      </c>
      <c r="W539" s="5"/>
    </row>
    <row r="540" spans="1:23" x14ac:dyDescent="0.2">
      <c r="A540" s="4">
        <v>45351</v>
      </c>
      <c r="B540" s="5">
        <f>(Cotacoes!B540-Cotacoes!B539)/Cotacoes!B539</f>
        <v>2.3266635644485808E-3</v>
      </c>
      <c r="C540" s="5">
        <f>(Cotacoes!C540-Cotacoes!C539)/Cotacoes!C539</f>
        <v>3.6528091842059638E-3</v>
      </c>
      <c r="D540" s="5">
        <f>(Cotacoes!D540-Cotacoes!D539)/Cotacoes!D539</f>
        <v>-7.4028377544726092E-3</v>
      </c>
      <c r="E540" s="5">
        <f>(Cotacoes!E540-Cotacoes!E539)/Cotacoes!E539</f>
        <v>-2.4730059212817863E-2</v>
      </c>
      <c r="F540" s="5">
        <f>(Cotacoes!F540-Cotacoes!F539)/Cotacoes!F539</f>
        <v>-9.1634643807270225E-3</v>
      </c>
      <c r="G540" s="5">
        <f>(Cotacoes!G540-Cotacoes!G539)/Cotacoes!G539</f>
        <v>-5.8365758754862079E-3</v>
      </c>
      <c r="H540" s="5">
        <f>(Cotacoes!H540-Cotacoes!H539)/Cotacoes!H539</f>
        <v>-1.5145778114350571E-2</v>
      </c>
      <c r="I540" s="5">
        <f>(Cotacoes!I540-Cotacoes!I539)/Cotacoes!I539</f>
        <v>-9.5333667837431656E-3</v>
      </c>
      <c r="J540" s="5">
        <f>(Cotacoes!J540-Cotacoes!J539)/Cotacoes!J539</f>
        <v>-4.902576995600259E-3</v>
      </c>
      <c r="K540" s="5">
        <f>(Cotacoes!K540-Cotacoes!K539)/Cotacoes!K539</f>
        <v>-1.5447154471544818E-2</v>
      </c>
      <c r="L540" s="5">
        <f>(Cotacoes!L540-Cotacoes!L539)/Cotacoes!L539</f>
        <v>1.9818331957060301E-2</v>
      </c>
      <c r="M540" s="5">
        <f>(Cotacoes!M540-Cotacoes!M539)/Cotacoes!M539</f>
        <v>-6.5164923572003264E-2</v>
      </c>
      <c r="N540" s="5">
        <f>(Cotacoes!N540-Cotacoes!N539)/Cotacoes!N539</f>
        <v>-2.2446689113355699E-2</v>
      </c>
      <c r="O540" s="5">
        <f>(Cotacoes!O540-Cotacoes!O539)/Cotacoes!O539</f>
        <v>2.7171492204899752E-2</v>
      </c>
      <c r="P540" s="5">
        <f>(Cotacoes!P540-Cotacoes!P539)/Cotacoes!P539</f>
        <v>2.0066889632106892E-2</v>
      </c>
      <c r="Q540" s="5">
        <f>(Cotacoes!Q540-Cotacoes!Q539)/Cotacoes!Q539</f>
        <v>-1.7908309455587391E-2</v>
      </c>
      <c r="R540" s="5">
        <f>(Cotacoes!R540-Cotacoes!R539)/Cotacoes!R539</f>
        <v>0</v>
      </c>
      <c r="S540" s="5">
        <f>(Cotacoes!S540-Cotacoes!S539)/Cotacoes!S539</f>
        <v>-5.8479532163751831E-4</v>
      </c>
      <c r="T540" s="5">
        <f>(Cotacoes!T540-Cotacoes!T539)/Cotacoes!T539</f>
        <v>-1.7752808988764027E-2</v>
      </c>
      <c r="U540" s="5">
        <f>(Cotacoes!U540-Cotacoes!U539)/Cotacoes!U539</f>
        <v>-1.6068240428486317E-2</v>
      </c>
      <c r="V540" s="5">
        <f>(Cotacoes!V540-Cotacoes!V539)/Cotacoes!V539</f>
        <v>1.6386726751331073E-3</v>
      </c>
      <c r="W540" s="5"/>
    </row>
    <row r="541" spans="1:23" x14ac:dyDescent="0.2">
      <c r="A541" s="4">
        <v>45352</v>
      </c>
      <c r="B541" s="5">
        <f>(Cotacoes!B541-Cotacoes!B540)/Cotacoes!B540</f>
        <v>-6.5923862581244936E-3</v>
      </c>
      <c r="C541" s="5">
        <f>(Cotacoes!C541-Cotacoes!C540)/Cotacoes!C540</f>
        <v>-1.559792027729695E-3</v>
      </c>
      <c r="D541" s="5">
        <f>(Cotacoes!D541-Cotacoes!D540)/Cotacoes!D540</f>
        <v>1.2430080795524906E-3</v>
      </c>
      <c r="E541" s="5">
        <f>(Cotacoes!E541-Cotacoes!E540)/Cotacoes!E540</f>
        <v>4.2857142857143215E-3</v>
      </c>
      <c r="F541" s="5">
        <f>(Cotacoes!F541-Cotacoes!F540)/Cotacoes!F540</f>
        <v>-2.983293556087445E-4</v>
      </c>
      <c r="G541" s="5">
        <f>(Cotacoes!G541-Cotacoes!G540)/Cotacoes!G540</f>
        <v>1.6214705060106187E-2</v>
      </c>
      <c r="H541" s="5">
        <f>(Cotacoes!H541-Cotacoes!H540)/Cotacoes!H540</f>
        <v>1.1534025374854895E-3</v>
      </c>
      <c r="I541" s="5">
        <f>(Cotacoes!I541-Cotacoes!I540)/Cotacoes!I540</f>
        <v>5.8257345491389053E-3</v>
      </c>
      <c r="J541" s="5">
        <f>(Cotacoes!J541-Cotacoes!J540)/Cotacoes!J540</f>
        <v>6.4426478019202265E-3</v>
      </c>
      <c r="K541" s="5">
        <f>(Cotacoes!K541-Cotacoes!K540)/Cotacoes!K540</f>
        <v>4.1288191577209506E-3</v>
      </c>
      <c r="L541" s="5">
        <f>(Cotacoes!L541-Cotacoes!L540)/Cotacoes!L540</f>
        <v>-3.1578947368420957E-2</v>
      </c>
      <c r="M541" s="5">
        <f>(Cotacoes!M541-Cotacoes!M540)/Cotacoes!M540</f>
        <v>-1.1187607573149657E-2</v>
      </c>
      <c r="N541" s="5">
        <f>(Cotacoes!N541-Cotacoes!N540)/Cotacoes!N540</f>
        <v>2.2962112514350826E-3</v>
      </c>
      <c r="O541" s="5">
        <f>(Cotacoes!O541-Cotacoes!O540)/Cotacoes!O540</f>
        <v>-2.3850823937554083E-2</v>
      </c>
      <c r="P541" s="5">
        <f>(Cotacoes!P541-Cotacoes!P540)/Cotacoes!P540</f>
        <v>5.9426229508196843E-2</v>
      </c>
      <c r="Q541" s="5">
        <f>(Cotacoes!Q541-Cotacoes!Q540)/Cotacoes!Q540</f>
        <v>2.024070021881837E-2</v>
      </c>
      <c r="R541" s="5">
        <f>(Cotacoes!R541-Cotacoes!R540)/Cotacoes!R540</f>
        <v>-1.0553337136337836E-2</v>
      </c>
      <c r="S541" s="5">
        <f>(Cotacoes!S541-Cotacoes!S540)/Cotacoes!S540</f>
        <v>-9.6547688706845602E-3</v>
      </c>
      <c r="T541" s="5">
        <f>(Cotacoes!T541-Cotacoes!T540)/Cotacoes!T540</f>
        <v>1.4641958361930921E-2</v>
      </c>
      <c r="U541" s="5">
        <f>(Cotacoes!U541-Cotacoes!U540)/Cotacoes!U540</f>
        <v>-9.4758064516128806E-3</v>
      </c>
      <c r="V541" s="5">
        <f>(Cotacoes!V541-Cotacoes!V540)/Cotacoes!V540</f>
        <v>4.4989775051124514E-3</v>
      </c>
      <c r="W541" s="5"/>
    </row>
    <row r="542" spans="1:23" x14ac:dyDescent="0.2">
      <c r="A542" s="4">
        <v>45355</v>
      </c>
      <c r="B542" s="5">
        <f>(Cotacoes!B542-Cotacoes!B541)/Cotacoes!B541</f>
        <v>-4.2060005607999686E-3</v>
      </c>
      <c r="C542" s="5">
        <f>(Cotacoes!C542-Cotacoes!C541)/Cotacoes!C541</f>
        <v>-2.2565526818261162E-3</v>
      </c>
      <c r="D542" s="5">
        <f>(Cotacoes!D542-Cotacoes!D541)/Cotacoes!D541</f>
        <v>-2.4829298572314803E-3</v>
      </c>
      <c r="E542" s="5">
        <f>(Cotacoes!E542-Cotacoes!E541)/Cotacoes!E541</f>
        <v>-7.4679943100996035E-3</v>
      </c>
      <c r="F542" s="5">
        <f>(Cotacoes!F542-Cotacoes!F541)/Cotacoes!F541</f>
        <v>-3.8794389734406283E-3</v>
      </c>
      <c r="G542" s="5">
        <f>(Cotacoes!G542-Cotacoes!G541)/Cotacoes!G541</f>
        <v>-4.1265474552956965E-3</v>
      </c>
      <c r="H542" s="5">
        <f>(Cotacoes!H542-Cotacoes!H541)/Cotacoes!H541</f>
        <v>-4.2242703533025899E-3</v>
      </c>
      <c r="I542" s="5">
        <f>(Cotacoes!I542-Cotacoes!I541)/Cotacoes!I541</f>
        <v>-3.5255603122639275E-3</v>
      </c>
      <c r="J542" s="5">
        <f>(Cotacoes!J542-Cotacoes!J541)/Cotacoes!J541</f>
        <v>-1.1296598468683746E-3</v>
      </c>
      <c r="K542" s="5">
        <f>(Cotacoes!K542-Cotacoes!K541)/Cotacoes!K541</f>
        <v>-9.8684210526316599E-3</v>
      </c>
      <c r="L542" s="5">
        <f>(Cotacoes!L542-Cotacoes!L541)/Cotacoes!L541</f>
        <v>-1.0033444816053593E-2</v>
      </c>
      <c r="M542" s="5">
        <f>(Cotacoes!M542-Cotacoes!M541)/Cotacoes!M541</f>
        <v>3.4812880765882634E-3</v>
      </c>
      <c r="N542" s="5">
        <f>(Cotacoes!N542-Cotacoes!N541)/Cotacoes!N541</f>
        <v>-3.436426116838618E-3</v>
      </c>
      <c r="O542" s="5">
        <f>(Cotacoes!O542-Cotacoes!O541)/Cotacoes!O541</f>
        <v>1.776988005330926E-3</v>
      </c>
      <c r="P542" s="5">
        <f>(Cotacoes!P542-Cotacoes!P541)/Cotacoes!P541</f>
        <v>4.332688588007727E-2</v>
      </c>
      <c r="Q542" s="5">
        <f>(Cotacoes!Q542-Cotacoes!Q541)/Cotacoes!Q541</f>
        <v>1.6621983914209111E-2</v>
      </c>
      <c r="R542" s="5">
        <f>(Cotacoes!R542-Cotacoes!R541)/Cotacoes!R541</f>
        <v>2.8826751225151674E-4</v>
      </c>
      <c r="S542" s="5">
        <f>(Cotacoes!S542-Cotacoes!S541)/Cotacoes!S541</f>
        <v>-4.1358936484490565E-3</v>
      </c>
      <c r="T542" s="5">
        <f>(Cotacoes!T542-Cotacoes!T541)/Cotacoes!T541</f>
        <v>-5.4114994363021864E-3</v>
      </c>
      <c r="U542" s="5">
        <f>(Cotacoes!U542-Cotacoes!U541)/Cotacoes!U541</f>
        <v>-2.5239161408508078E-2</v>
      </c>
      <c r="V542" s="5">
        <f>(Cotacoes!V542-Cotacoes!V541)/Cotacoes!V541</f>
        <v>-2.8094462540716521E-2</v>
      </c>
      <c r="W542" s="5"/>
    </row>
    <row r="543" spans="1:23" x14ac:dyDescent="0.2">
      <c r="A543" s="4">
        <v>45356</v>
      </c>
      <c r="B543" s="5">
        <f>(Cotacoes!B543-Cotacoes!B542)/Cotacoes!B542</f>
        <v>8.3536699831049423E-3</v>
      </c>
      <c r="C543" s="5">
        <f>(Cotacoes!C543-Cotacoes!C542)/Cotacoes!C542</f>
        <v>-1.3221990257480829E-2</v>
      </c>
      <c r="D543" s="5">
        <f>(Cotacoes!D543-Cotacoes!D542)/Cotacoes!D542</f>
        <v>-3.1113876789048357E-3</v>
      </c>
      <c r="E543" s="5">
        <f>(Cotacoes!E543-Cotacoes!E542)/Cotacoes!E542</f>
        <v>-1.0748835542816603E-3</v>
      </c>
      <c r="F543" s="5">
        <f>(Cotacoes!F543-Cotacoes!F542)/Cotacoes!F542</f>
        <v>-5.9916117435591023E-3</v>
      </c>
      <c r="G543" s="5">
        <f>(Cotacoes!G543-Cotacoes!G542)/Cotacoes!G542</f>
        <v>8.0110497237568818E-3</v>
      </c>
      <c r="H543" s="5">
        <f>(Cotacoes!H543-Cotacoes!H542)/Cotacoes!H542</f>
        <v>6.9417662938680959E-3</v>
      </c>
      <c r="I543" s="5">
        <f>(Cotacoes!I543-Cotacoes!I542)/Cotacoes!I542</f>
        <v>0</v>
      </c>
      <c r="J543" s="5">
        <f>(Cotacoes!J543-Cotacoes!J542)/Cotacoes!J542</f>
        <v>-4.9007288263382834E-3</v>
      </c>
      <c r="K543" s="5">
        <f>(Cotacoes!K543-Cotacoes!K542)/Cotacoes!K542</f>
        <v>4.9833887043189782E-3</v>
      </c>
      <c r="L543" s="5">
        <f>(Cotacoes!L543-Cotacoes!L542)/Cotacoes!L542</f>
        <v>-9.2905405405404925E-3</v>
      </c>
      <c r="M543" s="5">
        <f>(Cotacoes!M543-Cotacoes!M542)/Cotacoes!M542</f>
        <v>2.1682567215958369E-2</v>
      </c>
      <c r="N543" s="5">
        <f>(Cotacoes!N543-Cotacoes!N542)/Cotacoes!N542</f>
        <v>1.1494252873565016E-3</v>
      </c>
      <c r="O543" s="5">
        <f>(Cotacoes!O543-Cotacoes!O542)/Cotacoes!O542</f>
        <v>6.2084257206208677E-3</v>
      </c>
      <c r="P543" s="5">
        <f>(Cotacoes!P543-Cotacoes!P542)/Cotacoes!P542</f>
        <v>-7.4156470152020506E-3</v>
      </c>
      <c r="Q543" s="5">
        <f>(Cotacoes!Q543-Cotacoes!Q542)/Cotacoes!Q542</f>
        <v>2.1097046413501657E-3</v>
      </c>
      <c r="R543" s="5">
        <f>(Cotacoes!R543-Cotacoes!R542)/Cotacoes!R542</f>
        <v>-1.2968299711815642E-2</v>
      </c>
      <c r="S543" s="5">
        <f>(Cotacoes!S543-Cotacoes!S542)/Cotacoes!S542</f>
        <v>8.899436369030298E-4</v>
      </c>
      <c r="T543" s="5">
        <f>(Cotacoes!T543-Cotacoes!T542)/Cotacoes!T542</f>
        <v>4.7608252097030342E-3</v>
      </c>
      <c r="U543" s="5">
        <f>(Cotacoes!U543-Cotacoes!U542)/Cotacoes!U542</f>
        <v>-6.8907913969513115E-3</v>
      </c>
      <c r="V543" s="5">
        <f>(Cotacoes!V543-Cotacoes!V542)/Cotacoes!V542</f>
        <v>-3.7704231252618289E-3</v>
      </c>
      <c r="W543" s="5"/>
    </row>
    <row r="544" spans="1:23" x14ac:dyDescent="0.2">
      <c r="A544" s="4">
        <v>45357</v>
      </c>
      <c r="B544" s="5">
        <f>(Cotacoes!B544-Cotacoes!B543)/Cotacoes!B543</f>
        <v>-4.0956902168855242E-3</v>
      </c>
      <c r="C544" s="5">
        <f>(Cotacoes!C544-Cotacoes!C543)/Cotacoes!C543</f>
        <v>1.3751763046544449E-2</v>
      </c>
      <c r="D544" s="5">
        <f>(Cotacoes!D544-Cotacoes!D543)/Cotacoes!D543</f>
        <v>2.1847690387016318E-2</v>
      </c>
      <c r="E544" s="5">
        <f>(Cotacoes!E544-Cotacoes!E543)/Cotacoes!E543</f>
        <v>1.1119081779053167E-2</v>
      </c>
      <c r="F544" s="5">
        <f>(Cotacoes!F544-Cotacoes!F543)/Cotacoes!F543</f>
        <v>1.717902350813744E-2</v>
      </c>
      <c r="G544" s="5">
        <f>(Cotacoes!G544-Cotacoes!G543)/Cotacoes!G543</f>
        <v>-8.2214305289121468E-3</v>
      </c>
      <c r="H544" s="5">
        <f>(Cotacoes!H544-Cotacoes!H543)/Cotacoes!H543</f>
        <v>1.4936805821524343E-2</v>
      </c>
      <c r="I544" s="5">
        <f>(Cotacoes!I544-Cotacoes!I543)/Cotacoes!I543</f>
        <v>5.3070507960576406E-3</v>
      </c>
      <c r="J544" s="5">
        <f>(Cotacoes!J544-Cotacoes!J543)/Cotacoes!J543</f>
        <v>7.1978785200152466E-3</v>
      </c>
      <c r="K544" s="5">
        <f>(Cotacoes!K544-Cotacoes!K543)/Cotacoes!K543</f>
        <v>7.4380165289256086E-3</v>
      </c>
      <c r="L544" s="5">
        <f>(Cotacoes!L544-Cotacoes!L543)/Cotacoes!L543</f>
        <v>5.1150895140663873E-3</v>
      </c>
      <c r="M544" s="5">
        <f>(Cotacoes!M544-Cotacoes!M543)/Cotacoes!M543</f>
        <v>-5.0933786078097391E-3</v>
      </c>
      <c r="N544" s="5">
        <f>(Cotacoes!N544-Cotacoes!N543)/Cotacoes!N543</f>
        <v>1.2629161882893159E-2</v>
      </c>
      <c r="O544" s="5">
        <f>(Cotacoes!O544-Cotacoes!O543)/Cotacoes!O543</f>
        <v>-5.4649625385632519E-2</v>
      </c>
      <c r="P544" s="5">
        <f>(Cotacoes!P544-Cotacoes!P543)/Cotacoes!P543</f>
        <v>-1.4942099364960459E-3</v>
      </c>
      <c r="Q544" s="5">
        <f>(Cotacoes!Q544-Cotacoes!Q543)/Cotacoes!Q543</f>
        <v>-4.7368421052632129E-3</v>
      </c>
      <c r="R544" s="5">
        <f>(Cotacoes!R544-Cotacoes!R543)/Cotacoes!R543</f>
        <v>4.0875912408759292E-3</v>
      </c>
      <c r="S544" s="5">
        <f>(Cotacoes!S544-Cotacoes!S543)/Cotacoes!S543</f>
        <v>2.963841138114407E-4</v>
      </c>
      <c r="T544" s="5">
        <f>(Cotacoes!T544-Cotacoes!T543)/Cotacoes!T543</f>
        <v>-1.5342960288808659E-2</v>
      </c>
      <c r="U544" s="5">
        <f>(Cotacoes!U544-Cotacoes!U543)/Cotacoes!U543</f>
        <v>1.0092514718250565E-2</v>
      </c>
      <c r="V544" s="5">
        <f>(Cotacoes!V544-Cotacoes!V543)/Cotacoes!V543</f>
        <v>1.2615643397813169E-2</v>
      </c>
      <c r="W544" s="5"/>
    </row>
    <row r="545" spans="1:23" x14ac:dyDescent="0.2">
      <c r="A545" s="4">
        <v>45358</v>
      </c>
      <c r="B545" s="5">
        <f>(Cotacoes!B545-Cotacoes!B544)/Cotacoes!B544</f>
        <v>-1.2150668286755746E-2</v>
      </c>
      <c r="C545" s="5">
        <f>(Cotacoes!C545-Cotacoes!C544)/Cotacoes!C544</f>
        <v>-3.478260869565267E-3</v>
      </c>
      <c r="D545" s="5">
        <f>(Cotacoes!D545-Cotacoes!D544)/Cotacoes!D544</f>
        <v>-1.0995723885155755E-2</v>
      </c>
      <c r="E545" s="5">
        <f>(Cotacoes!E545-Cotacoes!E544)/Cotacoes!E544</f>
        <v>-1.0642071656615846E-2</v>
      </c>
      <c r="F545" s="5">
        <f>(Cotacoes!F545-Cotacoes!F544)/Cotacoes!F544</f>
        <v>-5.9259259259260098E-3</v>
      </c>
      <c r="G545" s="5">
        <f>(Cotacoes!G545-Cotacoes!G544)/Cotacoes!G544</f>
        <v>-6.0790273556230691E-3</v>
      </c>
      <c r="H545" s="5">
        <f>(Cotacoes!H545-Cotacoes!H544)/Cotacoes!H544</f>
        <v>-9.8113207547170407E-3</v>
      </c>
      <c r="I545" s="5">
        <f>(Cotacoes!I545-Cotacoes!I544)/Cotacoes!I544</f>
        <v>-1.0809451985922567E-2</v>
      </c>
      <c r="J545" s="5">
        <f>(Cotacoes!J545-Cotacoes!J544)/Cotacoes!J544</f>
        <v>-8.7763289869618088E-4</v>
      </c>
      <c r="K545" s="5">
        <f>(Cotacoes!K545-Cotacoes!K544)/Cotacoes!K544</f>
        <v>-4.9220672682525612E-3</v>
      </c>
      <c r="L545" s="5">
        <f>(Cotacoes!L545-Cotacoes!L544)/Cotacoes!L544</f>
        <v>5.9372349448685571E-3</v>
      </c>
      <c r="M545" s="5">
        <f>(Cotacoes!M545-Cotacoes!M544)/Cotacoes!M544</f>
        <v>-2.5597269624574349E-3</v>
      </c>
      <c r="N545" s="5">
        <f>(Cotacoes!N545-Cotacoes!N544)/Cotacoes!N544</f>
        <v>-7.936507936507969E-3</v>
      </c>
      <c r="O545" s="5">
        <f>(Cotacoes!O545-Cotacoes!O544)/Cotacoes!O544</f>
        <v>4.6620046620053911E-4</v>
      </c>
      <c r="P545" s="5">
        <f>(Cotacoes!P545-Cotacoes!P544)/Cotacoes!P544</f>
        <v>-1.1971567527123092E-2</v>
      </c>
      <c r="Q545" s="5">
        <f>(Cotacoes!Q545-Cotacoes!Q544)/Cotacoes!Q544</f>
        <v>8.9899524061344115E-3</v>
      </c>
      <c r="R545" s="5">
        <f>(Cotacoes!R545-Cotacoes!R544)/Cotacoes!R544</f>
        <v>-3.4893864495492131E-3</v>
      </c>
      <c r="S545" s="5">
        <f>(Cotacoes!S545-Cotacoes!S544)/Cotacoes!S544</f>
        <v>-1.7777777777778451E-3</v>
      </c>
      <c r="T545" s="5">
        <f>(Cotacoes!T545-Cotacoes!T544)/Cotacoes!T544</f>
        <v>-6.6452795600366443E-3</v>
      </c>
      <c r="U545" s="5">
        <f>(Cotacoes!U545-Cotacoes!U544)/Cotacoes!U544</f>
        <v>3.5803497085761839E-2</v>
      </c>
      <c r="V545" s="5">
        <f>(Cotacoes!V545-Cotacoes!V544)/Cotacoes!V544</f>
        <v>-1.3704318936877007E-2</v>
      </c>
      <c r="W545" s="5"/>
    </row>
    <row r="546" spans="1:23" x14ac:dyDescent="0.2">
      <c r="A546" s="4">
        <v>45359</v>
      </c>
      <c r="B546" s="5">
        <f>(Cotacoes!B546-Cotacoes!B545)/Cotacoes!B545</f>
        <v>-6.2446778313936663E-3</v>
      </c>
      <c r="C546" s="5">
        <f>(Cotacoes!C546-Cotacoes!C545)/Cotacoes!C545</f>
        <v>-7.6788830715531897E-3</v>
      </c>
      <c r="D546" s="5">
        <f>(Cotacoes!D546-Cotacoes!D545)/Cotacoes!D545</f>
        <v>-0.10562075355157509</v>
      </c>
      <c r="E546" s="5">
        <f>(Cotacoes!E546-Cotacoes!E545)/Cotacoes!E545</f>
        <v>9.3223377554678376E-3</v>
      </c>
      <c r="F546" s="5">
        <f>(Cotacoes!F546-Cotacoes!F545)/Cotacoes!F545</f>
        <v>-0.10372578241430692</v>
      </c>
      <c r="G546" s="5">
        <f>(Cotacoes!G546-Cotacoes!G545)/Cotacoes!G545</f>
        <v>5.5601890464284482E-4</v>
      </c>
      <c r="H546" s="5">
        <f>(Cotacoes!H546-Cotacoes!H545)/Cotacoes!H545</f>
        <v>-9.5274390243902437E-3</v>
      </c>
      <c r="I546" s="5">
        <f>(Cotacoes!I546-Cotacoes!I545)/Cotacoes!I545</f>
        <v>3.557814485387562E-3</v>
      </c>
      <c r="J546" s="5">
        <f>(Cotacoes!J546-Cotacoes!J545)/Cotacoes!J545</f>
        <v>6.1488267034760834E-3</v>
      </c>
      <c r="K546" s="5">
        <f>(Cotacoes!K546-Cotacoes!K545)/Cotacoes!K545</f>
        <v>5.77081615828512E-3</v>
      </c>
      <c r="L546" s="5">
        <f>(Cotacoes!L546-Cotacoes!L545)/Cotacoes!L545</f>
        <v>1.0961214165261449E-2</v>
      </c>
      <c r="M546" s="5">
        <f>(Cotacoes!M546-Cotacoes!M545)/Cotacoes!M545</f>
        <v>1.4542343883661244E-2</v>
      </c>
      <c r="N546" s="5">
        <f>(Cotacoes!N546-Cotacoes!N545)/Cotacoes!N545</f>
        <v>1.028571428571427E-2</v>
      </c>
      <c r="O546" s="5">
        <f>(Cotacoes!O546-Cotacoes!O545)/Cotacoes!O545</f>
        <v>1.0251630941286061E-2</v>
      </c>
      <c r="P546" s="5">
        <f>(Cotacoes!P546-Cotacoes!P545)/Cotacoes!P545</f>
        <v>1.5145778114350571E-2</v>
      </c>
      <c r="Q546" s="5">
        <f>(Cotacoes!Q546-Cotacoes!Q545)/Cotacoes!Q545</f>
        <v>5.5904961565338973E-3</v>
      </c>
      <c r="R546" s="5">
        <f>(Cotacoes!R546-Cotacoes!R545)/Cotacoes!R545</f>
        <v>1.7508024511232905E-3</v>
      </c>
      <c r="S546" s="5">
        <f>(Cotacoes!S546-Cotacoes!S545)/Cotacoes!S545</f>
        <v>-2.6714158504006027E-3</v>
      </c>
      <c r="T546" s="5">
        <f>(Cotacoes!T546-Cotacoes!T545)/Cotacoes!T545</f>
        <v>3.114186851211076E-2</v>
      </c>
      <c r="U546" s="5">
        <f>(Cotacoes!U546-Cotacoes!U545)/Cotacoes!U545</f>
        <v>-4.0192926045008081E-4</v>
      </c>
      <c r="V546" s="5">
        <f>(Cotacoes!V546-Cotacoes!V545)/Cotacoes!V545</f>
        <v>2.0210526315789491E-2</v>
      </c>
      <c r="W546" s="5"/>
    </row>
    <row r="547" spans="1:23" x14ac:dyDescent="0.2">
      <c r="A547" s="4">
        <v>45362</v>
      </c>
      <c r="B547" s="5">
        <f>(Cotacoes!B547-Cotacoes!B546)/Cotacoes!B546</f>
        <v>1.4567266495287072E-2</v>
      </c>
      <c r="C547" s="5">
        <f>(Cotacoes!C547-Cotacoes!C546)/Cotacoes!C546</f>
        <v>-3.1129088990502918E-2</v>
      </c>
      <c r="D547" s="5">
        <f>(Cotacoes!D547-Cotacoes!D546)/Cotacoes!D546</f>
        <v>-1.3121546961326055E-2</v>
      </c>
      <c r="E547" s="5">
        <f>(Cotacoes!E547-Cotacoes!E546)/Cotacoes!E546</f>
        <v>4.9733570159858111E-3</v>
      </c>
      <c r="F547" s="5">
        <f>(Cotacoes!F547-Cotacoes!F546)/Cotacoes!F546</f>
        <v>-1.8955769870302636E-2</v>
      </c>
      <c r="G547" s="5">
        <f>(Cotacoes!G547-Cotacoes!G546)/Cotacoes!G546</f>
        <v>6.3906640733536225E-3</v>
      </c>
      <c r="H547" s="5">
        <f>(Cotacoes!H547-Cotacoes!H546)/Cotacoes!H546</f>
        <v>-1.0003847633705196E-2</v>
      </c>
      <c r="I547" s="5">
        <f>(Cotacoes!I547-Cotacoes!I546)/Cotacoes!I546</f>
        <v>-7.850088630032977E-3</v>
      </c>
      <c r="J547" s="5">
        <f>(Cotacoes!J547-Cotacoes!J546)/Cotacoes!J546</f>
        <v>-2.594163132950876E-2</v>
      </c>
      <c r="K547" s="5">
        <f>(Cotacoes!K547-Cotacoes!K546)/Cotacoes!K546</f>
        <v>6.5573770491803339E-3</v>
      </c>
      <c r="L547" s="5">
        <f>(Cotacoes!L547-Cotacoes!L546)/Cotacoes!L546</f>
        <v>1.0008340283569577E-2</v>
      </c>
      <c r="M547" s="5">
        <f>(Cotacoes!M547-Cotacoes!M546)/Cotacoes!M546</f>
        <v>-3.3726812816188153E-3</v>
      </c>
      <c r="N547" s="5">
        <f>(Cotacoes!N547-Cotacoes!N546)/Cotacoes!N546</f>
        <v>1.1312217194569894E-3</v>
      </c>
      <c r="O547" s="5">
        <f>(Cotacoes!O547-Cotacoes!O546)/Cotacoes!O546</f>
        <v>1.798892988929892E-2</v>
      </c>
      <c r="P547" s="5">
        <f>(Cotacoes!P547-Cotacoes!P546)/Cotacoes!P546</f>
        <v>-7.8328981723236601E-3</v>
      </c>
      <c r="Q547" s="5">
        <f>(Cotacoes!Q547-Cotacoes!Q546)/Cotacoes!Q546</f>
        <v>-9.7289784572620261E-3</v>
      </c>
      <c r="R547" s="5">
        <f>(Cotacoes!R547-Cotacoes!R546)/Cotacoes!R546</f>
        <v>-2.0390329158170781E-3</v>
      </c>
      <c r="S547" s="5">
        <f>(Cotacoes!S547-Cotacoes!S546)/Cotacoes!S546</f>
        <v>-7.4404761904761901E-3</v>
      </c>
      <c r="T547" s="5">
        <f>(Cotacoes!T547-Cotacoes!T546)/Cotacoes!T546</f>
        <v>4.4742729306486741E-3</v>
      </c>
      <c r="U547" s="5">
        <f>(Cotacoes!U547-Cotacoes!U546)/Cotacoes!U546</f>
        <v>-1.5882589465219123E-2</v>
      </c>
      <c r="V547" s="5">
        <f>(Cotacoes!V547-Cotacoes!V546)/Cotacoes!V546</f>
        <v>5.7779612051176458E-3</v>
      </c>
      <c r="W547" s="5"/>
    </row>
    <row r="548" spans="1:23" x14ac:dyDescent="0.2">
      <c r="A548" s="4">
        <v>45363</v>
      </c>
      <c r="B548" s="5">
        <f>(Cotacoes!B548-Cotacoes!B547)/Cotacoes!B547</f>
        <v>0</v>
      </c>
      <c r="C548" s="5">
        <f>(Cotacoes!C548-Cotacoes!C547)/Cotacoes!C547</f>
        <v>-6.1717190052641745E-3</v>
      </c>
      <c r="D548" s="5">
        <f>(Cotacoes!D548-Cotacoes!D547)/Cotacoes!D547</f>
        <v>3.2890132960112013E-2</v>
      </c>
      <c r="E548" s="5">
        <f>(Cotacoes!E548-Cotacoes!E547)/Cotacoes!E547</f>
        <v>3.8882997525627231E-3</v>
      </c>
      <c r="F548" s="5">
        <f>(Cotacoes!F548-Cotacoes!F547)/Cotacoes!F547</f>
        <v>3.0169491525423749E-2</v>
      </c>
      <c r="G548" s="5">
        <f>(Cotacoes!G548-Cotacoes!G547)/Cotacoes!G547</f>
        <v>1.2147984538928706E-2</v>
      </c>
      <c r="H548" s="5">
        <f>(Cotacoes!H548-Cotacoes!H547)/Cotacoes!H547</f>
        <v>1.2436844150796746E-2</v>
      </c>
      <c r="I548" s="5">
        <f>(Cotacoes!I548-Cotacoes!I547)/Cotacoes!I547</f>
        <v>1.3782542113323103E-2</v>
      </c>
      <c r="J548" s="5">
        <f>(Cotacoes!J548-Cotacoes!J547)/Cotacoes!J547</f>
        <v>-1.3188220230473767E-2</v>
      </c>
      <c r="K548" s="5">
        <f>(Cotacoes!K548-Cotacoes!K547)/Cotacoes!K547</f>
        <v>1.2214983713355079E-2</v>
      </c>
      <c r="L548" s="5">
        <f>(Cotacoes!L548-Cotacoes!L547)/Cotacoes!L547</f>
        <v>1.8992568125516137E-2</v>
      </c>
      <c r="M548" s="5">
        <f>(Cotacoes!M548-Cotacoes!M547)/Cotacoes!M547</f>
        <v>3.3840947546530582E-3</v>
      </c>
      <c r="N548" s="5">
        <f>(Cotacoes!N548-Cotacoes!N547)/Cotacoes!N547</f>
        <v>1.2429378531073584E-2</v>
      </c>
      <c r="O548" s="5">
        <f>(Cotacoes!O548-Cotacoes!O547)/Cotacoes!O547</f>
        <v>2.1748980516538306E-2</v>
      </c>
      <c r="P548" s="5">
        <f>(Cotacoes!P548-Cotacoes!P547)/Cotacoes!P547</f>
        <v>-5.6390977443609817E-3</v>
      </c>
      <c r="Q548" s="5">
        <f>(Cotacoes!Q548-Cotacoes!Q547)/Cotacoes!Q547</f>
        <v>9.1228070175439144E-3</v>
      </c>
      <c r="R548" s="5">
        <f>(Cotacoes!R548-Cotacoes!R547)/Cotacoes!R547</f>
        <v>2.4226503210741549E-2</v>
      </c>
      <c r="S548" s="5">
        <f>(Cotacoes!S548-Cotacoes!S547)/Cotacoes!S547</f>
        <v>0</v>
      </c>
      <c r="T548" s="5">
        <f>(Cotacoes!T548-Cotacoes!T547)/Cotacoes!T547</f>
        <v>5.7906458797327427E-2</v>
      </c>
      <c r="U548" s="5">
        <f>(Cotacoes!U548-Cotacoes!U547)/Cotacoes!U547</f>
        <v>2.4719101123595377E-2</v>
      </c>
      <c r="V548" s="5">
        <f>(Cotacoes!V548-Cotacoes!V547)/Cotacoes!V547</f>
        <v>-1.2310217480509288E-3</v>
      </c>
      <c r="W548" s="5"/>
    </row>
    <row r="549" spans="1:23" x14ac:dyDescent="0.2">
      <c r="A549" s="4">
        <v>45364</v>
      </c>
      <c r="B549" s="5">
        <f>(Cotacoes!B549-Cotacoes!B548)/Cotacoes!B548</f>
        <v>-5.067567567567626E-3</v>
      </c>
      <c r="C549" s="5">
        <f>(Cotacoes!C549-Cotacoes!C548)/Cotacoes!C548</f>
        <v>6.392694063926967E-3</v>
      </c>
      <c r="D549" s="5">
        <f>(Cotacoes!D549-Cotacoes!D548)/Cotacoes!D548</f>
        <v>-1.1856368563685564E-2</v>
      </c>
      <c r="E549" s="5">
        <f>(Cotacoes!E549-Cotacoes!E548)/Cotacoes!E548</f>
        <v>9.8591549295775054E-3</v>
      </c>
      <c r="F549" s="5">
        <f>(Cotacoes!F549-Cotacoes!F548)/Cotacoes!F548</f>
        <v>-9.8716683119447427E-3</v>
      </c>
      <c r="G549" s="5">
        <f>(Cotacoes!G549-Cotacoes!G548)/Cotacoes!G548</f>
        <v>1.0911074740862132E-2</v>
      </c>
      <c r="H549" s="5">
        <f>(Cotacoes!H549-Cotacoes!H548)/Cotacoes!H548</f>
        <v>-1.1132437619961579E-2</v>
      </c>
      <c r="I549" s="5">
        <f>(Cotacoes!I549-Cotacoes!I548)/Cotacoes!I548</f>
        <v>-8.5599194360522733E-3</v>
      </c>
      <c r="J549" s="5">
        <f>(Cotacoes!J549-Cotacoes!J548)/Cotacoes!J548</f>
        <v>-3.2438043337225902E-3</v>
      </c>
      <c r="K549" s="5">
        <f>(Cotacoes!K549-Cotacoes!K548)/Cotacoes!K548</f>
        <v>1.0458567980691938E-2</v>
      </c>
      <c r="L549" s="5">
        <f>(Cotacoes!L549-Cotacoes!L548)/Cotacoes!L548</f>
        <v>-4.862236628849311E-3</v>
      </c>
      <c r="M549" s="5">
        <f>(Cotacoes!M549-Cotacoes!M548)/Cotacoes!M548</f>
        <v>-6.7453625632377806E-3</v>
      </c>
      <c r="N549" s="5">
        <f>(Cotacoes!N549-Cotacoes!N548)/Cotacoes!N548</f>
        <v>1.227678571428565E-2</v>
      </c>
      <c r="O549" s="5">
        <f>(Cotacoes!O549-Cotacoes!O548)/Cotacoes!O548</f>
        <v>3.1485587583148594E-2</v>
      </c>
      <c r="P549" s="5">
        <f>(Cotacoes!P549-Cotacoes!P548)/Cotacoes!P548</f>
        <v>6.4272211720227488E-3</v>
      </c>
      <c r="Q549" s="5">
        <f>(Cotacoes!Q549-Cotacoes!Q548)/Cotacoes!Q548</f>
        <v>5.3894297635604166E-3</v>
      </c>
      <c r="R549" s="5">
        <f>(Cotacoes!R549-Cotacoes!R548)/Cotacoes!R548</f>
        <v>2.6788258763180327E-2</v>
      </c>
      <c r="S549" s="5">
        <f>(Cotacoes!S549-Cotacoes!S548)/Cotacoes!S548</f>
        <v>-1.7091454272863574E-2</v>
      </c>
      <c r="T549" s="5">
        <f>(Cotacoes!T549-Cotacoes!T548)/Cotacoes!T548</f>
        <v>2.98947368421053E-2</v>
      </c>
      <c r="U549" s="5">
        <f>(Cotacoes!U549-Cotacoes!U548)/Cotacoes!U548</f>
        <v>1.6945773524720924E-2</v>
      </c>
      <c r="V549" s="5">
        <f>(Cotacoes!V549-Cotacoes!V548)/Cotacoes!V548</f>
        <v>6.573541495480696E-3</v>
      </c>
      <c r="W549" s="5"/>
    </row>
    <row r="550" spans="1:23" x14ac:dyDescent="0.2">
      <c r="A550" s="4">
        <v>45365</v>
      </c>
      <c r="B550" s="5">
        <f>(Cotacoes!B550-Cotacoes!B549)/Cotacoes!B549</f>
        <v>-5.3763440860214416E-3</v>
      </c>
      <c r="C550" s="5">
        <f>(Cotacoes!C550-Cotacoes!C549)/Cotacoes!C549</f>
        <v>-1.2704174228675187E-2</v>
      </c>
      <c r="D550" s="5">
        <f>(Cotacoes!D550-Cotacoes!D549)/Cotacoes!D549</f>
        <v>-4.4566335275969338E-3</v>
      </c>
      <c r="E550" s="5">
        <f>(Cotacoes!E550-Cotacoes!E549)/Cotacoes!E549</f>
        <v>-3.4867503486743414E-4</v>
      </c>
      <c r="F550" s="5">
        <f>(Cotacoes!F550-Cotacoes!F549)/Cotacoes!F549</f>
        <v>-6.6467264872050276E-3</v>
      </c>
      <c r="G550" s="5">
        <f>(Cotacoes!G550-Cotacoes!G549)/Cotacoes!G549</f>
        <v>-5.9363194819211781E-3</v>
      </c>
      <c r="H550" s="5">
        <f>(Cotacoes!H550-Cotacoes!H549)/Cotacoes!H549</f>
        <v>-4.2701863354038423E-3</v>
      </c>
      <c r="I550" s="5">
        <f>(Cotacoes!I550-Cotacoes!I549)/Cotacoes!I549</f>
        <v>1.4220416455053203E-2</v>
      </c>
      <c r="J550" s="5">
        <f>(Cotacoes!J550-Cotacoes!J549)/Cotacoes!J549</f>
        <v>-4.2957563134600144E-3</v>
      </c>
      <c r="K550" s="5">
        <f>(Cotacoes!K550-Cotacoes!K549)/Cotacoes!K549</f>
        <v>6.3694267515923622E-3</v>
      </c>
      <c r="L550" s="5">
        <f>(Cotacoes!L550-Cotacoes!L549)/Cotacoes!L549</f>
        <v>-1.9543973941368097E-2</v>
      </c>
      <c r="M550" s="5">
        <f>(Cotacoes!M550-Cotacoes!M549)/Cotacoes!M549</f>
        <v>3.3955857385399766E-3</v>
      </c>
      <c r="N550" s="5">
        <f>(Cotacoes!N550-Cotacoes!N549)/Cotacoes!N549</f>
        <v>0</v>
      </c>
      <c r="O550" s="5">
        <f>(Cotacoes!O550-Cotacoes!O549)/Cotacoes!O549</f>
        <v>1.246775580395525E-2</v>
      </c>
      <c r="P550" s="5">
        <f>(Cotacoes!P550-Cotacoes!P549)/Cotacoes!P549</f>
        <v>0.10217881292261453</v>
      </c>
      <c r="Q550" s="5">
        <f>(Cotacoes!Q550-Cotacoes!Q549)/Cotacoes!Q549</f>
        <v>1.2104444060176429E-3</v>
      </c>
      <c r="R550" s="5">
        <f>(Cotacoes!R550-Cotacoes!R549)/Cotacoes!R549</f>
        <v>-5.8284762697752108E-3</v>
      </c>
      <c r="S550" s="5">
        <f>(Cotacoes!S550-Cotacoes!S549)/Cotacoes!S549</f>
        <v>5.1860890787065799E-3</v>
      </c>
      <c r="T550" s="5">
        <f>(Cotacoes!T550-Cotacoes!T549)/Cotacoes!T549</f>
        <v>-6.5412919051512728E-3</v>
      </c>
      <c r="U550" s="5">
        <f>(Cotacoes!U550-Cotacoes!U549)/Cotacoes!U549</f>
        <v>-1.0782199568711962E-2</v>
      </c>
      <c r="V550" s="5">
        <f>(Cotacoes!V550-Cotacoes!V549)/Cotacoes!V549</f>
        <v>4.0816326530612821E-3</v>
      </c>
      <c r="W550" s="5"/>
    </row>
    <row r="551" spans="1:23" x14ac:dyDescent="0.2">
      <c r="A551" s="4">
        <v>45366</v>
      </c>
      <c r="B551" s="5">
        <f>(Cotacoes!B551-Cotacoes!B550)/Cotacoes!B550</f>
        <v>9.4831673779036802E-4</v>
      </c>
      <c r="C551" s="5">
        <f>(Cotacoes!C551-Cotacoes!C550)/Cotacoes!C550</f>
        <v>-1.1397058823529364E-2</v>
      </c>
      <c r="D551" s="5">
        <f>(Cotacoes!D551-Cotacoes!D550)/Cotacoes!D550</f>
        <v>2.7548209366391823E-3</v>
      </c>
      <c r="E551" s="5">
        <f>(Cotacoes!E551-Cotacoes!E550)/Cotacoes!E550</f>
        <v>-5.5807464248343258E-3</v>
      </c>
      <c r="F551" s="5">
        <f>(Cotacoes!F551-Cotacoes!F550)/Cotacoes!F550</f>
        <v>-2.3419203747072695E-3</v>
      </c>
      <c r="G551" s="5">
        <f>(Cotacoes!G551-Cotacoes!G550)/Cotacoes!G550</f>
        <v>5.4288816503799053E-3</v>
      </c>
      <c r="H551" s="5">
        <f>(Cotacoes!H551-Cotacoes!H550)/Cotacoes!H550</f>
        <v>1.0136452241715461E-2</v>
      </c>
      <c r="I551" s="5">
        <f>(Cotacoes!I551-Cotacoes!I550)/Cotacoes!I550</f>
        <v>-2.2784176264396511E-2</v>
      </c>
      <c r="J551" s="5">
        <f>(Cotacoes!J551-Cotacoes!J550)/Cotacoes!J550</f>
        <v>1.3073604392737766E-4</v>
      </c>
      <c r="K551" s="5">
        <f>(Cotacoes!K551-Cotacoes!K550)/Cotacoes!K550</f>
        <v>-1.5822784810126667E-2</v>
      </c>
      <c r="L551" s="5">
        <f>(Cotacoes!L551-Cotacoes!L550)/Cotacoes!L550</f>
        <v>-1.411960132890365E-2</v>
      </c>
      <c r="M551" s="5">
        <f>(Cotacoes!M551-Cotacoes!M550)/Cotacoes!M550</f>
        <v>-1.2690355329949268E-2</v>
      </c>
      <c r="N551" s="5">
        <f>(Cotacoes!N551-Cotacoes!N550)/Cotacoes!N550</f>
        <v>-4.4101433296583155E-3</v>
      </c>
      <c r="O551" s="5">
        <f>(Cotacoes!O551-Cotacoes!O550)/Cotacoes!O550</f>
        <v>-1.2738853503184744E-2</v>
      </c>
      <c r="P551" s="5">
        <f>(Cotacoes!P551-Cotacoes!P550)/Cotacoes!P550</f>
        <v>-9.2024539877300464E-3</v>
      </c>
      <c r="Q551" s="5">
        <f>(Cotacoes!Q551-Cotacoes!Q550)/Cotacoes!Q550</f>
        <v>2.1934369602763439E-2</v>
      </c>
      <c r="R551" s="5">
        <f>(Cotacoes!R551-Cotacoes!R550)/Cotacoes!R550</f>
        <v>-2.4567280848687954E-2</v>
      </c>
      <c r="S551" s="5">
        <f>(Cotacoes!S551-Cotacoes!S550)/Cotacoes!S550</f>
        <v>1.5174506828528072E-2</v>
      </c>
      <c r="T551" s="5">
        <f>(Cotacoes!T551-Cotacoes!T550)/Cotacoes!T550</f>
        <v>-1.6460905349794327E-2</v>
      </c>
      <c r="U551" s="5">
        <f>(Cotacoes!U551-Cotacoes!U550)/Cotacoes!U550</f>
        <v>-2.0808561236623151E-2</v>
      </c>
      <c r="V551" s="5">
        <f>(Cotacoes!V551-Cotacoes!V550)/Cotacoes!V550</f>
        <v>-1.016260162601626E-2</v>
      </c>
      <c r="W551" s="5"/>
    </row>
    <row r="552" spans="1:23" x14ac:dyDescent="0.2">
      <c r="A552" s="4">
        <v>45369</v>
      </c>
      <c r="B552" s="5">
        <f>(Cotacoes!B552-Cotacoes!B551)/Cotacoes!B551</f>
        <v>5.684509711037504E-3</v>
      </c>
      <c r="C552" s="5">
        <f>(Cotacoes!C552-Cotacoes!C551)/Cotacoes!C551</f>
        <v>1.8966158423205579E-2</v>
      </c>
      <c r="D552" s="5">
        <f>(Cotacoes!D552-Cotacoes!D551)/Cotacoes!D551</f>
        <v>6.8681318681317212E-4</v>
      </c>
      <c r="E552" s="5">
        <f>(Cotacoes!E552-Cotacoes!E551)/Cotacoes!E551</f>
        <v>4.2090494563310219E-3</v>
      </c>
      <c r="F552" s="5">
        <f>(Cotacoes!F552-Cotacoes!F551)/Cotacoes!F551</f>
        <v>8.383635144198525E-3</v>
      </c>
      <c r="G552" s="5">
        <f>(Cotacoes!G552-Cotacoes!G551)/Cotacoes!G551</f>
        <v>0</v>
      </c>
      <c r="H552" s="5">
        <f>(Cotacoes!H552-Cotacoes!H551)/Cotacoes!H551</f>
        <v>-2.1999228097259755E-2</v>
      </c>
      <c r="I552" s="5">
        <f>(Cotacoes!I552-Cotacoes!I551)/Cotacoes!I551</f>
        <v>-3.6126056879323694E-2</v>
      </c>
      <c r="J552" s="5">
        <f>(Cotacoes!J552-Cotacoes!J551)/Cotacoes!J551</f>
        <v>-6.4052287581698678E-3</v>
      </c>
      <c r="K552" s="5">
        <f>(Cotacoes!K552-Cotacoes!K551)/Cotacoes!K551</f>
        <v>6.4308681672025783E-3</v>
      </c>
      <c r="L552" s="5">
        <f>(Cotacoes!L552-Cotacoes!L551)/Cotacoes!L551</f>
        <v>2.5273799494524968E-3</v>
      </c>
      <c r="M552" s="5">
        <f>(Cotacoes!M552-Cotacoes!M551)/Cotacoes!M551</f>
        <v>0</v>
      </c>
      <c r="N552" s="5">
        <f>(Cotacoes!N552-Cotacoes!N551)/Cotacoes!N551</f>
        <v>-1.1074197120708514E-3</v>
      </c>
      <c r="O552" s="5">
        <f>(Cotacoes!O552-Cotacoes!O551)/Cotacoes!O551</f>
        <v>-4.7311827956989004E-3</v>
      </c>
      <c r="P552" s="5">
        <f>(Cotacoes!P552-Cotacoes!P551)/Cotacoes!P551</f>
        <v>1.8231854145166877E-2</v>
      </c>
      <c r="Q552" s="5">
        <f>(Cotacoes!Q552-Cotacoes!Q551)/Cotacoes!Q551</f>
        <v>4.0561095149568172E-3</v>
      </c>
      <c r="R552" s="5">
        <f>(Cotacoes!R552-Cotacoes!R551)/Cotacoes!R551</f>
        <v>-8.5861476817400452E-3</v>
      </c>
      <c r="S552" s="5">
        <f>(Cotacoes!S552-Cotacoes!S551)/Cotacoes!S551</f>
        <v>-3.2884902840059618E-3</v>
      </c>
      <c r="T552" s="5">
        <f>(Cotacoes!T552-Cotacoes!T551)/Cotacoes!T551</f>
        <v>-8.3682008368199054E-4</v>
      </c>
      <c r="U552" s="5">
        <f>(Cotacoes!U552-Cotacoes!U551)/Cotacoes!U551</f>
        <v>-5.059704513256426E-3</v>
      </c>
      <c r="V552" s="5">
        <f>(Cotacoes!V552-Cotacoes!V551)/Cotacoes!V551</f>
        <v>3.4907597535934205E-2</v>
      </c>
      <c r="W552" s="5"/>
    </row>
    <row r="553" spans="1:23" x14ac:dyDescent="0.2">
      <c r="A553" s="4">
        <v>45370</v>
      </c>
      <c r="B553" s="5">
        <f>(Cotacoes!B553-Cotacoes!B552)/Cotacoes!B552</f>
        <v>1.1869995289684323E-2</v>
      </c>
      <c r="C553" s="5">
        <f>(Cotacoes!C553-Cotacoes!C552)/Cotacoes!C552</f>
        <v>8.2116788321168407E-3</v>
      </c>
      <c r="D553" s="5">
        <f>(Cotacoes!D553-Cotacoes!D552)/Cotacoes!D552</f>
        <v>-7.5497597803705855E-3</v>
      </c>
      <c r="E553" s="5">
        <f>(Cotacoes!E553-Cotacoes!E552)/Cotacoes!E552</f>
        <v>1.3971358714635941E-3</v>
      </c>
      <c r="F553" s="5">
        <f>(Cotacoes!F553-Cotacoes!F552)/Cotacoes!F552</f>
        <v>-1.0974393082806845E-2</v>
      </c>
      <c r="G553" s="5">
        <f>(Cotacoes!G553-Cotacoes!G552)/Cotacoes!G552</f>
        <v>1.9978401727861826E-2</v>
      </c>
      <c r="H553" s="5">
        <f>(Cotacoes!H553-Cotacoes!H552)/Cotacoes!H552</f>
        <v>-3.5516969218626622E-3</v>
      </c>
      <c r="I553" s="5">
        <f>(Cotacoes!I553-Cotacoes!I552)/Cotacoes!I552</f>
        <v>1.1164274322169106E-2</v>
      </c>
      <c r="J553" s="5">
        <f>(Cotacoes!J553-Cotacoes!J552)/Cotacoes!J552</f>
        <v>1.8023944217865941E-2</v>
      </c>
      <c r="K553" s="5">
        <f>(Cotacoes!K553-Cotacoes!K552)/Cotacoes!K552</f>
        <v>-5.5910543130990647E-3</v>
      </c>
      <c r="L553" s="5">
        <f>(Cotacoes!L553-Cotacoes!L552)/Cotacoes!L552</f>
        <v>-4.2016806722689672E-3</v>
      </c>
      <c r="M553" s="5">
        <f>(Cotacoes!M553-Cotacoes!M552)/Cotacoes!M552</f>
        <v>-7.7120822622107846E-3</v>
      </c>
      <c r="N553" s="5">
        <f>(Cotacoes!N553-Cotacoes!N552)/Cotacoes!N552</f>
        <v>-5.5432372505542062E-3</v>
      </c>
      <c r="O553" s="5">
        <f>(Cotacoes!O553-Cotacoes!O552)/Cotacoes!O552</f>
        <v>2.1607605877269104E-3</v>
      </c>
      <c r="P553" s="5">
        <f>(Cotacoes!P553-Cotacoes!P552)/Cotacoes!P552</f>
        <v>6.5540540540540454E-2</v>
      </c>
      <c r="Q553" s="5">
        <f>(Cotacoes!Q553-Cotacoes!Q552)/Cotacoes!Q552</f>
        <v>2.9456320484766877E-2</v>
      </c>
      <c r="R553" s="5">
        <f>(Cotacoes!R553-Cotacoes!R552)/Cotacoes!R552</f>
        <v>1.2413394919168583E-2</v>
      </c>
      <c r="S553" s="5">
        <f>(Cotacoes!S553-Cotacoes!S552)/Cotacoes!S552</f>
        <v>2.0995800839829987E-3</v>
      </c>
      <c r="T553" s="5">
        <f>(Cotacoes!T553-Cotacoes!T552)/Cotacoes!T552</f>
        <v>3.0360134003350144E-2</v>
      </c>
      <c r="U553" s="5">
        <f>(Cotacoes!U553-Cotacoes!U552)/Cotacoes!U552</f>
        <v>1.3832384052074997E-2</v>
      </c>
      <c r="V553" s="5">
        <f>(Cotacoes!V553-Cotacoes!V552)/Cotacoes!V552</f>
        <v>2.3809523809524714E-3</v>
      </c>
      <c r="W553" s="5"/>
    </row>
    <row r="554" spans="1:23" x14ac:dyDescent="0.2">
      <c r="A554" s="4">
        <v>45371</v>
      </c>
      <c r="B554" s="5">
        <f>(Cotacoes!B554-Cotacoes!B553)/Cotacoes!B553</f>
        <v>-4.934363653291138E-3</v>
      </c>
      <c r="C554" s="5">
        <f>(Cotacoes!C554-Cotacoes!C553)/Cotacoes!C553</f>
        <v>6.6968325791854737E-3</v>
      </c>
      <c r="D554" s="5">
        <f>(Cotacoes!D554-Cotacoes!D553)/Cotacoes!D553</f>
        <v>1.7634854771784163E-2</v>
      </c>
      <c r="E554" s="5">
        <f>(Cotacoes!E554-Cotacoes!E553)/Cotacoes!E553</f>
        <v>2.0927799093128259E-3</v>
      </c>
      <c r="F554" s="5">
        <f>(Cotacoes!F554-Cotacoes!F553)/Cotacoes!F553</f>
        <v>2.0847343644922696E-2</v>
      </c>
      <c r="G554" s="5">
        <f>(Cotacoes!G554-Cotacoes!G553)/Cotacoes!G553</f>
        <v>1.8528321863419874E-3</v>
      </c>
      <c r="H554" s="5">
        <f>(Cotacoes!H554-Cotacoes!H553)/Cotacoes!H553</f>
        <v>1.0693069306930677E-2</v>
      </c>
      <c r="I554" s="5">
        <f>(Cotacoes!I554-Cotacoes!I553)/Cotacoes!I553</f>
        <v>1.3406940063091431E-2</v>
      </c>
      <c r="J554" s="5">
        <f>(Cotacoes!J554-Cotacoes!J553)/Cotacoes!J553</f>
        <v>1.3827862496769287E-2</v>
      </c>
      <c r="K554" s="5">
        <f>(Cotacoes!K554-Cotacoes!K553)/Cotacoes!K553</f>
        <v>1.2851405622489973E-2</v>
      </c>
      <c r="L554" s="5">
        <f>(Cotacoes!L554-Cotacoes!L553)/Cotacoes!L553</f>
        <v>3.5443037974683539E-2</v>
      </c>
      <c r="M554" s="5">
        <f>(Cotacoes!M554-Cotacoes!M553)/Cotacoes!M553</f>
        <v>0</v>
      </c>
      <c r="N554" s="5">
        <f>(Cotacoes!N554-Cotacoes!N553)/Cotacoes!N553</f>
        <v>1.3377926421404594E-2</v>
      </c>
      <c r="O554" s="5">
        <f>(Cotacoes!O554-Cotacoes!O553)/Cotacoes!O553</f>
        <v>1.724881414402723E-3</v>
      </c>
      <c r="P554" s="5">
        <f>(Cotacoes!P554-Cotacoes!P553)/Cotacoes!P553</f>
        <v>3.4876347495243955E-3</v>
      </c>
      <c r="Q554" s="5">
        <f>(Cotacoes!Q554-Cotacoes!Q553)/Cotacoes!Q553</f>
        <v>-1.2589928057553892E-2</v>
      </c>
      <c r="R554" s="5">
        <f>(Cotacoes!R554-Cotacoes!R553)/Cotacoes!R553</f>
        <v>2.4807527801539705E-2</v>
      </c>
      <c r="S554" s="5">
        <f>(Cotacoes!S554-Cotacoes!S553)/Cotacoes!S553</f>
        <v>1.3469021251122504E-2</v>
      </c>
      <c r="T554" s="5">
        <f>(Cotacoes!T554-Cotacoes!T553)/Cotacoes!T553</f>
        <v>-3.5765088396667304E-2</v>
      </c>
      <c r="U554" s="5">
        <f>(Cotacoes!U554-Cotacoes!U553)/Cotacoes!U553</f>
        <v>2.7086677367576129E-2</v>
      </c>
      <c r="V554" s="5">
        <f>(Cotacoes!V554-Cotacoes!V553)/Cotacoes!V553</f>
        <v>2.9295328582739446E-2</v>
      </c>
      <c r="W554" s="5"/>
    </row>
    <row r="555" spans="1:23" x14ac:dyDescent="0.2">
      <c r="A555" s="4">
        <v>45372</v>
      </c>
      <c r="B555" s="5">
        <f>(Cotacoes!B555-Cotacoes!B554)/Cotacoes!B554</f>
        <v>-9.4498502994011125E-3</v>
      </c>
      <c r="C555" s="5">
        <f>(Cotacoes!C555-Cotacoes!C554)/Cotacoes!C554</f>
        <v>-2.3372887450556538E-3</v>
      </c>
      <c r="D555" s="5">
        <f>(Cotacoes!D555-Cotacoes!D554)/Cotacoes!D554</f>
        <v>-2.752293577981647E-2</v>
      </c>
      <c r="E555" s="5">
        <f>(Cotacoes!E555-Cotacoes!E554)/Cotacoes!E554</f>
        <v>-1.0442046641141688E-2</v>
      </c>
      <c r="F555" s="5">
        <f>(Cotacoes!F555-Cotacoes!F554)/Cotacoes!F554</f>
        <v>-2.0421607378129151E-2</v>
      </c>
      <c r="G555" s="5">
        <f>(Cotacoes!G555-Cotacoes!G554)/Cotacoes!G554</f>
        <v>1.5587846763540192E-2</v>
      </c>
      <c r="H555" s="5">
        <f>(Cotacoes!H555-Cotacoes!H554)/Cotacoes!H554</f>
        <v>-1.4106583072100292E-2</v>
      </c>
      <c r="I555" s="5">
        <f>(Cotacoes!I555-Cotacoes!I554)/Cotacoes!I554</f>
        <v>1.0376134889755189E-3</v>
      </c>
      <c r="J555" s="5">
        <f>(Cotacoes!J555-Cotacoes!J554)/Cotacoes!J554</f>
        <v>3.6966220522624861E-3</v>
      </c>
      <c r="K555" s="5">
        <f>(Cotacoes!K555-Cotacoes!K554)/Cotacoes!K554</f>
        <v>-1.1102299762093482E-2</v>
      </c>
      <c r="L555" s="5">
        <f>(Cotacoes!L555-Cotacoes!L554)/Cotacoes!L554</f>
        <v>-2.6894865525672378E-2</v>
      </c>
      <c r="M555" s="5">
        <f>(Cotacoes!M555-Cotacoes!M554)/Cotacoes!M554</f>
        <v>6.0449050086356032E-3</v>
      </c>
      <c r="N555" s="5">
        <f>(Cotacoes!N555-Cotacoes!N554)/Cotacoes!N554</f>
        <v>-1.4301430143014193E-2</v>
      </c>
      <c r="O555" s="5">
        <f>(Cotacoes!O555-Cotacoes!O554)/Cotacoes!O554</f>
        <v>-1.7219113215669025E-3</v>
      </c>
      <c r="P555" s="5">
        <f>(Cotacoes!P555-Cotacoes!P554)/Cotacoes!P554</f>
        <v>-2.46445497630331E-2</v>
      </c>
      <c r="Q555" s="5">
        <f>(Cotacoes!Q555-Cotacoes!Q554)/Cotacoes!Q554</f>
        <v>-3.3118065904956328E-4</v>
      </c>
      <c r="R555" s="5">
        <f>(Cotacoes!R555-Cotacoes!R554)/Cotacoes!R554</f>
        <v>-8.3472454090153419E-4</v>
      </c>
      <c r="S555" s="5">
        <f>(Cotacoes!S555-Cotacoes!S554)/Cotacoes!S554</f>
        <v>3.5440047253395583E-3</v>
      </c>
      <c r="T555" s="5">
        <f>(Cotacoes!T555-Cotacoes!T554)/Cotacoes!T554</f>
        <v>-7.3761854583772688E-3</v>
      </c>
      <c r="U555" s="5">
        <f>(Cotacoes!U555-Cotacoes!U554)/Cotacoes!U554</f>
        <v>-1.5823403008399985E-2</v>
      </c>
      <c r="V555" s="5">
        <f>(Cotacoes!V555-Cotacoes!V554)/Cotacoes!V554</f>
        <v>9.2307692307691709E-3</v>
      </c>
      <c r="W555" s="5"/>
    </row>
    <row r="556" spans="1:23" x14ac:dyDescent="0.2">
      <c r="A556" s="4">
        <v>45373</v>
      </c>
      <c r="B556" s="5">
        <f>(Cotacoes!B556-Cotacoes!B555)/Cotacoes!B555</f>
        <v>-7.5564371398883807E-4</v>
      </c>
      <c r="C556" s="5">
        <f>(Cotacoes!C556-Cotacoes!C555)/Cotacoes!C555</f>
        <v>-1.1533609659398099E-2</v>
      </c>
      <c r="D556" s="5">
        <f>(Cotacoes!D556-Cotacoes!D555)/Cotacoes!D555</f>
        <v>9.7833682739342266E-3</v>
      </c>
      <c r="E556" s="5">
        <f>(Cotacoes!E556-Cotacoes!E555)/Cotacoes!E555</f>
        <v>-1.5124868097080539E-2</v>
      </c>
      <c r="F556" s="5">
        <f>(Cotacoes!F556-Cotacoes!F555)/Cotacoes!F555</f>
        <v>8.0699394754540008E-3</v>
      </c>
      <c r="G556" s="5">
        <f>(Cotacoes!G556-Cotacoes!G555)/Cotacoes!G555</f>
        <v>7.8043704474506839E-3</v>
      </c>
      <c r="H556" s="5">
        <f>(Cotacoes!H556-Cotacoes!H555)/Cotacoes!H555</f>
        <v>-3.9745627980922659E-3</v>
      </c>
      <c r="I556" s="5">
        <f>(Cotacoes!I556-Cotacoes!I555)/Cotacoes!I555</f>
        <v>-1.0624514122829843E-2</v>
      </c>
      <c r="J556" s="5">
        <f>(Cotacoes!J556-Cotacoes!J555)/Cotacoes!J555</f>
        <v>1.9812039624079278E-2</v>
      </c>
      <c r="K556" s="5">
        <f>(Cotacoes!K556-Cotacoes!K555)/Cotacoes!K555</f>
        <v>-1.2830793905372905E-2</v>
      </c>
      <c r="L556" s="5">
        <f>(Cotacoes!L556-Cotacoes!L555)/Cotacoes!L555</f>
        <v>-3.2663316582914471E-2</v>
      </c>
      <c r="M556" s="5">
        <f>(Cotacoes!M556-Cotacoes!M555)/Cotacoes!M555</f>
        <v>-1.6309012875536436E-2</v>
      </c>
      <c r="N556" s="5">
        <f>(Cotacoes!N556-Cotacoes!N555)/Cotacoes!N555</f>
        <v>-1.5625000000000062E-2</v>
      </c>
      <c r="O556" s="5">
        <f>(Cotacoes!O556-Cotacoes!O555)/Cotacoes!O555</f>
        <v>-6.0370849504096831E-3</v>
      </c>
      <c r="P556" s="5">
        <f>(Cotacoes!P556-Cotacoes!P555)/Cotacoes!P555</f>
        <v>7.9365079365079333E-2</v>
      </c>
      <c r="Q556" s="5">
        <f>(Cotacoes!Q556-Cotacoes!Q555)/Cotacoes!Q555</f>
        <v>1.822097068080163E-3</v>
      </c>
      <c r="R556" s="5">
        <f>(Cotacoes!R556-Cotacoes!R555)/Cotacoes!R555</f>
        <v>-1.5594541910331251E-2</v>
      </c>
      <c r="S556" s="5">
        <f>(Cotacoes!S556-Cotacoes!S555)/Cotacoes!S555</f>
        <v>-1.648028251912876E-2</v>
      </c>
      <c r="T556" s="5">
        <f>(Cotacoes!T556-Cotacoes!T555)/Cotacoes!T555</f>
        <v>-8.7048832271762987E-3</v>
      </c>
      <c r="U556" s="5">
        <f>(Cotacoes!U556-Cotacoes!U555)/Cotacoes!U555</f>
        <v>-1.826121476776502E-2</v>
      </c>
      <c r="V556" s="5">
        <f>(Cotacoes!V556-Cotacoes!V555)/Cotacoes!V555</f>
        <v>-2.8582317073170733E-2</v>
      </c>
      <c r="W556" s="5"/>
    </row>
    <row r="557" spans="1:23" x14ac:dyDescent="0.2">
      <c r="A557" s="4">
        <v>45376</v>
      </c>
      <c r="B557" s="5">
        <f>(Cotacoes!B557-Cotacoes!B556)/Cotacoes!B556</f>
        <v>-5.6716135740620354E-4</v>
      </c>
      <c r="C557" s="5">
        <f>(Cotacoes!C557-Cotacoes!C556)/Cotacoes!C556</f>
        <v>-2.1877848678214136E-3</v>
      </c>
      <c r="D557" s="5">
        <f>(Cotacoes!D557-Cotacoes!D556)/Cotacoes!D556</f>
        <v>1.5224913494809733E-2</v>
      </c>
      <c r="E557" s="5">
        <f>(Cotacoes!E557-Cotacoes!E556)/Cotacoes!E556</f>
        <v>0</v>
      </c>
      <c r="F557" s="5">
        <f>(Cotacoes!F557-Cotacoes!F556)/Cotacoes!F556</f>
        <v>1.2341561040693829E-2</v>
      </c>
      <c r="G557" s="5">
        <f>(Cotacoes!G557-Cotacoes!G556)/Cotacoes!G556</f>
        <v>-1.6520392359318549E-2</v>
      </c>
      <c r="H557" s="5">
        <f>(Cotacoes!H557-Cotacoes!H556)/Cotacoes!H556</f>
        <v>3.9904229848364498E-3</v>
      </c>
      <c r="I557" s="5">
        <f>(Cotacoes!I557-Cotacoes!I556)/Cotacoes!I556</f>
        <v>4.9764274489260798E-3</v>
      </c>
      <c r="J557" s="5">
        <f>(Cotacoes!J557-Cotacoes!J556)/Cotacoes!J556</f>
        <v>8.2191780821917384E-3</v>
      </c>
      <c r="K557" s="5">
        <f>(Cotacoes!K557-Cotacoes!K556)/Cotacoes!K556</f>
        <v>-1.6246953696183062E-3</v>
      </c>
      <c r="L557" s="5">
        <f>(Cotacoes!L557-Cotacoes!L556)/Cotacoes!L556</f>
        <v>-8.6580086580087812E-3</v>
      </c>
      <c r="M557" s="5">
        <f>(Cotacoes!M557-Cotacoes!M556)/Cotacoes!M556</f>
        <v>-1.3961605584642245E-2</v>
      </c>
      <c r="N557" s="5">
        <f>(Cotacoes!N557-Cotacoes!N556)/Cotacoes!N556</f>
        <v>-1.0204081632653045E-2</v>
      </c>
      <c r="O557" s="5">
        <f>(Cotacoes!O557-Cotacoes!O556)/Cotacoes!O556</f>
        <v>-1.258134490238608E-2</v>
      </c>
      <c r="P557" s="5">
        <f>(Cotacoes!P557-Cotacoes!P556)/Cotacoes!P556</f>
        <v>5.1020408163265814E-3</v>
      </c>
      <c r="Q557" s="5">
        <f>(Cotacoes!Q557-Cotacoes!Q556)/Cotacoes!Q556</f>
        <v>-8.4325396825396508E-3</v>
      </c>
      <c r="R557" s="5">
        <f>(Cotacoes!R557-Cotacoes!R556)/Cotacoes!R556</f>
        <v>6.2234794908061913E-3</v>
      </c>
      <c r="S557" s="5">
        <f>(Cotacoes!S557-Cotacoes!S556)/Cotacoes!S556</f>
        <v>-5.3859964093357186E-3</v>
      </c>
      <c r="T557" s="5">
        <f>(Cotacoes!T557-Cotacoes!T556)/Cotacoes!T556</f>
        <v>2.0989505247376399E-2</v>
      </c>
      <c r="U557" s="5">
        <f>(Cotacoes!U557-Cotacoes!U556)/Cotacoes!U556</f>
        <v>-6.6720582288717807E-3</v>
      </c>
      <c r="V557" s="5">
        <f>(Cotacoes!V557-Cotacoes!V556)/Cotacoes!V556</f>
        <v>8.6308356218125701E-3</v>
      </c>
      <c r="W557" s="5"/>
    </row>
    <row r="558" spans="1:23" x14ac:dyDescent="0.2">
      <c r="A558" s="4">
        <v>45377</v>
      </c>
      <c r="B558" s="5">
        <f>(Cotacoes!B558-Cotacoes!B557)/Cotacoes!B557</f>
        <v>6.5260569374822443E-3</v>
      </c>
      <c r="C558" s="5">
        <f>(Cotacoes!C558-Cotacoes!C557)/Cotacoes!C557</f>
        <v>-1.2607345148912805E-2</v>
      </c>
      <c r="D558" s="5">
        <f>(Cotacoes!D558-Cotacoes!D557)/Cotacoes!D557</f>
        <v>-9.2024539877300464E-3</v>
      </c>
      <c r="E558" s="5">
        <f>(Cotacoes!E558-Cotacoes!E557)/Cotacoes!E557</f>
        <v>1.9999999999999955E-2</v>
      </c>
      <c r="F558" s="5">
        <f>(Cotacoes!F558-Cotacoes!F557)/Cotacoes!F557</f>
        <v>-1.0873146622734822E-2</v>
      </c>
      <c r="G558" s="5">
        <f>(Cotacoes!G558-Cotacoes!G557)/Cotacoes!G557</f>
        <v>-6.5616797900262466E-3</v>
      </c>
      <c r="H558" s="5">
        <f>(Cotacoes!H558-Cotacoes!H557)/Cotacoes!H557</f>
        <v>5.5643879173291159E-3</v>
      </c>
      <c r="I558" s="5">
        <f>(Cotacoes!I558-Cotacoes!I557)/Cotacoes!I557</f>
        <v>3.6486838676049148E-3</v>
      </c>
      <c r="J558" s="5">
        <f>(Cotacoes!J558-Cotacoes!J557)/Cotacoes!J557</f>
        <v>1.4204545454545525E-2</v>
      </c>
      <c r="K558" s="5">
        <f>(Cotacoes!K558-Cotacoes!K557)/Cotacoes!K557</f>
        <v>1.4646053702197031E-2</v>
      </c>
      <c r="L558" s="5">
        <f>(Cotacoes!L558-Cotacoes!L557)/Cotacoes!L557</f>
        <v>0</v>
      </c>
      <c r="M558" s="5">
        <f>(Cotacoes!M558-Cotacoes!M557)/Cotacoes!M557</f>
        <v>1.4159292035398242E-2</v>
      </c>
      <c r="N558" s="5">
        <f>(Cotacoes!N558-Cotacoes!N557)/Cotacoes!N557</f>
        <v>1.3745704467353861E-2</v>
      </c>
      <c r="O558" s="5">
        <f>(Cotacoes!O558-Cotacoes!O557)/Cotacoes!O557</f>
        <v>-1.6256590509666123E-2</v>
      </c>
      <c r="P558" s="5">
        <f>(Cotacoes!P558-Cotacoes!P557)/Cotacoes!P557</f>
        <v>-6.5691251119736893E-3</v>
      </c>
      <c r="Q558" s="5">
        <f>(Cotacoes!Q558-Cotacoes!Q557)/Cotacoes!Q557</f>
        <v>2.1844255461063902E-2</v>
      </c>
      <c r="R558" s="5">
        <f>(Cotacoes!R558-Cotacoes!R557)/Cotacoes!R557</f>
        <v>1.0120888389091915E-2</v>
      </c>
      <c r="S558" s="5">
        <f>(Cotacoes!S558-Cotacoes!S557)/Cotacoes!S557</f>
        <v>-1.1432009626955552E-2</v>
      </c>
      <c r="T558" s="5">
        <f>(Cotacoes!T558-Cotacoes!T557)/Cotacoes!T557</f>
        <v>-7.9714705265366594E-3</v>
      </c>
      <c r="U558" s="5">
        <f>(Cotacoes!U558-Cotacoes!U557)/Cotacoes!U557</f>
        <v>2.7274577651129579E-2</v>
      </c>
      <c r="V558" s="5">
        <f>(Cotacoes!V558-Cotacoes!V557)/Cotacoes!V557</f>
        <v>-3.111629716063791E-2</v>
      </c>
      <c r="W558" s="5"/>
    </row>
    <row r="559" spans="1:23" x14ac:dyDescent="0.2">
      <c r="A559" s="4">
        <v>45378</v>
      </c>
      <c r="B559" s="5">
        <f>(Cotacoes!B559-Cotacoes!B558)/Cotacoes!B558</f>
        <v>3.6647246758128222E-3</v>
      </c>
      <c r="C559" s="5">
        <f>(Cotacoes!C559-Cotacoes!C558)/Cotacoes!C558</f>
        <v>9.0673575129534053E-3</v>
      </c>
      <c r="D559" s="5">
        <f>(Cotacoes!D559-Cotacoes!D558)/Cotacoes!D558</f>
        <v>7.9119367045063782E-3</v>
      </c>
      <c r="E559" s="5">
        <f>(Cotacoes!E559-Cotacoes!E558)/Cotacoes!E558</f>
        <v>5.6022408963585487E-3</v>
      </c>
      <c r="F559" s="5">
        <f>(Cotacoes!F559-Cotacoes!F558)/Cotacoes!F558</f>
        <v>1.1992005329780129E-2</v>
      </c>
      <c r="G559" s="5">
        <f>(Cotacoes!G559-Cotacoes!G558)/Cotacoes!G558</f>
        <v>-5.8124174372522815E-3</v>
      </c>
      <c r="H559" s="5">
        <f>(Cotacoes!H559-Cotacoes!H558)/Cotacoes!H558</f>
        <v>3.9525691699596877E-4</v>
      </c>
      <c r="I559" s="5">
        <f>(Cotacoes!I559-Cotacoes!I558)/Cotacoes!I558</f>
        <v>-1.3243313425084342E-2</v>
      </c>
      <c r="J559" s="5">
        <f>(Cotacoes!J559-Cotacoes!J558)/Cotacoes!J558</f>
        <v>1.4370965777615477E-2</v>
      </c>
      <c r="K559" s="5">
        <f>(Cotacoes!K559-Cotacoes!K558)/Cotacoes!K558</f>
        <v>1.5236567762630273E-2</v>
      </c>
      <c r="L559" s="5">
        <f>(Cotacoes!L559-Cotacoes!L558)/Cotacoes!L558</f>
        <v>1.3973799126637567E-2</v>
      </c>
      <c r="M559" s="5">
        <f>(Cotacoes!M559-Cotacoes!M558)/Cotacoes!M558</f>
        <v>3.4904013961604839E-3</v>
      </c>
      <c r="N559" s="5">
        <f>(Cotacoes!N559-Cotacoes!N558)/Cotacoes!N558</f>
        <v>9.039548022598879E-3</v>
      </c>
      <c r="O559" s="5">
        <f>(Cotacoes!O559-Cotacoes!O558)/Cotacoes!O558</f>
        <v>-2.188476998660125E-2</v>
      </c>
      <c r="P559" s="5">
        <f>(Cotacoes!P559-Cotacoes!P558)/Cotacoes!P558</f>
        <v>-4.5085662759244268E-3</v>
      </c>
      <c r="Q559" s="5">
        <f>(Cotacoes!Q559-Cotacoes!Q558)/Cotacoes!Q558</f>
        <v>1.3218015665796381E-2</v>
      </c>
      <c r="R559" s="5">
        <f>(Cotacoes!R559-Cotacoes!R558)/Cotacoes!R558</f>
        <v>-5.2880601168938971E-3</v>
      </c>
      <c r="S559" s="5">
        <f>(Cotacoes!S559-Cotacoes!S558)/Cotacoes!S558</f>
        <v>-6.0864272671929461E-4</v>
      </c>
      <c r="T559" s="5">
        <f>(Cotacoes!T559-Cotacoes!T558)/Cotacoes!T558</f>
        <v>-4.4406851342778785E-3</v>
      </c>
      <c r="U559" s="5">
        <f>(Cotacoes!U559-Cotacoes!U558)/Cotacoes!U558</f>
        <v>-1.9813750743011711E-4</v>
      </c>
      <c r="V559" s="5">
        <f>(Cotacoes!V559-Cotacoes!V558)/Cotacoes!V558</f>
        <v>4.0144520272989012E-4</v>
      </c>
      <c r="W559" s="5"/>
    </row>
    <row r="560" spans="1:23" x14ac:dyDescent="0.2">
      <c r="A560" s="4">
        <v>45379</v>
      </c>
      <c r="B560" s="5">
        <f>(Cotacoes!B560-Cotacoes!B559)/Cotacoes!B559</f>
        <v>-8.3325531317292433E-3</v>
      </c>
      <c r="C560" s="5">
        <f>(Cotacoes!C560-Cotacoes!C559)/Cotacoes!C559</f>
        <v>3.851091142490388E-3</v>
      </c>
      <c r="D560" s="5">
        <f>(Cotacoes!D560-Cotacoes!D559)/Cotacoes!D559</f>
        <v>2.218430034129688E-2</v>
      </c>
      <c r="E560" s="5">
        <f>(Cotacoes!E560-Cotacoes!E559)/Cotacoes!E559</f>
        <v>1.392757660167225E-3</v>
      </c>
      <c r="F560" s="5">
        <f>(Cotacoes!F560-Cotacoes!F559)/Cotacoes!F559</f>
        <v>2.4687294272547729E-2</v>
      </c>
      <c r="G560" s="5">
        <f>(Cotacoes!G560-Cotacoes!G559)/Cotacoes!G559</f>
        <v>-9.3010895562051932E-3</v>
      </c>
      <c r="H560" s="5">
        <f>(Cotacoes!H560-Cotacoes!H559)/Cotacoes!H559</f>
        <v>1.1853022520742818E-2</v>
      </c>
      <c r="I560" s="5">
        <f>(Cotacoes!I560-Cotacoes!I559)/Cotacoes!I559</f>
        <v>-3.9473684210525944E-3</v>
      </c>
      <c r="J560" s="5">
        <f>(Cotacoes!J560-Cotacoes!J559)/Cotacoes!J559</f>
        <v>1.6928802977548282E-2</v>
      </c>
      <c r="K560" s="5">
        <f>(Cotacoes!K560-Cotacoes!K559)/Cotacoes!K559</f>
        <v>-6.3191153238546655E-3</v>
      </c>
      <c r="L560" s="5">
        <f>(Cotacoes!L560-Cotacoes!L559)/Cotacoes!L559</f>
        <v>-2.5839793281653197E-3</v>
      </c>
      <c r="M560" s="5">
        <f>(Cotacoes!M560-Cotacoes!M559)/Cotacoes!M559</f>
        <v>3.4782608695651434E-3</v>
      </c>
      <c r="N560" s="5">
        <f>(Cotacoes!N560-Cotacoes!N559)/Cotacoes!N559</f>
        <v>2.2396416573347787E-3</v>
      </c>
      <c r="O560" s="5">
        <f>(Cotacoes!O560-Cotacoes!O559)/Cotacoes!O559</f>
        <v>-1.8264840182648338E-2</v>
      </c>
      <c r="P560" s="5">
        <f>(Cotacoes!P560-Cotacoes!P559)/Cotacoes!P559</f>
        <v>4.8309178743962469E-3</v>
      </c>
      <c r="Q560" s="5">
        <f>(Cotacoes!Q560-Cotacoes!Q559)/Cotacoes!Q559</f>
        <v>2.7379610243194489E-3</v>
      </c>
      <c r="R560" s="5">
        <f>(Cotacoes!R560-Cotacoes!R559)/Cotacoes!R559</f>
        <v>-1.7907106883044224E-2</v>
      </c>
      <c r="S560" s="5">
        <f>(Cotacoes!S560-Cotacoes!S559)/Cotacoes!S559</f>
        <v>-8.8306942752742461E-3</v>
      </c>
      <c r="T560" s="5">
        <f>(Cotacoes!T560-Cotacoes!T559)/Cotacoes!T559</f>
        <v>3.5259133389974592E-2</v>
      </c>
      <c r="U560" s="5">
        <f>(Cotacoes!U560-Cotacoes!U559)/Cotacoes!U559</f>
        <v>1.4070550931430854E-2</v>
      </c>
      <c r="V560" s="5">
        <f>(Cotacoes!V560-Cotacoes!V559)/Cotacoes!V559</f>
        <v>-1.4847512038523313E-2</v>
      </c>
      <c r="W560" s="5"/>
    </row>
    <row r="561" spans="1:23" x14ac:dyDescent="0.2">
      <c r="A561" s="4">
        <v>45383</v>
      </c>
      <c r="B561" s="5">
        <f>(Cotacoes!B561-Cotacoes!B560)/Cotacoes!B560</f>
        <v>5.0037764350453276E-3</v>
      </c>
      <c r="C561" s="5">
        <f>(Cotacoes!C561-Cotacoes!C560)/Cotacoes!C560</f>
        <v>6.3938618925831461E-3</v>
      </c>
      <c r="D561" s="5">
        <f>(Cotacoes!D561-Cotacoes!D560)/Cotacoes!D560</f>
        <v>8.0133555926544912E-3</v>
      </c>
      <c r="E561" s="5">
        <f>(Cotacoes!E561-Cotacoes!E560)/Cotacoes!E560</f>
        <v>-3.407510431154382E-2</v>
      </c>
      <c r="F561" s="5">
        <f>(Cotacoes!F561-Cotacoes!F560)/Cotacoes!F560</f>
        <v>7.3883713459685328E-3</v>
      </c>
      <c r="G561" s="5">
        <f>(Cotacoes!G561-Cotacoes!G560)/Cotacoes!G560</f>
        <v>-5.364806866952866E-3</v>
      </c>
      <c r="H561" s="5">
        <f>(Cotacoes!H561-Cotacoes!H560)/Cotacoes!H560</f>
        <v>-9.7618117922686452E-3</v>
      </c>
      <c r="I561" s="5">
        <f>(Cotacoes!I561-Cotacoes!I560)/Cotacoes!I560</f>
        <v>-1.9022457067371171E-2</v>
      </c>
      <c r="J561" s="5">
        <f>(Cotacoes!J561-Cotacoes!J560)/Cotacoes!J560</f>
        <v>-9.4451003541912298E-3</v>
      </c>
      <c r="K561" s="5">
        <f>(Cotacoes!K561-Cotacoes!K560)/Cotacoes!K560</f>
        <v>-9.5389507154212422E-3</v>
      </c>
      <c r="L561" s="5">
        <f>(Cotacoes!L561-Cotacoes!L560)/Cotacoes!L560</f>
        <v>-1.8134715025906811E-2</v>
      </c>
      <c r="M561" s="5">
        <f>(Cotacoes!M561-Cotacoes!M560)/Cotacoes!M560</f>
        <v>-1.2998266897746845E-2</v>
      </c>
      <c r="N561" s="5">
        <f>(Cotacoes!N561-Cotacoes!N560)/Cotacoes!N560</f>
        <v>-2.6815642458100385E-2</v>
      </c>
      <c r="O561" s="5">
        <f>(Cotacoes!O561-Cotacoes!O560)/Cotacoes!O560</f>
        <v>-2.9767441860465142E-2</v>
      </c>
      <c r="P561" s="5">
        <f>(Cotacoes!P561-Cotacoes!P560)/Cotacoes!P560</f>
        <v>-2.764423076923082E-2</v>
      </c>
      <c r="Q561" s="5">
        <f>(Cotacoes!Q561-Cotacoes!Q560)/Cotacoes!Q560</f>
        <v>1.4294892386765188E-2</v>
      </c>
      <c r="R561" s="5">
        <f>(Cotacoes!R561-Cotacoes!R560)/Cotacoes!R560</f>
        <v>-2.5356125356125372E-2</v>
      </c>
      <c r="S561" s="5">
        <f>(Cotacoes!S561-Cotacoes!S560)/Cotacoes!S560</f>
        <v>-1.781874039938551E-2</v>
      </c>
      <c r="T561" s="5">
        <f>(Cotacoes!T561-Cotacoes!T560)/Cotacoes!T560</f>
        <v>-7.1809601969635081E-3</v>
      </c>
      <c r="U561" s="5">
        <f>(Cotacoes!U561-Cotacoes!U560)/Cotacoes!U560</f>
        <v>-3.7131131522376362E-2</v>
      </c>
      <c r="V561" s="5">
        <f>(Cotacoes!V561-Cotacoes!V560)/Cotacoes!V560</f>
        <v>-1.2219959266802907E-3</v>
      </c>
      <c r="W561" s="5"/>
    </row>
    <row r="562" spans="1:23" x14ac:dyDescent="0.2">
      <c r="A562" s="4">
        <v>45384</v>
      </c>
      <c r="B562" s="5">
        <f>(Cotacoes!B562-Cotacoes!B561)/Cotacoes!B561</f>
        <v>-3.569751056834285E-3</v>
      </c>
      <c r="C562" s="5">
        <f>(Cotacoes!C562-Cotacoes!C561)/Cotacoes!C561</f>
        <v>1.1798874568887249E-2</v>
      </c>
      <c r="D562" s="5">
        <f>(Cotacoes!D562-Cotacoes!D561)/Cotacoes!D561</f>
        <v>2.5505134150380904E-2</v>
      </c>
      <c r="E562" s="5">
        <f>(Cotacoes!E562-Cotacoes!E561)/Cotacoes!E561</f>
        <v>1.07991360691136E-3</v>
      </c>
      <c r="F562" s="5">
        <f>(Cotacoes!F562-Cotacoes!F561)/Cotacoes!F561</f>
        <v>2.7104591836734741E-2</v>
      </c>
      <c r="G562" s="5">
        <f>(Cotacoes!G562-Cotacoes!G561)/Cotacoes!G561</f>
        <v>4.584681769147835E-3</v>
      </c>
      <c r="H562" s="5">
        <f>(Cotacoes!H562-Cotacoes!H561)/Cotacoes!H561</f>
        <v>1.5772870662460231E-3</v>
      </c>
      <c r="I562" s="5">
        <f>(Cotacoes!I562-Cotacoes!I561)/Cotacoes!I561</f>
        <v>-3.5012119579855253E-3</v>
      </c>
      <c r="J562" s="5">
        <f>(Cotacoes!J562-Cotacoes!J561)/Cotacoes!J561</f>
        <v>-2.2169249106078658E-2</v>
      </c>
      <c r="K562" s="5">
        <f>(Cotacoes!K562-Cotacoes!K561)/Cotacoes!K561</f>
        <v>5.6179775280897678E-3</v>
      </c>
      <c r="L562" s="5">
        <f>(Cotacoes!L562-Cotacoes!L561)/Cotacoes!L561</f>
        <v>-3.5180299032541028E-3</v>
      </c>
      <c r="M562" s="5">
        <f>(Cotacoes!M562-Cotacoes!M561)/Cotacoes!M561</f>
        <v>-4.3898156277436973E-3</v>
      </c>
      <c r="N562" s="5">
        <f>(Cotacoes!N562-Cotacoes!N561)/Cotacoes!N561</f>
        <v>-4.59242250287037E-3</v>
      </c>
      <c r="O562" s="5">
        <f>(Cotacoes!O562-Cotacoes!O561)/Cotacoes!O561</f>
        <v>0</v>
      </c>
      <c r="P562" s="5">
        <f>(Cotacoes!P562-Cotacoes!P561)/Cotacoes!P561</f>
        <v>1.1124845488257091E-2</v>
      </c>
      <c r="Q562" s="5">
        <f>(Cotacoes!Q562-Cotacoes!Q561)/Cotacoes!Q561</f>
        <v>5.2256532066508043E-3</v>
      </c>
      <c r="R562" s="5">
        <f>(Cotacoes!R562-Cotacoes!R561)/Cotacoes!R561</f>
        <v>-8.7693656825492947E-4</v>
      </c>
      <c r="S562" s="5">
        <f>(Cotacoes!S562-Cotacoes!S561)/Cotacoes!S561</f>
        <v>8.758210822646266E-3</v>
      </c>
      <c r="T562" s="5">
        <f>(Cotacoes!T562-Cotacoes!T561)/Cotacoes!T561</f>
        <v>1.3639181649100983E-2</v>
      </c>
      <c r="U562" s="5">
        <f>(Cotacoes!U562-Cotacoes!U561)/Cotacoes!U561</f>
        <v>2.2325959001420624E-3</v>
      </c>
      <c r="V562" s="5">
        <f>(Cotacoes!V562-Cotacoes!V561)/Cotacoes!V561</f>
        <v>-7.3409461663947687E-3</v>
      </c>
      <c r="W562" s="5"/>
    </row>
    <row r="563" spans="1:23" x14ac:dyDescent="0.2">
      <c r="A563" s="4">
        <v>45385</v>
      </c>
      <c r="B563" s="5">
        <f>(Cotacoes!B563-Cotacoes!B562)/Cotacoes!B562</f>
        <v>1.9798246441030259E-3</v>
      </c>
      <c r="C563" s="5">
        <f>(Cotacoes!C563-Cotacoes!C562)/Cotacoes!C562</f>
        <v>-1.4352350197344892E-2</v>
      </c>
      <c r="D563" s="5">
        <f>(Cotacoes!D563-Cotacoes!D562)/Cotacoes!D562</f>
        <v>-5.1679586563307539E-3</v>
      </c>
      <c r="E563" s="5">
        <f>(Cotacoes!E563-Cotacoes!E562)/Cotacoes!E562</f>
        <v>-7.1916576770945451E-3</v>
      </c>
      <c r="F563" s="5">
        <f>(Cotacoes!F563-Cotacoes!F562)/Cotacoes!F562</f>
        <v>-7.7615647314498602E-3</v>
      </c>
      <c r="G563" s="5">
        <f>(Cotacoes!G563-Cotacoes!G562)/Cotacoes!G562</f>
        <v>-7.2483221476510908E-3</v>
      </c>
      <c r="H563" s="5">
        <f>(Cotacoes!H563-Cotacoes!H562)/Cotacoes!H562</f>
        <v>3.9370078740158044E-3</v>
      </c>
      <c r="I563" s="5">
        <f>(Cotacoes!I563-Cotacoes!I562)/Cotacoes!I562</f>
        <v>3.2432432432431741E-3</v>
      </c>
      <c r="J563" s="5">
        <f>(Cotacoes!J563-Cotacoes!J562)/Cotacoes!J562</f>
        <v>1.755241345685029E-2</v>
      </c>
      <c r="K563" s="5">
        <f>(Cotacoes!K563-Cotacoes!K562)/Cotacoes!K562</f>
        <v>1.9952114924181964E-2</v>
      </c>
      <c r="L563" s="5">
        <f>(Cotacoes!L563-Cotacoes!L562)/Cotacoes!L562</f>
        <v>-2.6478375992938534E-3</v>
      </c>
      <c r="M563" s="5">
        <f>(Cotacoes!M563-Cotacoes!M562)/Cotacoes!M562</f>
        <v>1.4109347442680789E-2</v>
      </c>
      <c r="N563" s="5">
        <f>(Cotacoes!N563-Cotacoes!N562)/Cotacoes!N562</f>
        <v>0</v>
      </c>
      <c r="O563" s="5">
        <f>(Cotacoes!O563-Cotacoes!O562)/Cotacoes!O562</f>
        <v>6.2320230105464532E-3</v>
      </c>
      <c r="P563" s="5">
        <f>(Cotacoes!P563-Cotacoes!P562)/Cotacoes!P562</f>
        <v>1.0696821515892465E-2</v>
      </c>
      <c r="Q563" s="5">
        <f>(Cotacoes!Q563-Cotacoes!Q562)/Cotacoes!Q562</f>
        <v>-9.6093257718966527E-3</v>
      </c>
      <c r="R563" s="5">
        <f>(Cotacoes!R563-Cotacoes!R562)/Cotacoes!R562</f>
        <v>-2.925687536570512E-4</v>
      </c>
      <c r="S563" s="5">
        <f>(Cotacoes!S563-Cotacoes!S562)/Cotacoes!S562</f>
        <v>1.5503875968991367E-3</v>
      </c>
      <c r="T563" s="5">
        <f>(Cotacoes!T563-Cotacoes!T562)/Cotacoes!T562</f>
        <v>6.9317023445464509E-3</v>
      </c>
      <c r="U563" s="5">
        <f>(Cotacoes!U563-Cotacoes!U562)/Cotacoes!U562</f>
        <v>-1.1138112596192877E-2</v>
      </c>
      <c r="V563" s="5">
        <f>(Cotacoes!V563-Cotacoes!V562)/Cotacoes!V562</f>
        <v>1.9309778142974483E-2</v>
      </c>
      <c r="W563" s="5"/>
    </row>
    <row r="564" spans="1:23" x14ac:dyDescent="0.2">
      <c r="A564" s="4">
        <v>45386</v>
      </c>
      <c r="B564" s="5">
        <f>(Cotacoes!B564-Cotacoes!B563)/Cotacoes!B563</f>
        <v>-5.3631915694392863E-3</v>
      </c>
      <c r="C564" s="5">
        <f>(Cotacoes!C564-Cotacoes!C563)/Cotacoes!C563</f>
        <v>-1.1103021477975964E-2</v>
      </c>
      <c r="D564" s="5">
        <f>(Cotacoes!D564-Cotacoes!D563)/Cotacoes!D563</f>
        <v>-1.3961038961038952E-2</v>
      </c>
      <c r="E564" s="5">
        <f>(Cotacoes!E564-Cotacoes!E563)/Cotacoes!E563</f>
        <v>-1.3400941687794314E-2</v>
      </c>
      <c r="F564" s="5">
        <f>(Cotacoes!F564-Cotacoes!F563)/Cotacoes!F563</f>
        <v>-4.6933667083855482E-3</v>
      </c>
      <c r="G564" s="5">
        <f>(Cotacoes!G564-Cotacoes!G563)/Cotacoes!G563</f>
        <v>5.6787452677123E-3</v>
      </c>
      <c r="H564" s="5">
        <f>(Cotacoes!H564-Cotacoes!H563)/Cotacoes!H563</f>
        <v>7.0588235294117537E-3</v>
      </c>
      <c r="I564" s="5">
        <f>(Cotacoes!I564-Cotacoes!I563)/Cotacoes!I563</f>
        <v>4.8491379310344751E-3</v>
      </c>
      <c r="J564" s="5">
        <f>(Cotacoes!J564-Cotacoes!J563)/Cotacoes!J563</f>
        <v>1.0421657882127339E-2</v>
      </c>
      <c r="K564" s="5">
        <f>(Cotacoes!K564-Cotacoes!K563)/Cotacoes!K563</f>
        <v>5.4773082942097253E-3</v>
      </c>
      <c r="L564" s="5">
        <f>(Cotacoes!L564-Cotacoes!L563)/Cotacoes!L563</f>
        <v>2.3008849557522103E-2</v>
      </c>
      <c r="M564" s="5">
        <f>(Cotacoes!M564-Cotacoes!M563)/Cotacoes!M563</f>
        <v>1.7391304347825717E-3</v>
      </c>
      <c r="N564" s="5">
        <f>(Cotacoes!N564-Cotacoes!N563)/Cotacoes!N563</f>
        <v>-1.2687427912341342E-2</v>
      </c>
      <c r="O564" s="5">
        <f>(Cotacoes!O564-Cotacoes!O563)/Cotacoes!O563</f>
        <v>2.0962363030014353E-2</v>
      </c>
      <c r="P564" s="5">
        <f>(Cotacoes!P564-Cotacoes!P563)/Cotacoes!P563</f>
        <v>-1.5724221348654463E-2</v>
      </c>
      <c r="Q564" s="5">
        <f>(Cotacoes!Q564-Cotacoes!Q563)/Cotacoes!Q563</f>
        <v>-1.1293144584062364E-2</v>
      </c>
      <c r="R564" s="5">
        <f>(Cotacoes!R564-Cotacoes!R563)/Cotacoes!R563</f>
        <v>9.0722856306700364E-3</v>
      </c>
      <c r="S564" s="5">
        <f>(Cotacoes!S564-Cotacoes!S563)/Cotacoes!S563</f>
        <v>2.4767801857586815E-3</v>
      </c>
      <c r="T564" s="5">
        <f>(Cotacoes!T564-Cotacoes!T563)/Cotacoes!T563</f>
        <v>1.336302895322933E-2</v>
      </c>
      <c r="U564" s="5">
        <f>(Cotacoes!U564-Cotacoes!U563)/Cotacoes!U563</f>
        <v>3.0104443989350787E-2</v>
      </c>
      <c r="V564" s="5">
        <f>(Cotacoes!V564-Cotacoes!V563)/Cotacoes!V563</f>
        <v>1.9750100765820316E-2</v>
      </c>
      <c r="W564" s="5"/>
    </row>
    <row r="565" spans="1:23" x14ac:dyDescent="0.2">
      <c r="A565" s="4">
        <v>45387</v>
      </c>
      <c r="B565" s="5">
        <f>(Cotacoes!B565-Cotacoes!B564)/Cotacoes!B564</f>
        <v>1.84466937848832E-2</v>
      </c>
      <c r="C565" s="5">
        <f>(Cotacoes!C565-Cotacoes!C564)/Cotacoes!C564</f>
        <v>-1.1043622308117089E-2</v>
      </c>
      <c r="D565" s="5">
        <f>(Cotacoes!D565-Cotacoes!D564)/Cotacoes!D564</f>
        <v>5.9269015475798392E-3</v>
      </c>
      <c r="E565" s="5">
        <f>(Cotacoes!E565-Cotacoes!E564)/Cotacoes!E564</f>
        <v>-1.8355359765050354E-3</v>
      </c>
      <c r="F565" s="5">
        <f>(Cotacoes!F565-Cotacoes!F564)/Cotacoes!F564</f>
        <v>-1.8861993083935469E-3</v>
      </c>
      <c r="G565" s="5">
        <f>(Cotacoes!G565-Cotacoes!G564)/Cotacoes!G564</f>
        <v>-2.9577843506318753E-3</v>
      </c>
      <c r="H565" s="5">
        <f>(Cotacoes!H565-Cotacoes!H564)/Cotacoes!H564</f>
        <v>3.8940809968847907E-3</v>
      </c>
      <c r="I565" s="5">
        <f>(Cotacoes!I565-Cotacoes!I564)/Cotacoes!I564</f>
        <v>-8.0428954423576499E-4</v>
      </c>
      <c r="J565" s="5">
        <f>(Cotacoes!J565-Cotacoes!J564)/Cotacoes!J564</f>
        <v>-2.2525192649673711E-3</v>
      </c>
      <c r="K565" s="5">
        <f>(Cotacoes!K565-Cotacoes!K564)/Cotacoes!K564</f>
        <v>-2.334630350194503E-3</v>
      </c>
      <c r="L565" s="5">
        <f>(Cotacoes!L565-Cotacoes!L564)/Cotacoes!L564</f>
        <v>2.5951557093425053E-3</v>
      </c>
      <c r="M565" s="5">
        <f>(Cotacoes!M565-Cotacoes!M564)/Cotacoes!M564</f>
        <v>-1.9097222222222123E-2</v>
      </c>
      <c r="N565" s="5">
        <f>(Cotacoes!N565-Cotacoes!N564)/Cotacoes!N564</f>
        <v>-5.8411214953271859E-3</v>
      </c>
      <c r="O565" s="5">
        <f>(Cotacoes!O565-Cotacoes!O564)/Cotacoes!O564</f>
        <v>-8.3994400373308322E-3</v>
      </c>
      <c r="P565" s="5">
        <f>(Cotacoes!P565-Cotacoes!P564)/Cotacoes!P564</f>
        <v>-6.1443932411673046E-3</v>
      </c>
      <c r="Q565" s="5">
        <f>(Cotacoes!Q565-Cotacoes!Q564)/Cotacoes!Q564</f>
        <v>-1.6731016731016717E-2</v>
      </c>
      <c r="R565" s="5">
        <f>(Cotacoes!R565-Cotacoes!R564)/Cotacoes!R564</f>
        <v>-1.0730858468677421E-2</v>
      </c>
      <c r="S565" s="5">
        <f>(Cotacoes!S565-Cotacoes!S564)/Cotacoes!S564</f>
        <v>-1.5132798023471339E-2</v>
      </c>
      <c r="T565" s="5">
        <f>(Cotacoes!T565-Cotacoes!T564)/Cotacoes!T564</f>
        <v>7.9920079920081065E-3</v>
      </c>
      <c r="U565" s="5">
        <f>(Cotacoes!U565-Cotacoes!U564)/Cotacoes!U564</f>
        <v>-4.3737574552683671E-3</v>
      </c>
      <c r="V565" s="5">
        <f>(Cotacoes!V565-Cotacoes!V564)/Cotacoes!V564</f>
        <v>-3.2015810276679928E-2</v>
      </c>
      <c r="W565" s="5"/>
    </row>
    <row r="566" spans="1:23" x14ac:dyDescent="0.2">
      <c r="A566" s="4">
        <v>45390</v>
      </c>
      <c r="B566" s="5">
        <f>(Cotacoes!B566-Cotacoes!B565)/Cotacoes!B565</f>
        <v>4.9229054430615007E-3</v>
      </c>
      <c r="C566" s="5">
        <f>(Cotacoes!C566-Cotacoes!C565)/Cotacoes!C565</f>
        <v>5.4718034617532198E-2</v>
      </c>
      <c r="D566" s="5">
        <f>(Cotacoes!D566-Cotacoes!D565)/Cotacoes!D565</f>
        <v>1.3747954173486027E-2</v>
      </c>
      <c r="E566" s="5">
        <f>(Cotacoes!E566-Cotacoes!E565)/Cotacoes!E565</f>
        <v>1.5079073188672311E-2</v>
      </c>
      <c r="F566" s="5">
        <f>(Cotacoes!F566-Cotacoes!F565)/Cotacoes!F565</f>
        <v>1.4173228346456783E-2</v>
      </c>
      <c r="G566" s="5">
        <f>(Cotacoes!G566-Cotacoes!G565)/Cotacoes!G565</f>
        <v>5.3937432578210045E-3</v>
      </c>
      <c r="H566" s="5">
        <f>(Cotacoes!H566-Cotacoes!H565)/Cotacoes!H565</f>
        <v>1.5903801396431348E-2</v>
      </c>
      <c r="I566" s="5">
        <f>(Cotacoes!I566-Cotacoes!I565)/Cotacoes!I565</f>
        <v>9.122618728199524E-3</v>
      </c>
      <c r="J566" s="5">
        <f>(Cotacoes!J566-Cotacoes!J565)/Cotacoes!J565</f>
        <v>4.0399239543726642E-3</v>
      </c>
      <c r="K566" s="5">
        <f>(Cotacoes!K566-Cotacoes!K565)/Cotacoes!K565</f>
        <v>7.0202808112324383E-3</v>
      </c>
      <c r="L566" s="5">
        <f>(Cotacoes!L566-Cotacoes!L565)/Cotacoes!L565</f>
        <v>1.1216566005176945E-2</v>
      </c>
      <c r="M566" s="5">
        <f>(Cotacoes!M566-Cotacoes!M565)/Cotacoes!M565</f>
        <v>-5.3097345132743796E-3</v>
      </c>
      <c r="N566" s="5">
        <f>(Cotacoes!N566-Cotacoes!N565)/Cotacoes!N565</f>
        <v>1.1750881316098666E-2</v>
      </c>
      <c r="O566" s="5">
        <f>(Cotacoes!O566-Cotacoes!O565)/Cotacoes!O565</f>
        <v>1.4117647058823563E-2</v>
      </c>
      <c r="P566" s="5">
        <f>(Cotacoes!P566-Cotacoes!P565)/Cotacoes!P565</f>
        <v>3.4003091190108014E-3</v>
      </c>
      <c r="Q566" s="5">
        <f>(Cotacoes!Q566-Cotacoes!Q565)/Cotacoes!Q565</f>
        <v>-3.2722513089004542E-3</v>
      </c>
      <c r="R566" s="5">
        <f>(Cotacoes!R566-Cotacoes!R565)/Cotacoes!R565</f>
        <v>2.5798885957197377E-2</v>
      </c>
      <c r="S566" s="5">
        <f>(Cotacoes!S566-Cotacoes!S565)/Cotacoes!S565</f>
        <v>8.7801818751960213E-3</v>
      </c>
      <c r="T566" s="5">
        <f>(Cotacoes!T566-Cotacoes!T565)/Cotacoes!T565</f>
        <v>-1.565906838453927E-2</v>
      </c>
      <c r="U566" s="5">
        <f>(Cotacoes!U566-Cotacoes!U565)/Cotacoes!U565</f>
        <v>1.3578274760383381E-2</v>
      </c>
      <c r="V566" s="5">
        <f>(Cotacoes!V566-Cotacoes!V565)/Cotacoes!V565</f>
        <v>-5.7166190281746441E-3</v>
      </c>
      <c r="W566" s="5"/>
    </row>
    <row r="567" spans="1:23" x14ac:dyDescent="0.2">
      <c r="A567" s="4">
        <v>45391</v>
      </c>
      <c r="B567" s="5">
        <f>(Cotacoes!B567-Cotacoes!B566)/Cotacoes!B566</f>
        <v>-1.1738608004436603E-2</v>
      </c>
      <c r="C567" s="5">
        <f>(Cotacoes!C567-Cotacoes!C566)/Cotacoes!C566</f>
        <v>-6.705487912475782E-3</v>
      </c>
      <c r="D567" s="5">
        <f>(Cotacoes!D567-Cotacoes!D566)/Cotacoes!D566</f>
        <v>2.5831449790120068E-3</v>
      </c>
      <c r="E567" s="5">
        <f>(Cotacoes!E567-Cotacoes!E566)/Cotacoes!E566</f>
        <v>1.0507246376811562E-2</v>
      </c>
      <c r="F567" s="5">
        <f>(Cotacoes!F567-Cotacoes!F566)/Cotacoes!F566</f>
        <v>5.2795031055898941E-3</v>
      </c>
      <c r="G567" s="5">
        <f>(Cotacoes!G567-Cotacoes!G566)/Cotacoes!G566</f>
        <v>1.582618025751063E-2</v>
      </c>
      <c r="H567" s="5">
        <f>(Cotacoes!H567-Cotacoes!H566)/Cotacoes!H566</f>
        <v>8.400152730049593E-3</v>
      </c>
      <c r="I567" s="5">
        <f>(Cotacoes!I567-Cotacoes!I566)/Cotacoes!I566</f>
        <v>3.722414251528864E-3</v>
      </c>
      <c r="J567" s="5">
        <f>(Cotacoes!J567-Cotacoes!J566)/Cotacoes!J566</f>
        <v>5.4437869822484466E-3</v>
      </c>
      <c r="K567" s="5">
        <f>(Cotacoes!K567-Cotacoes!K566)/Cotacoes!K566</f>
        <v>6.196746707978317E-3</v>
      </c>
      <c r="L567" s="5">
        <f>(Cotacoes!L567-Cotacoes!L566)/Cotacoes!L566</f>
        <v>2.1331058020477814E-2</v>
      </c>
      <c r="M567" s="5">
        <f>(Cotacoes!M567-Cotacoes!M566)/Cotacoes!M566</f>
        <v>1.6014234875444813E-2</v>
      </c>
      <c r="N567" s="5">
        <f>(Cotacoes!N567-Cotacoes!N566)/Cotacoes!N566</f>
        <v>1.0452961672473851E-2</v>
      </c>
      <c r="O567" s="5">
        <f>(Cotacoes!O567-Cotacoes!O566)/Cotacoes!O566</f>
        <v>3.9907192575406002E-2</v>
      </c>
      <c r="P567" s="5">
        <f>(Cotacoes!P567-Cotacoes!P566)/Cotacoes!P566</f>
        <v>1.8484288354899037E-3</v>
      </c>
      <c r="Q567" s="5">
        <f>(Cotacoes!Q567-Cotacoes!Q566)/Cotacoes!Q566</f>
        <v>-4.9244911359160254E-3</v>
      </c>
      <c r="R567" s="5">
        <f>(Cotacoes!R567-Cotacoes!R566)/Cotacoes!R566</f>
        <v>2.8579594169757103E-4</v>
      </c>
      <c r="S567" s="5">
        <f>(Cotacoes!S567-Cotacoes!S566)/Cotacoes!S566</f>
        <v>1.6474976686353782E-2</v>
      </c>
      <c r="T567" s="5">
        <f>(Cotacoes!T567-Cotacoes!T566)/Cotacoes!T566</f>
        <v>3.6246476037053331E-3</v>
      </c>
      <c r="U567" s="5">
        <f>(Cotacoes!U567-Cotacoes!U566)/Cotacoes!U566</f>
        <v>2.6398739164696681E-2</v>
      </c>
      <c r="V567" s="5">
        <f>(Cotacoes!V567-Cotacoes!V566)/Cotacoes!V566</f>
        <v>1.3141683778234096E-2</v>
      </c>
      <c r="W567" s="5"/>
    </row>
    <row r="568" spans="1:23" x14ac:dyDescent="0.2">
      <c r="A568" s="4">
        <v>45392</v>
      </c>
      <c r="B568" s="5">
        <f>(Cotacoes!B568-Cotacoes!B567)/Cotacoes!B567</f>
        <v>-4.1152263374485383E-3</v>
      </c>
      <c r="C568" s="5">
        <f>(Cotacoes!C568-Cotacoes!C567)/Cotacoes!C567</f>
        <v>-1.5278024515899795E-2</v>
      </c>
      <c r="D568" s="5">
        <f>(Cotacoes!D568-Cotacoes!D567)/Cotacoes!D567</f>
        <v>2.222222222222215E-2</v>
      </c>
      <c r="E568" s="5">
        <f>(Cotacoes!E568-Cotacoes!E567)/Cotacoes!E567</f>
        <v>-2.1154535675869481E-2</v>
      </c>
      <c r="F568" s="5">
        <f>(Cotacoes!F568-Cotacoes!F567)/Cotacoes!F567</f>
        <v>2.9966017917825334E-2</v>
      </c>
      <c r="G568" s="5">
        <f>(Cotacoes!G568-Cotacoes!G567)/Cotacoes!G567</f>
        <v>-1.0298389226300518E-2</v>
      </c>
      <c r="H568" s="5">
        <f>(Cotacoes!H568-Cotacoes!H567)/Cotacoes!H567</f>
        <v>-1.3631200302915541E-2</v>
      </c>
      <c r="I568" s="5">
        <f>(Cotacoes!I568-Cotacoes!I567)/Cotacoes!I567</f>
        <v>-2.0927152317880771E-2</v>
      </c>
      <c r="J568" s="5">
        <f>(Cotacoes!J568-Cotacoes!J567)/Cotacoes!J567</f>
        <v>-1.3653483992467004E-2</v>
      </c>
      <c r="K568" s="5">
        <f>(Cotacoes!K568-Cotacoes!K567)/Cotacoes!K567</f>
        <v>-2.155504234026169E-2</v>
      </c>
      <c r="L568" s="5">
        <f>(Cotacoes!L568-Cotacoes!L567)/Cotacoes!L567</f>
        <v>-3.4252297410192159E-2</v>
      </c>
      <c r="M568" s="5">
        <f>(Cotacoes!M568-Cotacoes!M567)/Cotacoes!M567</f>
        <v>-2.1015761821366042E-2</v>
      </c>
      <c r="N568" s="5">
        <f>(Cotacoes!N568-Cotacoes!N567)/Cotacoes!N567</f>
        <v>-1.9540229885057464E-2</v>
      </c>
      <c r="O568" s="5">
        <f>(Cotacoes!O568-Cotacoes!O567)/Cotacoes!O567</f>
        <v>-2.6773761713520181E-3</v>
      </c>
      <c r="P568" s="5">
        <f>(Cotacoes!P568-Cotacoes!P567)/Cotacoes!P567</f>
        <v>8.9175891758917318E-3</v>
      </c>
      <c r="Q568" s="5">
        <f>(Cotacoes!Q568-Cotacoes!Q567)/Cotacoes!Q567</f>
        <v>-8.578027053777566E-3</v>
      </c>
      <c r="R568" s="5">
        <f>(Cotacoes!R568-Cotacoes!R567)/Cotacoes!R567</f>
        <v>-3.6571428571428602E-2</v>
      </c>
      <c r="S568" s="5">
        <f>(Cotacoes!S568-Cotacoes!S567)/Cotacoes!S567</f>
        <v>-2.1406727828746263E-2</v>
      </c>
      <c r="T568" s="5">
        <f>(Cotacoes!T568-Cotacoes!T567)/Cotacoes!T567</f>
        <v>7.0224719101122449E-3</v>
      </c>
      <c r="U568" s="5">
        <f>(Cotacoes!U568-Cotacoes!U567)/Cotacoes!U567</f>
        <v>-3.1285988483685266E-2</v>
      </c>
      <c r="V568" s="5">
        <f>(Cotacoes!V568-Cotacoes!V567)/Cotacoes!V567</f>
        <v>-2.8374543980543284E-2</v>
      </c>
      <c r="W568" s="5"/>
    </row>
    <row r="569" spans="1:23" x14ac:dyDescent="0.2">
      <c r="A569" s="4">
        <v>45393</v>
      </c>
      <c r="B569" s="5">
        <f>(Cotacoes!B569-Cotacoes!B568)/Cotacoes!B568</f>
        <v>-1.3993238166791971E-2</v>
      </c>
      <c r="C569" s="5">
        <f>(Cotacoes!C569-Cotacoes!C568)/Cotacoes!C568</f>
        <v>4.3297853148115103E-3</v>
      </c>
      <c r="D569" s="5">
        <f>(Cotacoes!D569-Cotacoes!D568)/Cotacoes!D568</f>
        <v>-7.246376811594105E-3</v>
      </c>
      <c r="E569" s="5">
        <f>(Cotacoes!E569-Cotacoes!E568)/Cotacoes!E568</f>
        <v>-1.8315018315018575E-3</v>
      </c>
      <c r="F569" s="5">
        <f>(Cotacoes!F569-Cotacoes!F568)/Cotacoes!F568</f>
        <v>-8.9982003599281407E-3</v>
      </c>
      <c r="G569" s="5">
        <f>(Cotacoes!G569-Cotacoes!G568)/Cotacoes!G568</f>
        <v>-4.2689434364993756E-3</v>
      </c>
      <c r="H569" s="5">
        <f>(Cotacoes!H569-Cotacoes!H568)/Cotacoes!H568</f>
        <v>2.3032629558540777E-3</v>
      </c>
      <c r="I569" s="5">
        <f>(Cotacoes!I569-Cotacoes!I568)/Cotacoes!I568</f>
        <v>-4.6266233766233789E-2</v>
      </c>
      <c r="J569" s="5">
        <f>(Cotacoes!J569-Cotacoes!J568)/Cotacoes!J568</f>
        <v>-1.7064439140811367E-2</v>
      </c>
      <c r="K569" s="5">
        <f>(Cotacoes!K569-Cotacoes!K568)/Cotacoes!K568</f>
        <v>-7.8678206136912373E-4</v>
      </c>
      <c r="L569" s="5">
        <f>(Cotacoes!L569-Cotacoes!L568)/Cotacoes!L568</f>
        <v>1.7301038062283367E-3</v>
      </c>
      <c r="M569" s="5">
        <f>(Cotacoes!M569-Cotacoes!M568)/Cotacoes!M568</f>
        <v>8.0500894454382695E-3</v>
      </c>
      <c r="N569" s="5">
        <f>(Cotacoes!N569-Cotacoes!N568)/Cotacoes!N568</f>
        <v>0</v>
      </c>
      <c r="O569" s="5">
        <f>(Cotacoes!O569-Cotacoes!O568)/Cotacoes!O568</f>
        <v>-2.2371364653244164E-3</v>
      </c>
      <c r="P569" s="5">
        <f>(Cotacoes!P569-Cotacoes!P568)/Cotacoes!P568</f>
        <v>-6.7052727826881695E-3</v>
      </c>
      <c r="Q569" s="5">
        <f>(Cotacoes!Q569-Cotacoes!Q568)/Cotacoes!Q568</f>
        <v>-8.81863560732115E-3</v>
      </c>
      <c r="R569" s="5">
        <f>(Cotacoes!R569-Cotacoes!R568)/Cotacoes!R568</f>
        <v>-8.0071174377223022E-3</v>
      </c>
      <c r="S569" s="5">
        <f>(Cotacoes!S569-Cotacoes!S568)/Cotacoes!S568</f>
        <v>-5.6249999999999911E-3</v>
      </c>
      <c r="T569" s="5">
        <f>(Cotacoes!T569-Cotacoes!T568)/Cotacoes!T568</f>
        <v>-7.7704722056186606E-3</v>
      </c>
      <c r="U569" s="5">
        <f>(Cotacoes!U569-Cotacoes!U568)/Cotacoes!U568</f>
        <v>-5.9441252229046398E-3</v>
      </c>
      <c r="V569" s="5">
        <f>(Cotacoes!V569-Cotacoes!V568)/Cotacoes!V568</f>
        <v>-6.6750104297038024E-3</v>
      </c>
      <c r="W569" s="5"/>
    </row>
    <row r="570" spans="1:23" x14ac:dyDescent="0.2">
      <c r="A570" s="4">
        <v>45394</v>
      </c>
      <c r="B570" s="5">
        <f>(Cotacoes!B570-Cotacoes!B569)/Cotacoes!B569</f>
        <v>-4.190875321459165E-3</v>
      </c>
      <c r="C570" s="5">
        <f>(Cotacoes!C570-Cotacoes!C569)/Cotacoes!C569</f>
        <v>-3.7722292078318817E-3</v>
      </c>
      <c r="D570" s="5">
        <f>(Cotacoes!D570-Cotacoes!D569)/Cotacoes!D569</f>
        <v>-9.2034274833387077E-3</v>
      </c>
      <c r="E570" s="5">
        <f>(Cotacoes!E570-Cotacoes!E569)/Cotacoes!E569</f>
        <v>-1.0275229357798206E-2</v>
      </c>
      <c r="F570" s="5">
        <f>(Cotacoes!F570-Cotacoes!F569)/Cotacoes!F569</f>
        <v>-8.1719128329296627E-3</v>
      </c>
      <c r="G570" s="5">
        <f>(Cotacoes!G570-Cotacoes!G569)/Cotacoes!G569</f>
        <v>-6.6988210075026797E-3</v>
      </c>
      <c r="H570" s="5">
        <f>(Cotacoes!H570-Cotacoes!H569)/Cotacoes!H569</f>
        <v>-1.2638835695135898E-2</v>
      </c>
      <c r="I570" s="5">
        <f>(Cotacoes!I570-Cotacoes!I569)/Cotacoes!I569</f>
        <v>4.8226950354610413E-3</v>
      </c>
      <c r="J570" s="5">
        <f>(Cotacoes!J570-Cotacoes!J569)/Cotacoes!J569</f>
        <v>-1.8453320383634942E-2</v>
      </c>
      <c r="K570" s="5">
        <f>(Cotacoes!K570-Cotacoes!K569)/Cotacoes!K569</f>
        <v>-1.1811023622047133E-2</v>
      </c>
      <c r="L570" s="5">
        <f>(Cotacoes!L570-Cotacoes!L569)/Cotacoes!L569</f>
        <v>-2.3316062176165765E-2</v>
      </c>
      <c r="M570" s="5">
        <f>(Cotacoes!M570-Cotacoes!M569)/Cotacoes!M569</f>
        <v>-6.2111801242236281E-3</v>
      </c>
      <c r="N570" s="5">
        <f>(Cotacoes!N570-Cotacoes!N569)/Cotacoes!N569</f>
        <v>-1.0550996483001156E-2</v>
      </c>
      <c r="O570" s="5">
        <f>(Cotacoes!O570-Cotacoes!O569)/Cotacoes!O569</f>
        <v>-8.9686098654708207E-3</v>
      </c>
      <c r="P570" s="5">
        <f>(Cotacoes!P570-Cotacoes!P569)/Cotacoes!P569</f>
        <v>-2.6388462718625435E-2</v>
      </c>
      <c r="Q570" s="5">
        <f>(Cotacoes!Q570-Cotacoes!Q569)/Cotacoes!Q569</f>
        <v>-1.6786973308709099E-4</v>
      </c>
      <c r="R570" s="5">
        <f>(Cotacoes!R570-Cotacoes!R569)/Cotacoes!R569</f>
        <v>-1.1958146487294638E-2</v>
      </c>
      <c r="S570" s="5">
        <f>(Cotacoes!S570-Cotacoes!S569)/Cotacoes!S569</f>
        <v>-5.656819610307973E-3</v>
      </c>
      <c r="T570" s="5">
        <f>(Cotacoes!T570-Cotacoes!T569)/Cotacoes!T569</f>
        <v>2.1285140562249043E-2</v>
      </c>
      <c r="U570" s="5">
        <f>(Cotacoes!U570-Cotacoes!U569)/Cotacoes!U569</f>
        <v>-2.6709188758222112E-2</v>
      </c>
      <c r="V570" s="5">
        <f>(Cotacoes!V570-Cotacoes!V569)/Cotacoes!V569</f>
        <v>-4.1999160016791313E-4</v>
      </c>
      <c r="W570" s="5"/>
    </row>
    <row r="571" spans="1:23" x14ac:dyDescent="0.2">
      <c r="A571" s="4">
        <v>45397</v>
      </c>
      <c r="B571" s="5">
        <f>(Cotacoes!B571-Cotacoes!B570)/Cotacoes!B570</f>
        <v>-5.0693448110951805E-3</v>
      </c>
      <c r="C571" s="5">
        <f>(Cotacoes!C571-Cotacoes!C570)/Cotacoes!C570</f>
        <v>5.7699242697439651E-3</v>
      </c>
      <c r="D571" s="5">
        <f>(Cotacoes!D571-Cotacoes!D570)/Cotacoes!D570</f>
        <v>9.6092248558616502E-3</v>
      </c>
      <c r="E571" s="5">
        <f>(Cotacoes!E571-Cotacoes!E570)/Cotacoes!E570</f>
        <v>-1.7055988134964676E-2</v>
      </c>
      <c r="F571" s="5">
        <f>(Cotacoes!F571-Cotacoes!F570)/Cotacoes!F570</f>
        <v>1.4647543484894623E-2</v>
      </c>
      <c r="G571" s="5">
        <f>(Cotacoes!G571-Cotacoes!G570)/Cotacoes!G570</f>
        <v>-8.9020771513352651E-3</v>
      </c>
      <c r="H571" s="5">
        <f>(Cotacoes!H571-Cotacoes!H570)/Cotacoes!H570</f>
        <v>-9.309542280837935E-3</v>
      </c>
      <c r="I571" s="5">
        <f>(Cotacoes!I571-Cotacoes!I570)/Cotacoes!I570</f>
        <v>-1.3551665725578881E-2</v>
      </c>
      <c r="J571" s="5">
        <f>(Cotacoes!J571-Cotacoes!J570)/Cotacoes!J570</f>
        <v>-2.4737167594309048E-3</v>
      </c>
      <c r="K571" s="5">
        <f>(Cotacoes!K571-Cotacoes!K570)/Cotacoes!K570</f>
        <v>-1.5139442231075799E-2</v>
      </c>
      <c r="L571" s="5">
        <f>(Cotacoes!L571-Cotacoes!L570)/Cotacoes!L570</f>
        <v>-1.9451812555260888E-2</v>
      </c>
      <c r="M571" s="5">
        <f>(Cotacoes!M571-Cotacoes!M570)/Cotacoes!M570</f>
        <v>-4.4642857142856195E-3</v>
      </c>
      <c r="N571" s="5">
        <f>(Cotacoes!N571-Cotacoes!N570)/Cotacoes!N570</f>
        <v>-1.7772511848341277E-2</v>
      </c>
      <c r="O571" s="5">
        <f>(Cotacoes!O571-Cotacoes!O570)/Cotacoes!O570</f>
        <v>4.2081447963800887E-2</v>
      </c>
      <c r="P571" s="5">
        <f>(Cotacoes!P571-Cotacoes!P570)/Cotacoes!P570</f>
        <v>-1.0715411282697757E-2</v>
      </c>
      <c r="Q571" s="5">
        <f>(Cotacoes!Q571-Cotacoes!Q570)/Cotacoes!Q570</f>
        <v>-2.518468770987335E-3</v>
      </c>
      <c r="R571" s="5">
        <f>(Cotacoes!R571-Cotacoes!R570)/Cotacoes!R570</f>
        <v>-1.9364599092284437E-2</v>
      </c>
      <c r="S571" s="5">
        <f>(Cotacoes!S571-Cotacoes!S570)/Cotacoes!S570</f>
        <v>-4.7408343868521529E-3</v>
      </c>
      <c r="T571" s="5">
        <f>(Cotacoes!T571-Cotacoes!T570)/Cotacoes!T570</f>
        <v>-1.4942980731419545E-2</v>
      </c>
      <c r="U571" s="5">
        <f>(Cotacoes!U571-Cotacoes!U570)/Cotacoes!U570</f>
        <v>-2.457505631783731E-2</v>
      </c>
      <c r="V571" s="5">
        <f>(Cotacoes!V571-Cotacoes!V570)/Cotacoes!V570</f>
        <v>-2.3109243697479021E-2</v>
      </c>
      <c r="W571" s="5"/>
    </row>
    <row r="572" spans="1:23" x14ac:dyDescent="0.2">
      <c r="A572" s="4">
        <v>45398</v>
      </c>
      <c r="B572" s="5">
        <f>(Cotacoes!B572-Cotacoes!B571)/Cotacoes!B571</f>
        <v>-3.5570082676407455E-3</v>
      </c>
      <c r="C572" s="5">
        <f>(Cotacoes!C572-Cotacoes!C571)/Cotacoes!C571</f>
        <v>-8.784510577267873E-3</v>
      </c>
      <c r="D572" s="5">
        <f>(Cotacoes!D572-Cotacoes!D571)/Cotacoes!D571</f>
        <v>4.441624365482252E-3</v>
      </c>
      <c r="E572" s="5">
        <f>(Cotacoes!E572-Cotacoes!E571)/Cotacoes!E571</f>
        <v>-7.5443228970200988E-3</v>
      </c>
      <c r="F572" s="5">
        <f>(Cotacoes!F572-Cotacoes!F571)/Cotacoes!F571</f>
        <v>5.1127819548872694E-3</v>
      </c>
      <c r="G572" s="5">
        <f>(Cotacoes!G572-Cotacoes!G571)/Cotacoes!G571</f>
        <v>2.994011976047908E-2</v>
      </c>
      <c r="H572" s="5">
        <f>(Cotacoes!H572-Cotacoes!H571)/Cotacoes!H571</f>
        <v>-1.1354737666405604E-2</v>
      </c>
      <c r="I572" s="5">
        <f>(Cotacoes!I572-Cotacoes!I571)/Cotacoes!I571</f>
        <v>-5.1516886090440675E-3</v>
      </c>
      <c r="J572" s="5">
        <f>(Cotacoes!J572-Cotacoes!J571)/Cotacoes!J571</f>
        <v>-7.687538747675195E-3</v>
      </c>
      <c r="K572" s="5">
        <f>(Cotacoes!K572-Cotacoes!K571)/Cotacoes!K571</f>
        <v>-7.2815533980582414E-3</v>
      </c>
      <c r="L572" s="5">
        <f>(Cotacoes!L572-Cotacoes!L571)/Cotacoes!L571</f>
        <v>-1.2623985572587969E-2</v>
      </c>
      <c r="M572" s="5">
        <f>(Cotacoes!M572-Cotacoes!M571)/Cotacoes!M571</f>
        <v>-1.0762331838565111E-2</v>
      </c>
      <c r="N572" s="5">
        <f>(Cotacoes!N572-Cotacoes!N571)/Cotacoes!N571</f>
        <v>-1.4475271411338871E-2</v>
      </c>
      <c r="O572" s="5">
        <f>(Cotacoes!O572-Cotacoes!O571)/Cotacoes!O571</f>
        <v>-1.7802865827181942E-2</v>
      </c>
      <c r="P572" s="5">
        <f>(Cotacoes!P572-Cotacoes!P571)/Cotacoes!P571</f>
        <v>1.0831474992035675E-2</v>
      </c>
      <c r="Q572" s="5">
        <f>(Cotacoes!Q572-Cotacoes!Q571)/Cotacoes!Q571</f>
        <v>4.8813331089043307E-3</v>
      </c>
      <c r="R572" s="5">
        <f>(Cotacoes!R572-Cotacoes!R571)/Cotacoes!R571</f>
        <v>-1.0182042579450734E-2</v>
      </c>
      <c r="S572" s="5">
        <f>(Cotacoes!S572-Cotacoes!S571)/Cotacoes!S571</f>
        <v>-5.0809780882819988E-3</v>
      </c>
      <c r="T572" s="5">
        <f>(Cotacoes!T572-Cotacoes!T571)/Cotacoes!T571</f>
        <v>-5.9880239520958929E-3</v>
      </c>
      <c r="U572" s="5">
        <f>(Cotacoes!U572-Cotacoes!U571)/Cotacoes!U571</f>
        <v>-1.0077682133109467E-2</v>
      </c>
      <c r="V572" s="5">
        <f>(Cotacoes!V572-Cotacoes!V571)/Cotacoes!V571</f>
        <v>-1.9354838709677389E-2</v>
      </c>
      <c r="W572" s="5"/>
    </row>
    <row r="573" spans="1:23" x14ac:dyDescent="0.2">
      <c r="A573" s="4">
        <v>45399</v>
      </c>
      <c r="B573" s="5">
        <f>(Cotacoes!B573-Cotacoes!B572)/Cotacoes!B572</f>
        <v>-2.797877472262482E-3</v>
      </c>
      <c r="C573" s="5">
        <f>(Cotacoes!C573-Cotacoes!C572)/Cotacoes!C572</f>
        <v>1.085187194791104E-2</v>
      </c>
      <c r="D573" s="5">
        <f>(Cotacoes!D573-Cotacoes!D572)/Cotacoes!D572</f>
        <v>7.2646873025900326E-3</v>
      </c>
      <c r="E573" s="5">
        <f>(Cotacoes!E573-Cotacoes!E572)/Cotacoes!E572</f>
        <v>7.6016723679207809E-4</v>
      </c>
      <c r="F573" s="5">
        <f>(Cotacoes!F573-Cotacoes!F572)/Cotacoes!F572</f>
        <v>1.1968880909634693E-3</v>
      </c>
      <c r="G573" s="5">
        <f>(Cotacoes!G573-Cotacoes!G572)/Cotacoes!G572</f>
        <v>-1.4270613107822573E-2</v>
      </c>
      <c r="H573" s="5">
        <f>(Cotacoes!H573-Cotacoes!H572)/Cotacoes!H572</f>
        <v>1.9801980198020084E-3</v>
      </c>
      <c r="I573" s="5">
        <f>(Cotacoes!I573-Cotacoes!I572)/Cotacoes!I572</f>
        <v>-5.7537399309549988E-3</v>
      </c>
      <c r="J573" s="5">
        <f>(Cotacoes!J573-Cotacoes!J572)/Cotacoes!J572</f>
        <v>1.7618393102586487E-2</v>
      </c>
      <c r="K573" s="5">
        <f>(Cotacoes!K573-Cotacoes!K572)/Cotacoes!K572</f>
        <v>-4.8899755501221453E-3</v>
      </c>
      <c r="L573" s="5">
        <f>(Cotacoes!L573-Cotacoes!L572)/Cotacoes!L572</f>
        <v>-8.2191780821917679E-3</v>
      </c>
      <c r="M573" s="5">
        <f>(Cotacoes!M573-Cotacoes!M572)/Cotacoes!M572</f>
        <v>-2.7198549410697519E-3</v>
      </c>
      <c r="N573" s="5">
        <f>(Cotacoes!N573-Cotacoes!N572)/Cotacoes!N572</f>
        <v>-3.6719706242349277E-3</v>
      </c>
      <c r="O573" s="5">
        <f>(Cotacoes!O573-Cotacoes!O572)/Cotacoes!O572</f>
        <v>-9.7259062776305222E-3</v>
      </c>
      <c r="P573" s="5">
        <f>(Cotacoes!P573-Cotacoes!P572)/Cotacoes!P572</f>
        <v>5.6728647967223354E-3</v>
      </c>
      <c r="Q573" s="5">
        <f>(Cotacoes!Q573-Cotacoes!Q572)/Cotacoes!Q572</f>
        <v>-8.7102177554439376E-3</v>
      </c>
      <c r="R573" s="5">
        <f>(Cotacoes!R573-Cotacoes!R572)/Cotacoes!R572</f>
        <v>-1.6832917705735636E-2</v>
      </c>
      <c r="S573" s="5">
        <f>(Cotacoes!S573-Cotacoes!S572)/Cotacoes!S572</f>
        <v>-6.0644749441429221E-3</v>
      </c>
      <c r="T573" s="5">
        <f>(Cotacoes!T573-Cotacoes!T572)/Cotacoes!T572</f>
        <v>-2.1485943775100408E-2</v>
      </c>
      <c r="U573" s="5">
        <f>(Cotacoes!U573-Cotacoes!U572)/Cotacoes!U572</f>
        <v>-1.272534464474977E-3</v>
      </c>
      <c r="V573" s="5">
        <f>(Cotacoes!V573-Cotacoes!V572)/Cotacoes!V572</f>
        <v>-5.7017543859648684E-3</v>
      </c>
      <c r="W573" s="5"/>
    </row>
    <row r="574" spans="1:23" x14ac:dyDescent="0.2">
      <c r="A574" s="4">
        <v>45400</v>
      </c>
      <c r="B574" s="5">
        <f>(Cotacoes!B574-Cotacoes!B573)/Cotacoes!B573</f>
        <v>1.1029411764705888E-2</v>
      </c>
      <c r="C574" s="5">
        <f>(Cotacoes!C574-Cotacoes!C573)/Cotacoes!C573</f>
        <v>3.7573805689747873E-3</v>
      </c>
      <c r="D574" s="5">
        <f>(Cotacoes!D574-Cotacoes!D573)/Cotacoes!D573</f>
        <v>1.8814675446848141E-3</v>
      </c>
      <c r="E574" s="5">
        <f>(Cotacoes!E574-Cotacoes!E573)/Cotacoes!E573</f>
        <v>1.1393847322446313E-3</v>
      </c>
      <c r="F574" s="5">
        <f>(Cotacoes!F574-Cotacoes!F573)/Cotacoes!F573</f>
        <v>-2.3909145248056872E-3</v>
      </c>
      <c r="G574" s="5">
        <f>(Cotacoes!G574-Cotacoes!G573)/Cotacoes!G573</f>
        <v>9.9195710455765307E-3</v>
      </c>
      <c r="H574" s="5">
        <f>(Cotacoes!H574-Cotacoes!H573)/Cotacoes!H573</f>
        <v>-1.5810276679841559E-3</v>
      </c>
      <c r="I574" s="5">
        <f>(Cotacoes!I574-Cotacoes!I573)/Cotacoes!I573</f>
        <v>-4.0509259259259422E-3</v>
      </c>
      <c r="J574" s="5">
        <f>(Cotacoes!J574-Cotacoes!J573)/Cotacoes!J573</f>
        <v>1.6331041257367368E-2</v>
      </c>
      <c r="K574" s="5">
        <f>(Cotacoes!K574-Cotacoes!K573)/Cotacoes!K573</f>
        <v>-4.0950040950041532E-3</v>
      </c>
      <c r="L574" s="5">
        <f>(Cotacoes!L574-Cotacoes!L573)/Cotacoes!L573</f>
        <v>-9.2081031307550323E-3</v>
      </c>
      <c r="M574" s="5">
        <f>(Cotacoes!M574-Cotacoes!M573)/Cotacoes!M573</f>
        <v>4.5454545454546103E-3</v>
      </c>
      <c r="N574" s="5">
        <f>(Cotacoes!N574-Cotacoes!N573)/Cotacoes!N573</f>
        <v>-1.2285012285012022E-3</v>
      </c>
      <c r="O574" s="5">
        <f>(Cotacoes!O574-Cotacoes!O573)/Cotacoes!O573</f>
        <v>1.339285714285765E-3</v>
      </c>
      <c r="P574" s="5">
        <f>(Cotacoes!P574-Cotacoes!P573)/Cotacoes!P573</f>
        <v>-3.4471952366029279E-3</v>
      </c>
      <c r="Q574" s="5">
        <f>(Cotacoes!Q574-Cotacoes!Q573)/Cotacoes!Q573</f>
        <v>-1.0138560324434315E-3</v>
      </c>
      <c r="R574" s="5">
        <f>(Cotacoes!R574-Cotacoes!R573)/Cotacoes!R573</f>
        <v>-6.3411540900443659E-3</v>
      </c>
      <c r="S574" s="5">
        <f>(Cotacoes!S574-Cotacoes!S573)/Cotacoes!S573</f>
        <v>-2.5690430314708364E-3</v>
      </c>
      <c r="T574" s="5">
        <f>(Cotacoes!T574-Cotacoes!T573)/Cotacoes!T573</f>
        <v>1.0465832136261136E-2</v>
      </c>
      <c r="U574" s="5">
        <f>(Cotacoes!U574-Cotacoes!U573)/Cotacoes!U573</f>
        <v>1.8050541516245366E-2</v>
      </c>
      <c r="V574" s="5">
        <f>(Cotacoes!V574-Cotacoes!V573)/Cotacoes!V573</f>
        <v>-2.2055580061755937E-3</v>
      </c>
      <c r="W574" s="5"/>
    </row>
    <row r="575" spans="1:23" x14ac:dyDescent="0.2">
      <c r="A575" s="4">
        <v>45401</v>
      </c>
      <c r="B575" s="5">
        <f>(Cotacoes!B575-Cotacoes!B574)/Cotacoes!B574</f>
        <v>3.636363636363593E-3</v>
      </c>
      <c r="C575" s="5">
        <f>(Cotacoes!C575-Cotacoes!C574)/Cotacoes!C574</f>
        <v>1.6399286987522313E-2</v>
      </c>
      <c r="D575" s="5">
        <f>(Cotacoes!D575-Cotacoes!D574)/Cotacoes!D574</f>
        <v>1.721439749608766E-2</v>
      </c>
      <c r="E575" s="5">
        <f>(Cotacoes!E575-Cotacoes!E574)/Cotacoes!E574</f>
        <v>-5.6904400606979733E-3</v>
      </c>
      <c r="F575" s="5">
        <f>(Cotacoes!F575-Cotacoes!F574)/Cotacoes!F574</f>
        <v>4.07429598562013E-2</v>
      </c>
      <c r="G575" s="5">
        <f>(Cotacoes!G575-Cotacoes!G574)/Cotacoes!G574</f>
        <v>-1.0618529333687057E-3</v>
      </c>
      <c r="H575" s="5">
        <f>(Cotacoes!H575-Cotacoes!H574)/Cotacoes!H574</f>
        <v>-7.5217735550277623E-3</v>
      </c>
      <c r="I575" s="5">
        <f>(Cotacoes!I575-Cotacoes!I574)/Cotacoes!I574</f>
        <v>-3.1958163858221795E-3</v>
      </c>
      <c r="J575" s="5">
        <f>(Cotacoes!J575-Cotacoes!J574)/Cotacoes!J574</f>
        <v>2.0780476017880863E-2</v>
      </c>
      <c r="K575" s="5">
        <f>(Cotacoes!K575-Cotacoes!K574)/Cotacoes!K574</f>
        <v>-9.8684210526316599E-3</v>
      </c>
      <c r="L575" s="5">
        <f>(Cotacoes!L575-Cotacoes!L574)/Cotacoes!L574</f>
        <v>3.7174721189591939E-3</v>
      </c>
      <c r="M575" s="5">
        <f>(Cotacoes!M575-Cotacoes!M574)/Cotacoes!M574</f>
        <v>-9.0497737556575228E-4</v>
      </c>
      <c r="N575" s="5">
        <f>(Cotacoes!N575-Cotacoes!N574)/Cotacoes!N574</f>
        <v>-1.2300123001231934E-3</v>
      </c>
      <c r="O575" s="5">
        <f>(Cotacoes!O575-Cotacoes!O574)/Cotacoes!O574</f>
        <v>-1.3820775746767665E-2</v>
      </c>
      <c r="P575" s="5">
        <f>(Cotacoes!P575-Cotacoes!P574)/Cotacoes!P574</f>
        <v>-2.8616352201257866E-2</v>
      </c>
      <c r="Q575" s="5">
        <f>(Cotacoes!Q575-Cotacoes!Q574)/Cotacoes!Q574</f>
        <v>7.6116373477673012E-3</v>
      </c>
      <c r="R575" s="5">
        <f>(Cotacoes!R575-Cotacoes!R574)/Cotacoes!R574</f>
        <v>2.8717294192724908E-3</v>
      </c>
      <c r="S575" s="5">
        <f>(Cotacoes!S575-Cotacoes!S574)/Cotacoes!S574</f>
        <v>2.8976175144880831E-3</v>
      </c>
      <c r="T575" s="5">
        <f>(Cotacoes!T575-Cotacoes!T574)/Cotacoes!T574</f>
        <v>-8.935824532900179E-3</v>
      </c>
      <c r="U575" s="5">
        <f>(Cotacoes!U575-Cotacoes!U574)/Cotacoes!U574</f>
        <v>-1.25156445556945E-2</v>
      </c>
      <c r="V575" s="5">
        <f>(Cotacoes!V575-Cotacoes!V574)/Cotacoes!V574</f>
        <v>4.8629531388151979E-2</v>
      </c>
      <c r="W575" s="5"/>
    </row>
    <row r="576" spans="1:23" x14ac:dyDescent="0.2">
      <c r="A576" s="4">
        <v>45404</v>
      </c>
      <c r="B576" s="5">
        <f>(Cotacoes!B576-Cotacoes!B575)/Cotacoes!B575</f>
        <v>6.6742944317322076E-4</v>
      </c>
      <c r="C576" s="5">
        <f>(Cotacoes!C576-Cotacoes!C575)/Cotacoes!C575</f>
        <v>-5.2613118204140885E-4</v>
      </c>
      <c r="D576" s="5">
        <f>(Cotacoes!D576-Cotacoes!D575)/Cotacoes!D575</f>
        <v>2.369230769230779E-2</v>
      </c>
      <c r="E576" s="5">
        <f>(Cotacoes!E576-Cotacoes!E575)/Cotacoes!E575</f>
        <v>-7.6306753147651935E-4</v>
      </c>
      <c r="F576" s="5">
        <f>(Cotacoes!F576-Cotacoes!F575)/Cotacoes!F575</f>
        <v>2.4467472654001191E-2</v>
      </c>
      <c r="G576" s="5">
        <f>(Cotacoes!G576-Cotacoes!G575)/Cotacoes!G575</f>
        <v>-7.4408716449641541E-3</v>
      </c>
      <c r="H576" s="5">
        <f>(Cotacoes!H576-Cotacoes!H575)/Cotacoes!H575</f>
        <v>-1.1567610690067776E-2</v>
      </c>
      <c r="I576" s="5">
        <f>(Cotacoes!I576-Cotacoes!I575)/Cotacoes!I575</f>
        <v>-2.9146021568056371E-3</v>
      </c>
      <c r="J576" s="5">
        <f>(Cotacoes!J576-Cotacoes!J575)/Cotacoes!J575</f>
        <v>-2.0120724346076327E-2</v>
      </c>
      <c r="K576" s="5">
        <f>(Cotacoes!K576-Cotacoes!K575)/Cotacoes!K575</f>
        <v>-4.1528239202656926E-3</v>
      </c>
      <c r="L576" s="5">
        <f>(Cotacoes!L576-Cotacoes!L575)/Cotacoes!L575</f>
        <v>8.3333333333333193E-3</v>
      </c>
      <c r="M576" s="5">
        <f>(Cotacoes!M576-Cotacoes!M575)/Cotacoes!M575</f>
        <v>0</v>
      </c>
      <c r="N576" s="5">
        <f>(Cotacoes!N576-Cotacoes!N575)/Cotacoes!N575</f>
        <v>-1.2315270935960329E-3</v>
      </c>
      <c r="O576" s="5">
        <f>(Cotacoes!O576-Cotacoes!O575)/Cotacoes!O575</f>
        <v>0</v>
      </c>
      <c r="P576" s="5">
        <f>(Cotacoes!P576-Cotacoes!P575)/Cotacoes!P575</f>
        <v>1.4244091939138805E-2</v>
      </c>
      <c r="Q576" s="5">
        <f>(Cotacoes!Q576-Cotacoes!Q575)/Cotacoes!Q575</f>
        <v>-1.0911532650663061E-2</v>
      </c>
      <c r="R576" s="5">
        <f>(Cotacoes!R576-Cotacoes!R575)/Cotacoes!R575</f>
        <v>2.1317212853961237E-2</v>
      </c>
      <c r="S576" s="5">
        <f>(Cotacoes!S576-Cotacoes!S575)/Cotacoes!S575</f>
        <v>2.8892455858747948E-3</v>
      </c>
      <c r="T576" s="5">
        <f>(Cotacoes!T576-Cotacoes!T575)/Cotacoes!T575</f>
        <v>-1.6393442622950762E-2</v>
      </c>
      <c r="U576" s="5">
        <f>(Cotacoes!U576-Cotacoes!U575)/Cotacoes!U575</f>
        <v>-1.4575411913815057E-2</v>
      </c>
      <c r="V576" s="5">
        <f>(Cotacoes!V576-Cotacoes!V575)/Cotacoes!V575</f>
        <v>1.4333895446880265E-2</v>
      </c>
      <c r="W576" s="5"/>
    </row>
    <row r="577" spans="1:23" x14ac:dyDescent="0.2">
      <c r="A577" s="4">
        <v>45405</v>
      </c>
      <c r="B577" s="5">
        <f>(Cotacoes!B577-Cotacoes!B576)/Cotacoes!B576</f>
        <v>-4.1924726060028365E-3</v>
      </c>
      <c r="C577" s="5">
        <f>(Cotacoes!C577-Cotacoes!C576)/Cotacoes!C576</f>
        <v>-8.7734690296543249E-3</v>
      </c>
      <c r="D577" s="5">
        <f>(Cotacoes!D577-Cotacoes!D576)/Cotacoes!D576</f>
        <v>-1.8034265103697707E-3</v>
      </c>
      <c r="E577" s="5">
        <f>(Cotacoes!E577-Cotacoes!E576)/Cotacoes!E576</f>
        <v>1.4891179839633333E-2</v>
      </c>
      <c r="F577" s="5">
        <f>(Cotacoes!F577-Cotacoes!F576)/Cotacoes!F576</f>
        <v>-7.0244450688395606E-3</v>
      </c>
      <c r="G577" s="5">
        <f>(Cotacoes!G577-Cotacoes!G576)/Cotacoes!G576</f>
        <v>-7.2289156626506859E-3</v>
      </c>
      <c r="H577" s="5">
        <f>(Cotacoes!H577-Cotacoes!H576)/Cotacoes!H576</f>
        <v>7.6674737691685927E-3</v>
      </c>
      <c r="I577" s="5">
        <f>(Cotacoes!I577-Cotacoes!I576)/Cotacoes!I576</f>
        <v>-1.2861736334405079E-2</v>
      </c>
      <c r="J577" s="5">
        <f>(Cotacoes!J577-Cotacoes!J576)/Cotacoes!J576</f>
        <v>3.7444135765187588E-3</v>
      </c>
      <c r="K577" s="5">
        <f>(Cotacoes!K577-Cotacoes!K576)/Cotacoes!K576</f>
        <v>6.6722268557131001E-3</v>
      </c>
      <c r="L577" s="5">
        <f>(Cotacoes!L577-Cotacoes!L576)/Cotacoes!L576</f>
        <v>-1.561065197428833E-2</v>
      </c>
      <c r="M577" s="5">
        <f>(Cotacoes!M577-Cotacoes!M576)/Cotacoes!M576</f>
        <v>-7.2463768115940486E-3</v>
      </c>
      <c r="N577" s="5">
        <f>(Cotacoes!N577-Cotacoes!N576)/Cotacoes!N576</f>
        <v>7.3982737361282984E-3</v>
      </c>
      <c r="O577" s="5">
        <f>(Cotacoes!O577-Cotacoes!O576)/Cotacoes!O576</f>
        <v>-4.068716094032543E-3</v>
      </c>
      <c r="P577" s="5">
        <f>(Cotacoes!P577-Cotacoes!P576)/Cotacoes!P576</f>
        <v>-9.2563038621129648E-3</v>
      </c>
      <c r="Q577" s="5">
        <f>(Cotacoes!Q577-Cotacoes!Q576)/Cotacoes!Q576</f>
        <v>-6.9585879158181206E-3</v>
      </c>
      <c r="R577" s="5">
        <f>(Cotacoes!R577-Cotacoes!R576)/Cotacoes!R576</f>
        <v>-1.7133956386292858E-2</v>
      </c>
      <c r="S577" s="5">
        <f>(Cotacoes!S577-Cotacoes!S576)/Cotacoes!S576</f>
        <v>5.1216389244558309E-3</v>
      </c>
      <c r="T577" s="5">
        <f>(Cotacoes!T577-Cotacoes!T576)/Cotacoes!T576</f>
        <v>2.4583333333333329E-2</v>
      </c>
      <c r="U577" s="5">
        <f>(Cotacoes!U577-Cotacoes!U576)/Cotacoes!U576</f>
        <v>1.4147909967845739E-2</v>
      </c>
      <c r="V577" s="5">
        <f>(Cotacoes!V577-Cotacoes!V576)/Cotacoes!V576</f>
        <v>-8.3125519534496799E-3</v>
      </c>
      <c r="W577" s="5"/>
    </row>
    <row r="578" spans="1:23" x14ac:dyDescent="0.2">
      <c r="A578" s="4">
        <v>45406</v>
      </c>
      <c r="B578" s="5">
        <f>(Cotacoes!B578-Cotacoes!B577)/Cotacoes!B577</f>
        <v>-3.5403310687972876E-3</v>
      </c>
      <c r="C578" s="5">
        <f>(Cotacoes!C578-Cotacoes!C577)/Cotacoes!C577</f>
        <v>1.2568596211718902E-2</v>
      </c>
      <c r="D578" s="5">
        <f>(Cotacoes!D578-Cotacoes!D577)/Cotacoes!D577</f>
        <v>-4.5167118337849617E-3</v>
      </c>
      <c r="E578" s="5">
        <f>(Cotacoes!E578-Cotacoes!E577)/Cotacoes!E577</f>
        <v>-4.1384499623777068E-3</v>
      </c>
      <c r="F578" s="5">
        <f>(Cotacoes!F578-Cotacoes!F577)/Cotacoes!F577</f>
        <v>-4.2444821731750333E-3</v>
      </c>
      <c r="G578" s="5">
        <f>(Cotacoes!G578-Cotacoes!G577)/Cotacoes!G577</f>
        <v>6.2028047464941748E-3</v>
      </c>
      <c r="H578" s="5">
        <f>(Cotacoes!H578-Cotacoes!H577)/Cotacoes!H577</f>
        <v>-3.6043251902282683E-3</v>
      </c>
      <c r="I578" s="5">
        <f>(Cotacoes!I578-Cotacoes!I577)/Cotacoes!I577</f>
        <v>-1.1844832691738397E-2</v>
      </c>
      <c r="J578" s="5">
        <f>(Cotacoes!J578-Cotacoes!J577)/Cotacoes!J577</f>
        <v>-7.9422382671479747E-3</v>
      </c>
      <c r="K578" s="5">
        <f>(Cotacoes!K578-Cotacoes!K577)/Cotacoes!K577</f>
        <v>0</v>
      </c>
      <c r="L578" s="5">
        <f>(Cotacoes!L578-Cotacoes!L577)/Cotacoes!L577</f>
        <v>-1.3992537313432868E-2</v>
      </c>
      <c r="M578" s="5">
        <f>(Cotacoes!M578-Cotacoes!M577)/Cotacoes!M577</f>
        <v>1.4598540145985252E-2</v>
      </c>
      <c r="N578" s="5">
        <f>(Cotacoes!N578-Cotacoes!N577)/Cotacoes!N577</f>
        <v>-2.4479804161566185E-3</v>
      </c>
      <c r="O578" s="5">
        <f>(Cotacoes!O578-Cotacoes!O577)/Cotacoes!O577</f>
        <v>-9.0785292782567285E-4</v>
      </c>
      <c r="P578" s="5">
        <f>(Cotacoes!P578-Cotacoes!P577)/Cotacoes!P577</f>
        <v>7.7319587628866624E-3</v>
      </c>
      <c r="Q578" s="5">
        <f>(Cotacoes!Q578-Cotacoes!Q577)/Cotacoes!Q577</f>
        <v>7.1782601264741364E-3</v>
      </c>
      <c r="R578" s="5">
        <f>(Cotacoes!R578-Cotacoes!R577)/Cotacoes!R577</f>
        <v>0</v>
      </c>
      <c r="S578" s="5">
        <f>(Cotacoes!S578-Cotacoes!S577)/Cotacoes!S577</f>
        <v>-4.458598726114555E-3</v>
      </c>
      <c r="T578" s="5">
        <f>(Cotacoes!T578-Cotacoes!T577)/Cotacoes!T577</f>
        <v>-1.5250101667344449E-2</v>
      </c>
      <c r="U578" s="5">
        <f>(Cotacoes!U578-Cotacoes!U577)/Cotacoes!U577</f>
        <v>-1.4373282604100606E-2</v>
      </c>
      <c r="V578" s="5">
        <f>(Cotacoes!V578-Cotacoes!V577)/Cotacoes!V577</f>
        <v>-9.2204526404022994E-3</v>
      </c>
      <c r="W578" s="5"/>
    </row>
    <row r="579" spans="1:23" x14ac:dyDescent="0.2">
      <c r="A579" s="4">
        <v>45407</v>
      </c>
      <c r="B579" s="5">
        <f>(Cotacoes!B579-Cotacoes!B578)/Cotacoes!B578</f>
        <v>1.6228154407528304E-2</v>
      </c>
      <c r="C579" s="5">
        <f>(Cotacoes!C579-Cotacoes!C578)/Cotacoes!C578</f>
        <v>-2.1153846153846169E-2</v>
      </c>
      <c r="D579" s="5">
        <f>(Cotacoes!D579-Cotacoes!D578)/Cotacoes!D578</f>
        <v>2.3895946763460348E-2</v>
      </c>
      <c r="E579" s="5">
        <f>(Cotacoes!E579-Cotacoes!E578)/Cotacoes!E578</f>
        <v>-5.6667925953909556E-3</v>
      </c>
      <c r="F579" s="5">
        <f>(Cotacoes!F579-Cotacoes!F578)/Cotacoes!F578</f>
        <v>2.2449559533958489E-2</v>
      </c>
      <c r="G579" s="5">
        <f>(Cotacoes!G579-Cotacoes!G578)/Cotacoes!G578</f>
        <v>1.1525060305548103E-2</v>
      </c>
      <c r="H579" s="5">
        <f>(Cotacoes!H579-Cotacoes!H578)/Cotacoes!H578</f>
        <v>-4.421221864951746E-3</v>
      </c>
      <c r="I579" s="5">
        <f>(Cotacoes!I579-Cotacoes!I578)/Cotacoes!I578</f>
        <v>8.9901108780342902E-3</v>
      </c>
      <c r="J579" s="5">
        <f>(Cotacoes!J579-Cotacoes!J578)/Cotacoes!J578</f>
        <v>1.5769044153323079E-3</v>
      </c>
      <c r="K579" s="5">
        <f>(Cotacoes!K579-Cotacoes!K578)/Cotacoes!K578</f>
        <v>-8.2850041425018941E-4</v>
      </c>
      <c r="L579" s="5">
        <f>(Cotacoes!L579-Cotacoes!L578)/Cotacoes!L578</f>
        <v>-1.0406811731314988E-2</v>
      </c>
      <c r="M579" s="5">
        <f>(Cotacoes!M579-Cotacoes!M578)/Cotacoes!M578</f>
        <v>-1.7985611510790984E-3</v>
      </c>
      <c r="N579" s="5">
        <f>(Cotacoes!N579-Cotacoes!N578)/Cotacoes!N578</f>
        <v>-4.9079754601228124E-3</v>
      </c>
      <c r="O579" s="5">
        <f>(Cotacoes!O579-Cotacoes!O578)/Cotacoes!O578</f>
        <v>3.6347114947750244E-3</v>
      </c>
      <c r="P579" s="5">
        <f>(Cotacoes!P579-Cotacoes!P578)/Cotacoes!P578</f>
        <v>2.6854219948848984E-2</v>
      </c>
      <c r="Q579" s="5">
        <f>(Cotacoes!Q579-Cotacoes!Q578)/Cotacoes!Q578</f>
        <v>-1.0860342779568989E-2</v>
      </c>
      <c r="R579" s="5">
        <f>(Cotacoes!R579-Cotacoes!R578)/Cotacoes!R578</f>
        <v>-4.4374009508716498E-3</v>
      </c>
      <c r="S579" s="5">
        <f>(Cotacoes!S579-Cotacoes!S578)/Cotacoes!S578</f>
        <v>-1.2476007677543205E-2</v>
      </c>
      <c r="T579" s="5">
        <f>(Cotacoes!T579-Cotacoes!T578)/Cotacoes!T578</f>
        <v>1.9822424117282692E-2</v>
      </c>
      <c r="U579" s="5">
        <f>(Cotacoes!U579-Cotacoes!U578)/Cotacoes!U578</f>
        <v>-1.5655157623847393E-2</v>
      </c>
      <c r="V579" s="5">
        <f>(Cotacoes!V579-Cotacoes!V578)/Cotacoes!V578</f>
        <v>2.3688663282571857E-2</v>
      </c>
      <c r="W579" s="5"/>
    </row>
    <row r="580" spans="1:23" x14ac:dyDescent="0.2">
      <c r="A580" s="4">
        <v>45408</v>
      </c>
      <c r="B580" s="5">
        <f>(Cotacoes!B580-Cotacoes!B579)/Cotacoes!B579</f>
        <v>5.1025229141075899E-3</v>
      </c>
      <c r="C580" s="5">
        <f>(Cotacoes!C580-Cotacoes!C579)/Cotacoes!C579</f>
        <v>8.3943561350240913E-3</v>
      </c>
      <c r="D580" s="5">
        <f>(Cotacoes!D580-Cotacoes!D579)/Cotacoes!D579</f>
        <v>-5.0221565731167414E-3</v>
      </c>
      <c r="E580" s="5">
        <f>(Cotacoes!E580-Cotacoes!E579)/Cotacoes!E579</f>
        <v>1.6717325227963573E-2</v>
      </c>
      <c r="F580" s="5">
        <f>(Cotacoes!F580-Cotacoes!F579)/Cotacoes!F579</f>
        <v>2.50138966092283E-3</v>
      </c>
      <c r="G580" s="5">
        <f>(Cotacoes!G580-Cotacoes!G579)/Cotacoes!G579</f>
        <v>1.4308426073131932E-2</v>
      </c>
      <c r="H580" s="5">
        <f>(Cotacoes!H580-Cotacoes!H579)/Cotacoes!H579</f>
        <v>6.0557125555107845E-3</v>
      </c>
      <c r="I580" s="5">
        <f>(Cotacoes!I580-Cotacoes!I579)/Cotacoes!I579</f>
        <v>1.6335016335016248E-2</v>
      </c>
      <c r="J580" s="5">
        <f>(Cotacoes!J580-Cotacoes!J579)/Cotacoes!J579</f>
        <v>-3.2699527673488681E-3</v>
      </c>
      <c r="K580" s="5">
        <f>(Cotacoes!K580-Cotacoes!K579)/Cotacoes!K579</f>
        <v>1.5754560530679893E-2</v>
      </c>
      <c r="L580" s="5">
        <f>(Cotacoes!L580-Cotacoes!L579)/Cotacoes!L579</f>
        <v>3.632887189292533E-2</v>
      </c>
      <c r="M580" s="5">
        <f>(Cotacoes!M580-Cotacoes!M579)/Cotacoes!M579</f>
        <v>0</v>
      </c>
      <c r="N580" s="5">
        <f>(Cotacoes!N580-Cotacoes!N579)/Cotacoes!N579</f>
        <v>1.8495684340320638E-2</v>
      </c>
      <c r="O580" s="5">
        <f>(Cotacoes!O580-Cotacoes!O579)/Cotacoes!O579</f>
        <v>3.7120869171570862E-2</v>
      </c>
      <c r="P580" s="5">
        <f>(Cotacoes!P580-Cotacoes!P579)/Cotacoes!P579</f>
        <v>3.2689912826899266E-2</v>
      </c>
      <c r="Q580" s="5">
        <f>(Cotacoes!Q580-Cotacoes!Q579)/Cotacoes!Q579</f>
        <v>-5.3182364041860055E-3</v>
      </c>
      <c r="R580" s="5">
        <f>(Cotacoes!R580-Cotacoes!R579)/Cotacoes!R579</f>
        <v>4.5845272206303765E-2</v>
      </c>
      <c r="S580" s="5">
        <f>(Cotacoes!S580-Cotacoes!S579)/Cotacoes!S579</f>
        <v>1.2309685779073501E-2</v>
      </c>
      <c r="T580" s="5">
        <f>(Cotacoes!T580-Cotacoes!T579)/Cotacoes!T579</f>
        <v>-2.834581899169884E-3</v>
      </c>
      <c r="U580" s="5">
        <f>(Cotacoes!U580-Cotacoes!U579)/Cotacoes!U579</f>
        <v>3.6165577342048012E-2</v>
      </c>
      <c r="V580" s="5">
        <f>(Cotacoes!V580-Cotacoes!V579)/Cotacoes!V579</f>
        <v>3.5950413223140541E-2</v>
      </c>
      <c r="W580" s="5"/>
    </row>
    <row r="581" spans="1:23" x14ac:dyDescent="0.2">
      <c r="A581" s="4">
        <v>45411</v>
      </c>
      <c r="B581" s="5">
        <f>(Cotacoes!B581-Cotacoes!B580)/Cotacoes!B580</f>
        <v>-8.8370781235310482E-3</v>
      </c>
      <c r="C581" s="5">
        <f>(Cotacoes!C581-Cotacoes!C580)/Cotacoes!C580</f>
        <v>1.842012043924901E-2</v>
      </c>
      <c r="D581" s="5">
        <f>(Cotacoes!D581-Cotacoes!D580)/Cotacoes!D580</f>
        <v>1.7814726840855149E-2</v>
      </c>
      <c r="E581" s="5">
        <f>(Cotacoes!E581-Cotacoes!E580)/Cotacoes!E580</f>
        <v>-7.8475336322870268E-3</v>
      </c>
      <c r="F581" s="5">
        <f>(Cotacoes!F581-Cotacoes!F580)/Cotacoes!F580</f>
        <v>1.8020515663986655E-2</v>
      </c>
      <c r="G581" s="5">
        <f>(Cotacoes!G581-Cotacoes!G580)/Cotacoes!G580</f>
        <v>3.657262277951948E-3</v>
      </c>
      <c r="H581" s="5">
        <f>(Cotacoes!H581-Cotacoes!H580)/Cotacoes!H580</f>
        <v>0</v>
      </c>
      <c r="I581" s="5">
        <f>(Cotacoes!I581-Cotacoes!I580)/Cotacoes!I580</f>
        <v>9.0590298071304004E-3</v>
      </c>
      <c r="J581" s="5">
        <f>(Cotacoes!J581-Cotacoes!J580)/Cotacoes!J580</f>
        <v>7.2904009720537398E-4</v>
      </c>
      <c r="K581" s="5">
        <f>(Cotacoes!K581-Cotacoes!K580)/Cotacoes!K580</f>
        <v>1.3061224489795929E-2</v>
      </c>
      <c r="L581" s="5">
        <f>(Cotacoes!L581-Cotacoes!L580)/Cotacoes!L580</f>
        <v>-7.3800738007380141E-3</v>
      </c>
      <c r="M581" s="5">
        <f>(Cotacoes!M581-Cotacoes!M580)/Cotacoes!M580</f>
        <v>7.2072072072072143E-3</v>
      </c>
      <c r="N581" s="5">
        <f>(Cotacoes!N581-Cotacoes!N580)/Cotacoes!N580</f>
        <v>-3.6319612590798257E-3</v>
      </c>
      <c r="O581" s="5">
        <f>(Cotacoes!O581-Cotacoes!O580)/Cotacoes!O580</f>
        <v>2.1388040157136554E-2</v>
      </c>
      <c r="P581" s="5">
        <f>(Cotacoes!P581-Cotacoes!P580)/Cotacoes!P580</f>
        <v>3.0147723846849989E-3</v>
      </c>
      <c r="Q581" s="5">
        <f>(Cotacoes!Q581-Cotacoes!Q580)/Cotacoes!Q580</f>
        <v>-1.1383235598482177E-2</v>
      </c>
      <c r="R581" s="5">
        <f>(Cotacoes!R581-Cotacoes!R580)/Cotacoes!R580</f>
        <v>-4.5662100456620568E-3</v>
      </c>
      <c r="S581" s="5">
        <f>(Cotacoes!S581-Cotacoes!S580)/Cotacoes!S580</f>
        <v>-8.0000000000000002E-3</v>
      </c>
      <c r="T581" s="5">
        <f>(Cotacoes!T581-Cotacoes!T580)/Cotacoes!T580</f>
        <v>6.2944162436548686E-3</v>
      </c>
      <c r="U581" s="5">
        <f>(Cotacoes!U581-Cotacoes!U580)/Cotacoes!U580</f>
        <v>8.4104289318753464E-4</v>
      </c>
      <c r="V581" s="5">
        <f>(Cotacoes!V581-Cotacoes!V580)/Cotacoes!V580</f>
        <v>2.3534104507379333E-2</v>
      </c>
      <c r="W581" s="5"/>
    </row>
    <row r="582" spans="1:23" x14ac:dyDescent="0.2">
      <c r="A582" s="4">
        <v>45412</v>
      </c>
      <c r="B582" s="5">
        <f>(Cotacoes!B582-Cotacoes!B581)/Cotacoes!B581</f>
        <v>9.6746656549368867E-3</v>
      </c>
      <c r="C582" s="5">
        <f>(Cotacoes!C582-Cotacoes!C581)/Cotacoes!C581</f>
        <v>-9.5652173913042988E-3</v>
      </c>
      <c r="D582" s="5">
        <f>(Cotacoes!D582-Cotacoes!D581)/Cotacoes!D581</f>
        <v>-2.9171528588098428E-3</v>
      </c>
      <c r="E582" s="5">
        <f>(Cotacoes!E582-Cotacoes!E581)/Cotacoes!E581</f>
        <v>-1.8832391713747645E-2</v>
      </c>
      <c r="F582" s="5">
        <f>(Cotacoes!F582-Cotacoes!F581)/Cotacoes!F581</f>
        <v>-6.2636165577341198E-3</v>
      </c>
      <c r="G582" s="5">
        <f>(Cotacoes!G582-Cotacoes!G581)/Cotacoes!G581</f>
        <v>4.6850598646538183E-3</v>
      </c>
      <c r="H582" s="5">
        <f>(Cotacoes!H582-Cotacoes!H581)/Cotacoes!H581</f>
        <v>-4.8154093097913719E-3</v>
      </c>
      <c r="I582" s="5">
        <f>(Cotacoes!I582-Cotacoes!I581)/Cotacoes!I581</f>
        <v>6.0816681146829091E-3</v>
      </c>
      <c r="J582" s="5">
        <f>(Cotacoes!J582-Cotacoes!J581)/Cotacoes!J581</f>
        <v>-1.86983972802332E-2</v>
      </c>
      <c r="K582" s="5">
        <f>(Cotacoes!K582-Cotacoes!K581)/Cotacoes!K581</f>
        <v>-4.0290088638195573E-3</v>
      </c>
      <c r="L582" s="5">
        <f>(Cotacoes!L582-Cotacoes!L581)/Cotacoes!L581</f>
        <v>-3.0669144981412648E-2</v>
      </c>
      <c r="M582" s="5">
        <f>(Cotacoes!M582-Cotacoes!M581)/Cotacoes!M581</f>
        <v>3.5778175313059862E-3</v>
      </c>
      <c r="N582" s="5">
        <f>(Cotacoes!N582-Cotacoes!N581)/Cotacoes!N581</f>
        <v>-9.7205346294046251E-3</v>
      </c>
      <c r="O582" s="5">
        <f>(Cotacoes!O582-Cotacoes!O581)/Cotacoes!O581</f>
        <v>1.709401709401825E-3</v>
      </c>
      <c r="P582" s="5">
        <f>(Cotacoes!P582-Cotacoes!P581)/Cotacoes!P581</f>
        <v>1.5028554253079997E-3</v>
      </c>
      <c r="Q582" s="5">
        <f>(Cotacoes!Q582-Cotacoes!Q581)/Cotacoes!Q581</f>
        <v>-7.5017445917655223E-3</v>
      </c>
      <c r="R582" s="5">
        <f>(Cotacoes!R582-Cotacoes!R581)/Cotacoes!R581</f>
        <v>-1.590214067278297E-2</v>
      </c>
      <c r="S582" s="5">
        <f>(Cotacoes!S582-Cotacoes!S581)/Cotacoes!S581</f>
        <v>-1.3225806451612908E-2</v>
      </c>
      <c r="T582" s="5">
        <f>(Cotacoes!T582-Cotacoes!T581)/Cotacoes!T581</f>
        <v>-3.1476997578692538E-2</v>
      </c>
      <c r="U582" s="5">
        <f>(Cotacoes!U582-Cotacoes!U581)/Cotacoes!U581</f>
        <v>-3.0042016806722683E-2</v>
      </c>
      <c r="V582" s="5">
        <f>(Cotacoes!V582-Cotacoes!V581)/Cotacoes!V581</f>
        <v>-1.7147310989867548E-2</v>
      </c>
      <c r="W582" s="5"/>
    </row>
    <row r="583" spans="1:23" x14ac:dyDescent="0.2">
      <c r="A583" s="4">
        <v>45414</v>
      </c>
      <c r="B583" s="5">
        <f>(Cotacoes!B583-Cotacoes!B582)/Cotacoes!B582</f>
        <v>9.8637858149365626E-3</v>
      </c>
      <c r="C583" s="5">
        <f>(Cotacoes!C583-Cotacoes!C582)/Cotacoes!C582</f>
        <v>1.0008779631255491E-2</v>
      </c>
      <c r="D583" s="5">
        <f>(Cotacoes!D583-Cotacoes!D582)/Cotacoes!D582</f>
        <v>3.8033937975424973E-3</v>
      </c>
      <c r="E583" s="5">
        <f>(Cotacoes!E583-Cotacoes!E582)/Cotacoes!E582</f>
        <v>1.4587332053742763E-2</v>
      </c>
      <c r="F583" s="5">
        <f>(Cotacoes!F583-Cotacoes!F582)/Cotacoes!F582</f>
        <v>3.8366675801589632E-3</v>
      </c>
      <c r="G583" s="5">
        <f>(Cotacoes!G583-Cotacoes!G582)/Cotacoes!G582</f>
        <v>-1.7616580310880821E-2</v>
      </c>
      <c r="H583" s="5">
        <f>(Cotacoes!H583-Cotacoes!H582)/Cotacoes!H582</f>
        <v>1.0887096774193531E-2</v>
      </c>
      <c r="I583" s="5">
        <f>(Cotacoes!I583-Cotacoes!I582)/Cotacoes!I582</f>
        <v>1.3529073114565309E-2</v>
      </c>
      <c r="J583" s="5">
        <f>(Cotacoes!J583-Cotacoes!J582)/Cotacoes!J582</f>
        <v>-6.5577827270475991E-3</v>
      </c>
      <c r="K583" s="5">
        <f>(Cotacoes!K583-Cotacoes!K582)/Cotacoes!K582</f>
        <v>-1.1326860841423852E-2</v>
      </c>
      <c r="L583" s="5">
        <f>(Cotacoes!L583-Cotacoes!L582)/Cotacoes!L582</f>
        <v>2.4928092042185983E-2</v>
      </c>
      <c r="M583" s="5">
        <f>(Cotacoes!M583-Cotacoes!M582)/Cotacoes!M582</f>
        <v>1.5151515151515145E-2</v>
      </c>
      <c r="N583" s="5">
        <f>(Cotacoes!N583-Cotacoes!N582)/Cotacoes!N582</f>
        <v>1.4723926380368001E-2</v>
      </c>
      <c r="O583" s="5">
        <f>(Cotacoes!O583-Cotacoes!O582)/Cotacoes!O582</f>
        <v>1.834470989761091E-2</v>
      </c>
      <c r="P583" s="5">
        <f>(Cotacoes!P583-Cotacoes!P582)/Cotacoes!P582</f>
        <v>-1.8907563025210159E-2</v>
      </c>
      <c r="Q583" s="5">
        <f>(Cotacoes!Q583-Cotacoes!Q582)/Cotacoes!Q582</f>
        <v>9.4920021093337862E-3</v>
      </c>
      <c r="R583" s="5">
        <f>(Cotacoes!R583-Cotacoes!R582)/Cotacoes!R582</f>
        <v>2.2995649471721627E-2</v>
      </c>
      <c r="S583" s="5">
        <f>(Cotacoes!S583-Cotacoes!S582)/Cotacoes!S582</f>
        <v>-1.2749264465511624E-2</v>
      </c>
      <c r="T583" s="5">
        <f>(Cotacoes!T583-Cotacoes!T582)/Cotacoes!T582</f>
        <v>-1.2083333333333298E-2</v>
      </c>
      <c r="U583" s="5">
        <f>(Cotacoes!U583-Cotacoes!U582)/Cotacoes!U582</f>
        <v>-1.0612952133420013E-2</v>
      </c>
      <c r="V583" s="5">
        <f>(Cotacoes!V583-Cotacoes!V582)/Cotacoes!V582</f>
        <v>1.7842981760507647E-2</v>
      </c>
      <c r="W583" s="5"/>
    </row>
    <row r="584" spans="1:23" x14ac:dyDescent="0.2">
      <c r="A584" s="4">
        <v>45415</v>
      </c>
      <c r="B584" s="5">
        <f>(Cotacoes!B584-Cotacoes!B583)/Cotacoes!B583</f>
        <v>-7.4418604651161203E-4</v>
      </c>
      <c r="C584" s="5">
        <f>(Cotacoes!C584-Cotacoes!C583)/Cotacoes!C583</f>
        <v>1.0431154381083999E-3</v>
      </c>
      <c r="D584" s="5">
        <f>(Cotacoes!D584-Cotacoes!D583)/Cotacoes!D583</f>
        <v>-3.3226464587583812E-2</v>
      </c>
      <c r="E584" s="5">
        <f>(Cotacoes!E584-Cotacoes!E583)/Cotacoes!E583</f>
        <v>1.2485811577752625E-2</v>
      </c>
      <c r="F584" s="5">
        <f>(Cotacoes!F584-Cotacoes!F583)/Cotacoes!F583</f>
        <v>-3.4398034398034537E-2</v>
      </c>
      <c r="G584" s="5">
        <f>(Cotacoes!G584-Cotacoes!G583)/Cotacoes!G583</f>
        <v>-2.1097046413501657E-3</v>
      </c>
      <c r="H584" s="5">
        <f>(Cotacoes!H584-Cotacoes!H583)/Cotacoes!H583</f>
        <v>1.8348623853211041E-2</v>
      </c>
      <c r="I584" s="5">
        <f>(Cotacoes!I584-Cotacoes!I583)/Cotacoes!I583</f>
        <v>1.5052541891508127E-2</v>
      </c>
      <c r="J584" s="5">
        <f>(Cotacoes!J584-Cotacoes!J583)/Cotacoes!J583</f>
        <v>6.3519740939094642E-3</v>
      </c>
      <c r="K584" s="5">
        <f>(Cotacoes!K584-Cotacoes!K583)/Cotacoes!K583</f>
        <v>-3.2733224222586681E-3</v>
      </c>
      <c r="L584" s="5">
        <f>(Cotacoes!L584-Cotacoes!L583)/Cotacoes!L583</f>
        <v>2.9934518241347081E-2</v>
      </c>
      <c r="M584" s="5">
        <f>(Cotacoes!M584-Cotacoes!M583)/Cotacoes!M583</f>
        <v>3.5118525021948328E-3</v>
      </c>
      <c r="N584" s="5">
        <f>(Cotacoes!N584-Cotacoes!N583)/Cotacoes!N583</f>
        <v>1.2091898428053163E-2</v>
      </c>
      <c r="O584" s="5">
        <f>(Cotacoes!O584-Cotacoes!O583)/Cotacoes!O583</f>
        <v>-4.1893590280693603E-4</v>
      </c>
      <c r="P584" s="5">
        <f>(Cotacoes!P584-Cotacoes!P583)/Cotacoes!P583</f>
        <v>4.649739981645773E-2</v>
      </c>
      <c r="Q584" s="5">
        <f>(Cotacoes!Q584-Cotacoes!Q583)/Cotacoes!Q583</f>
        <v>2.6118753264843912E-3</v>
      </c>
      <c r="R584" s="5">
        <f>(Cotacoes!R584-Cotacoes!R583)/Cotacoes!R583</f>
        <v>3.3718104495747248E-2</v>
      </c>
      <c r="S584" s="5">
        <f>(Cotacoes!S584-Cotacoes!S583)/Cotacoes!S583</f>
        <v>4.6688741721854311E-2</v>
      </c>
      <c r="T584" s="5">
        <f>(Cotacoes!T584-Cotacoes!T583)/Cotacoes!T583</f>
        <v>-1.4129059468578694E-2</v>
      </c>
      <c r="U584" s="5">
        <f>(Cotacoes!U584-Cotacoes!U583)/Cotacoes!U583</f>
        <v>2.8239929947460576E-2</v>
      </c>
      <c r="V584" s="5">
        <f>(Cotacoes!V584-Cotacoes!V583)/Cotacoes!V583</f>
        <v>1.3245033112582775E-2</v>
      </c>
      <c r="W584" s="5"/>
    </row>
    <row r="585" spans="1:23" x14ac:dyDescent="0.2">
      <c r="A585" s="4">
        <v>45418</v>
      </c>
      <c r="B585" s="5">
        <f>(Cotacoes!B585-Cotacoes!B584)/Cotacoes!B584</f>
        <v>4.3753490970024102E-3</v>
      </c>
      <c r="C585" s="5">
        <f>(Cotacoes!C585-Cotacoes!C584)/Cotacoes!C584</f>
        <v>2.9524140326502553E-3</v>
      </c>
      <c r="D585" s="5">
        <f>(Cotacoes!D585-Cotacoes!D584)/Cotacoes!D584</f>
        <v>6.9339764847753046E-3</v>
      </c>
      <c r="E585" s="5">
        <f>(Cotacoes!E585-Cotacoes!E584)/Cotacoes!E584</f>
        <v>6.3527653213751173E-3</v>
      </c>
      <c r="F585" s="5">
        <f>(Cotacoes!F585-Cotacoes!F584)/Cotacoes!F584</f>
        <v>5.0890585241730206E-3</v>
      </c>
      <c r="G585" s="5">
        <f>(Cotacoes!G585-Cotacoes!G584)/Cotacoes!G584</f>
        <v>-3.6997885835095283E-3</v>
      </c>
      <c r="H585" s="5">
        <f>(Cotacoes!H585-Cotacoes!H584)/Cotacoes!H584</f>
        <v>5.4837446141794187E-3</v>
      </c>
      <c r="I585" s="5">
        <f>(Cotacoes!I585-Cotacoes!I584)/Cotacoes!I584</f>
        <v>5.8757694459989039E-3</v>
      </c>
      <c r="J585" s="5">
        <f>(Cotacoes!J585-Cotacoes!J584)/Cotacoes!J584</f>
        <v>-1.299504950495046E-2</v>
      </c>
      <c r="K585" s="5">
        <f>(Cotacoes!K585-Cotacoes!K584)/Cotacoes!K584</f>
        <v>-8.2101806239735526E-4</v>
      </c>
      <c r="L585" s="5">
        <f>(Cotacoes!L585-Cotacoes!L584)/Cotacoes!L584</f>
        <v>9.9909173478655248E-3</v>
      </c>
      <c r="M585" s="5">
        <f>(Cotacoes!M585-Cotacoes!M584)/Cotacoes!M584</f>
        <v>6.1242344706911884E-3</v>
      </c>
      <c r="N585" s="5">
        <f>(Cotacoes!N585-Cotacoes!N584)/Cotacoes!N584</f>
        <v>1.194743130227188E-3</v>
      </c>
      <c r="O585" s="5">
        <f>(Cotacoes!O585-Cotacoes!O584)/Cotacoes!O584</f>
        <v>8.3822296730928639E-4</v>
      </c>
      <c r="P585" s="5">
        <f>(Cotacoes!P585-Cotacoes!P584)/Cotacoes!P584</f>
        <v>2.9231218941830287E-3</v>
      </c>
      <c r="Q585" s="5">
        <f>(Cotacoes!Q585-Cotacoes!Q584)/Cotacoes!Q584</f>
        <v>5.2101424105592958E-3</v>
      </c>
      <c r="R585" s="5">
        <f>(Cotacoes!R585-Cotacoes!R584)/Cotacoes!R584</f>
        <v>-4.9955921245959951E-3</v>
      </c>
      <c r="S585" s="5">
        <f>(Cotacoes!S585-Cotacoes!S584)/Cotacoes!S584</f>
        <v>-1.2654223347042031E-2</v>
      </c>
      <c r="T585" s="5">
        <f>(Cotacoes!T585-Cotacoes!T584)/Cotacoes!T584</f>
        <v>9.4117647058823035E-3</v>
      </c>
      <c r="U585" s="5">
        <f>(Cotacoes!U585-Cotacoes!U584)/Cotacoes!U584</f>
        <v>-2.001277411113472E-2</v>
      </c>
      <c r="V585" s="5">
        <f>(Cotacoes!V585-Cotacoes!V584)/Cotacoes!V584</f>
        <v>1.4609765474817338E-2</v>
      </c>
      <c r="W585" s="5"/>
    </row>
    <row r="586" spans="1:23" x14ac:dyDescent="0.2">
      <c r="A586" s="4">
        <v>45419</v>
      </c>
      <c r="B586" s="5">
        <f>(Cotacoes!B586-Cotacoes!B585)/Cotacoes!B585</f>
        <v>2.9659838724626301E-3</v>
      </c>
      <c r="C586" s="5">
        <f>(Cotacoes!C586-Cotacoes!C585)/Cotacoes!C585</f>
        <v>6.2337662337662242E-3</v>
      </c>
      <c r="D586" s="5">
        <f>(Cotacoes!D586-Cotacoes!D585)/Cotacoes!D585</f>
        <v>1.1976047904191574E-2</v>
      </c>
      <c r="E586" s="5">
        <f>(Cotacoes!E586-Cotacoes!E585)/Cotacoes!E585</f>
        <v>2.079465280356475E-2</v>
      </c>
      <c r="F586" s="5">
        <f>(Cotacoes!F586-Cotacoes!F585)/Cotacoes!F585</f>
        <v>2.4191279887482407E-2</v>
      </c>
      <c r="G586" s="5">
        <f>(Cotacoes!G586-Cotacoes!G585)/Cotacoes!G585</f>
        <v>7.1618037135277451E-3</v>
      </c>
      <c r="H586" s="5">
        <f>(Cotacoes!H586-Cotacoes!H585)/Cotacoes!H585</f>
        <v>-3.1164783794313143E-3</v>
      </c>
      <c r="I586" s="5">
        <f>(Cotacoes!I586-Cotacoes!I585)/Cotacoes!I585</f>
        <v>5.5632823365784623E-3</v>
      </c>
      <c r="J586" s="5">
        <f>(Cotacoes!J586-Cotacoes!J585)/Cotacoes!J585</f>
        <v>4.8902821316614492E-3</v>
      </c>
      <c r="K586" s="5">
        <f>(Cotacoes!K586-Cotacoes!K585)/Cotacoes!K585</f>
        <v>0</v>
      </c>
      <c r="L586" s="5">
        <f>(Cotacoes!L586-Cotacoes!L585)/Cotacoes!L585</f>
        <v>6.2949640287770043E-3</v>
      </c>
      <c r="M586" s="5">
        <f>(Cotacoes!M586-Cotacoes!M585)/Cotacoes!M585</f>
        <v>1.2173913043478311E-2</v>
      </c>
      <c r="N586" s="5">
        <f>(Cotacoes!N586-Cotacoes!N585)/Cotacoes!N585</f>
        <v>1.4319809069212316E-2</v>
      </c>
      <c r="O586" s="5">
        <f>(Cotacoes!O586-Cotacoes!O585)/Cotacoes!O585</f>
        <v>1.8006700167504178E-2</v>
      </c>
      <c r="P586" s="5">
        <f>(Cotacoes!P586-Cotacoes!P585)/Cotacoes!P585</f>
        <v>-1.9819294666278044E-2</v>
      </c>
      <c r="Q586" s="5">
        <f>(Cotacoes!Q586-Cotacoes!Q585)/Cotacoes!Q585</f>
        <v>-0.12266758811333796</v>
      </c>
      <c r="R586" s="5">
        <f>(Cotacoes!R586-Cotacoes!R585)/Cotacoes!R585</f>
        <v>5.0206733608978652E-3</v>
      </c>
      <c r="S586" s="5">
        <f>(Cotacoes!S586-Cotacoes!S585)/Cotacoes!S585</f>
        <v>9.6123037487984841E-3</v>
      </c>
      <c r="T586" s="5">
        <f>(Cotacoes!T586-Cotacoes!T585)/Cotacoes!T585</f>
        <v>-4.2381860563670318E-4</v>
      </c>
      <c r="U586" s="5">
        <f>(Cotacoes!U586-Cotacoes!U585)/Cotacoes!U585</f>
        <v>1.5424723006734756E-2</v>
      </c>
      <c r="V586" s="5">
        <f>(Cotacoes!V586-Cotacoes!V585)/Cotacoes!V585</f>
        <v>9.3596059113300448E-2</v>
      </c>
      <c r="W586" s="5"/>
    </row>
    <row r="587" spans="1:23" x14ac:dyDescent="0.2">
      <c r="A587" s="4">
        <v>45420</v>
      </c>
      <c r="B587" s="5">
        <f>(Cotacoes!B587-Cotacoes!B586)/Cotacoes!B586</f>
        <v>-8.871638480731853E-3</v>
      </c>
      <c r="C587" s="5">
        <f>(Cotacoes!C587-Cotacoes!C586)/Cotacoes!C586</f>
        <v>-9.1206332817071276E-3</v>
      </c>
      <c r="D587" s="5">
        <f>(Cotacoes!D587-Cotacoes!D586)/Cotacoes!D586</f>
        <v>1.5384615384615479E-2</v>
      </c>
      <c r="E587" s="5">
        <f>(Cotacoes!E587-Cotacoes!E586)/Cotacoes!E586</f>
        <v>6.1840669334304009E-3</v>
      </c>
      <c r="F587" s="5">
        <f>(Cotacoes!F587-Cotacoes!F586)/Cotacoes!F586</f>
        <v>1.0436693216149481E-2</v>
      </c>
      <c r="G587" s="5">
        <f>(Cotacoes!G587-Cotacoes!G586)/Cotacoes!G586</f>
        <v>4.7405846721095529E-3</v>
      </c>
      <c r="H587" s="5">
        <f>(Cotacoes!H587-Cotacoes!H586)/Cotacoes!H586</f>
        <v>3.1262211801485677E-3</v>
      </c>
      <c r="I587" s="5">
        <f>(Cotacoes!I587-Cotacoes!I586)/Cotacoes!I586</f>
        <v>4.7026279391425094E-3</v>
      </c>
      <c r="J587" s="5">
        <f>(Cotacoes!J587-Cotacoes!J586)/Cotacoes!J586</f>
        <v>3.743448964312595E-4</v>
      </c>
      <c r="K587" s="5">
        <f>(Cotacoes!K587-Cotacoes!K586)/Cotacoes!K586</f>
        <v>2.4650780608052062E-3</v>
      </c>
      <c r="L587" s="5">
        <f>(Cotacoes!L587-Cotacoes!L586)/Cotacoes!L586</f>
        <v>8.0428954423592373E-3</v>
      </c>
      <c r="M587" s="5">
        <f>(Cotacoes!M587-Cotacoes!M586)/Cotacoes!M586</f>
        <v>-3.436426116838491E-2</v>
      </c>
      <c r="N587" s="5">
        <f>(Cotacoes!N587-Cotacoes!N586)/Cotacoes!N586</f>
        <v>1.1764705882352899E-2</v>
      </c>
      <c r="O587" s="5">
        <f>(Cotacoes!O587-Cotacoes!O586)/Cotacoes!O586</f>
        <v>6.5816536404771763E-3</v>
      </c>
      <c r="P587" s="5">
        <f>(Cotacoes!P587-Cotacoes!P586)/Cotacoes!P586</f>
        <v>-2.3788284269998629E-3</v>
      </c>
      <c r="Q587" s="5">
        <f>(Cotacoes!Q587-Cotacoes!Q586)/Cotacoes!Q586</f>
        <v>2.7569909413154895E-3</v>
      </c>
      <c r="R587" s="5">
        <f>(Cotacoes!R587-Cotacoes!R586)/Cotacoes!R586</f>
        <v>-2.0276226858654062E-2</v>
      </c>
      <c r="S587" s="5">
        <f>(Cotacoes!S587-Cotacoes!S586)/Cotacoes!S586</f>
        <v>-2.5388765471279543E-3</v>
      </c>
      <c r="T587" s="5">
        <f>(Cotacoes!T587-Cotacoes!T586)/Cotacoes!T586</f>
        <v>-1.3355946576213749E-2</v>
      </c>
      <c r="U587" s="5">
        <f>(Cotacoes!U587-Cotacoes!U586)/Cotacoes!U586</f>
        <v>1.0911424903722678E-2</v>
      </c>
      <c r="V587" s="5">
        <f>(Cotacoes!V587-Cotacoes!V586)/Cotacoes!V586</f>
        <v>-7.969507969507985E-3</v>
      </c>
      <c r="W587" s="5"/>
    </row>
    <row r="588" spans="1:23" x14ac:dyDescent="0.2">
      <c r="A588" s="4">
        <v>45421</v>
      </c>
      <c r="B588" s="5">
        <f>(Cotacoes!B588-Cotacoes!B587)/Cotacoes!B587</f>
        <v>-3.4498834498834924E-3</v>
      </c>
      <c r="C588" s="5">
        <f>(Cotacoes!C588-Cotacoes!C587)/Cotacoes!C587</f>
        <v>8.1625564432094289E-3</v>
      </c>
      <c r="D588" s="5">
        <f>(Cotacoes!D588-Cotacoes!D587)/Cotacoes!D587</f>
        <v>9.6153846153845656E-3</v>
      </c>
      <c r="E588" s="5">
        <f>(Cotacoes!E588-Cotacoes!E587)/Cotacoes!E587</f>
        <v>-3.0007230657989943E-2</v>
      </c>
      <c r="F588" s="5">
        <f>(Cotacoes!F588-Cotacoes!F587)/Cotacoes!F587</f>
        <v>1.766784452296816E-2</v>
      </c>
      <c r="G588" s="5">
        <f>(Cotacoes!G588-Cotacoes!G587)/Cotacoes!G587</f>
        <v>-4.7182175622542521E-3</v>
      </c>
      <c r="H588" s="5">
        <f>(Cotacoes!H588-Cotacoes!H587)/Cotacoes!H587</f>
        <v>-4.3630697312037434E-2</v>
      </c>
      <c r="I588" s="5">
        <f>(Cotacoes!I588-Cotacoes!I587)/Cotacoes!I587</f>
        <v>-3.7169603524229114E-2</v>
      </c>
      <c r="J588" s="5">
        <f>(Cotacoes!J588-Cotacoes!J587)/Cotacoes!J587</f>
        <v>-1.1600349257827202E-2</v>
      </c>
      <c r="K588" s="5">
        <f>(Cotacoes!K588-Cotacoes!K587)/Cotacoes!K587</f>
        <v>-2.5409836065573666E-2</v>
      </c>
      <c r="L588" s="5">
        <f>(Cotacoes!L588-Cotacoes!L587)/Cotacoes!L587</f>
        <v>-3.9893617021276535E-2</v>
      </c>
      <c r="M588" s="5">
        <f>(Cotacoes!M588-Cotacoes!M587)/Cotacoes!M587</f>
        <v>-9.7864768683273515E-3</v>
      </c>
      <c r="N588" s="5">
        <f>(Cotacoes!N588-Cotacoes!N587)/Cotacoes!N587</f>
        <v>-1.6279069767441721E-2</v>
      </c>
      <c r="O588" s="5">
        <f>(Cotacoes!O588-Cotacoes!O587)/Cotacoes!O587</f>
        <v>5.7212913771965907E-3</v>
      </c>
      <c r="P588" s="5">
        <f>(Cotacoes!P588-Cotacoes!P587)/Cotacoes!P587</f>
        <v>1.2220566318927087E-2</v>
      </c>
      <c r="Q588" s="5">
        <f>(Cotacoes!Q588-Cotacoes!Q587)/Cotacoes!Q587</f>
        <v>7.2663000785545447E-3</v>
      </c>
      <c r="R588" s="5">
        <f>(Cotacoes!R588-Cotacoes!R587)/Cotacoes!R587</f>
        <v>-4.0191961607678565E-2</v>
      </c>
      <c r="S588" s="5">
        <f>(Cotacoes!S588-Cotacoes!S587)/Cotacoes!S587</f>
        <v>-1.5908367801463569E-2</v>
      </c>
      <c r="T588" s="5">
        <f>(Cotacoes!T588-Cotacoes!T587)/Cotacoes!T587</f>
        <v>5.1568543188655353E-3</v>
      </c>
      <c r="U588" s="5">
        <f>(Cotacoes!U588-Cotacoes!U587)/Cotacoes!U587</f>
        <v>-1.2486772486772558E-2</v>
      </c>
      <c r="V588" s="5">
        <f>(Cotacoes!V588-Cotacoes!V587)/Cotacoes!V587</f>
        <v>2.5497729654208889E-2</v>
      </c>
      <c r="W588" s="5"/>
    </row>
    <row r="589" spans="1:23" x14ac:dyDescent="0.2">
      <c r="A589" s="4">
        <v>45422</v>
      </c>
      <c r="B589" s="5">
        <f>(Cotacoes!B589-Cotacoes!B588)/Cotacoes!B588</f>
        <v>2.9004491017964287E-3</v>
      </c>
      <c r="C589" s="5">
        <f>(Cotacoes!C589-Cotacoes!C588)/Cotacoes!C588</f>
        <v>-3.4453057708870929E-3</v>
      </c>
      <c r="D589" s="5">
        <f>(Cotacoes!D589-Cotacoes!D588)/Cotacoes!D588</f>
        <v>-2.0202020202020284E-3</v>
      </c>
      <c r="E589" s="5">
        <f>(Cotacoes!E589-Cotacoes!E588)/Cotacoes!E588</f>
        <v>1.1554230339172654E-2</v>
      </c>
      <c r="F589" s="5">
        <f>(Cotacoes!F589-Cotacoes!F588)/Cotacoes!F588</f>
        <v>-7.4786324786325093E-3</v>
      </c>
      <c r="G589" s="5">
        <f>(Cotacoes!G589-Cotacoes!G588)/Cotacoes!G588</f>
        <v>1.8435607058203921E-3</v>
      </c>
      <c r="H589" s="5">
        <f>(Cotacoes!H589-Cotacoes!H588)/Cotacoes!H588</f>
        <v>1.751527494908349E-2</v>
      </c>
      <c r="I589" s="5">
        <f>(Cotacoes!I589-Cotacoes!I588)/Cotacoes!I588</f>
        <v>-6.2911066628538424E-3</v>
      </c>
      <c r="J589" s="5">
        <f>(Cotacoes!J589-Cotacoes!J588)/Cotacoes!J588</f>
        <v>-1.0474507824331125E-2</v>
      </c>
      <c r="K589" s="5">
        <f>(Cotacoes!K589-Cotacoes!K588)/Cotacoes!K588</f>
        <v>-5.8873002523128918E-3</v>
      </c>
      <c r="L589" s="5">
        <f>(Cotacoes!L589-Cotacoes!L588)/Cotacoes!L588</f>
        <v>-2.4007386888273294E-2</v>
      </c>
      <c r="M589" s="5">
        <f>(Cotacoes!M589-Cotacoes!M588)/Cotacoes!M588</f>
        <v>-8.9847259658594448E-4</v>
      </c>
      <c r="N589" s="5">
        <f>(Cotacoes!N589-Cotacoes!N588)/Cotacoes!N588</f>
        <v>1.0638297872340408E-2</v>
      </c>
      <c r="O589" s="5">
        <f>(Cotacoes!O589-Cotacoes!O588)/Cotacoes!O588</f>
        <v>4.0633888663151415E-4</v>
      </c>
      <c r="P589" s="5">
        <f>(Cotacoes!P589-Cotacoes!P588)/Cotacoes!P588</f>
        <v>-1.4428739693757419E-2</v>
      </c>
      <c r="Q589" s="5">
        <f>(Cotacoes!Q589-Cotacoes!Q588)/Cotacoes!Q588</f>
        <v>-1.9107038409046536E-2</v>
      </c>
      <c r="R589" s="5">
        <f>(Cotacoes!R589-Cotacoes!R588)/Cotacoes!R588</f>
        <v>9.0624999999999734E-3</v>
      </c>
      <c r="S589" s="5">
        <f>(Cotacoes!S589-Cotacoes!S588)/Cotacoes!S588</f>
        <v>-1.0669253152279285E-2</v>
      </c>
      <c r="T589" s="5">
        <f>(Cotacoes!T589-Cotacoes!T588)/Cotacoes!T588</f>
        <v>4.7028644719965557E-3</v>
      </c>
      <c r="U589" s="5">
        <f>(Cotacoes!U589-Cotacoes!U588)/Cotacoes!U588</f>
        <v>-5.143591941705955E-2</v>
      </c>
      <c r="V589" s="5">
        <f>(Cotacoes!V589-Cotacoes!V588)/Cotacoes!V588</f>
        <v>1.1580381471389642E-2</v>
      </c>
      <c r="W589" s="5"/>
    </row>
    <row r="590" spans="1:23" x14ac:dyDescent="0.2">
      <c r="A590" s="4">
        <v>45425</v>
      </c>
      <c r="B590" s="5">
        <f>(Cotacoes!B590-Cotacoes!B589)/Cotacoes!B589</f>
        <v>1.5859688403769168E-3</v>
      </c>
      <c r="C590" s="5">
        <f>(Cotacoes!C590-Cotacoes!C589)/Cotacoes!C589</f>
        <v>6.0501296456352879E-3</v>
      </c>
      <c r="D590" s="5">
        <f>(Cotacoes!D590-Cotacoes!D589)/Cotacoes!D589</f>
        <v>8.6755349913247945E-4</v>
      </c>
      <c r="E590" s="5">
        <f>(Cotacoes!E590-Cotacoes!E589)/Cotacoes!E589</f>
        <v>1.215917464996309E-2</v>
      </c>
      <c r="F590" s="5">
        <f>(Cotacoes!F590-Cotacoes!F589)/Cotacoes!F589</f>
        <v>0</v>
      </c>
      <c r="G590" s="5">
        <f>(Cotacoes!G590-Cotacoes!G589)/Cotacoes!G589</f>
        <v>2.6288117770767987E-3</v>
      </c>
      <c r="H590" s="5">
        <f>(Cotacoes!H590-Cotacoes!H589)/Cotacoes!H589</f>
        <v>7.6060848678943666E-3</v>
      </c>
      <c r="I590" s="5">
        <f>(Cotacoes!I590-Cotacoes!I589)/Cotacoes!I589</f>
        <v>1.7266187050360366E-3</v>
      </c>
      <c r="J590" s="5">
        <f>(Cotacoes!J590-Cotacoes!J589)/Cotacoes!J589</f>
        <v>7.6520851932154418E-4</v>
      </c>
      <c r="K590" s="5">
        <f>(Cotacoes!K590-Cotacoes!K589)/Cotacoes!K589</f>
        <v>4.2301184433163226E-3</v>
      </c>
      <c r="L590" s="5">
        <f>(Cotacoes!L590-Cotacoes!L589)/Cotacoes!L589</f>
        <v>2.64900662251655E-2</v>
      </c>
      <c r="M590" s="5">
        <f>(Cotacoes!M590-Cotacoes!M589)/Cotacoes!M589</f>
        <v>1.7985611510792582E-3</v>
      </c>
      <c r="N590" s="5">
        <f>(Cotacoes!N590-Cotacoes!N589)/Cotacoes!N589</f>
        <v>8.187134502923802E-3</v>
      </c>
      <c r="O590" s="5">
        <f>(Cotacoes!O590-Cotacoes!O589)/Cotacoes!O589</f>
        <v>2.0308692120227456E-2</v>
      </c>
      <c r="P590" s="5">
        <f>(Cotacoes!P590-Cotacoes!P589)/Cotacoes!P589</f>
        <v>2.2706901703017569E-2</v>
      </c>
      <c r="Q590" s="5">
        <f>(Cotacoes!Q590-Cotacoes!Q589)/Cotacoes!Q589</f>
        <v>-1.9280461140926235E-2</v>
      </c>
      <c r="R590" s="5">
        <f>(Cotacoes!R590-Cotacoes!R589)/Cotacoes!R589</f>
        <v>1.6413750387116791E-2</v>
      </c>
      <c r="S590" s="5">
        <f>(Cotacoes!S590-Cotacoes!S589)/Cotacoes!S589</f>
        <v>-1.6339869281045984E-3</v>
      </c>
      <c r="T590" s="5">
        <f>(Cotacoes!T590-Cotacoes!T589)/Cotacoes!T589</f>
        <v>-1.2765957446808541E-2</v>
      </c>
      <c r="U590" s="5">
        <f>(Cotacoes!U590-Cotacoes!U589)/Cotacoes!U589</f>
        <v>-1.4911884319927623E-2</v>
      </c>
      <c r="V590" s="5">
        <f>(Cotacoes!V590-Cotacoes!V589)/Cotacoes!V589</f>
        <v>5.3872053872053918E-3</v>
      </c>
      <c r="W590" s="5"/>
    </row>
    <row r="591" spans="1:23" x14ac:dyDescent="0.2">
      <c r="A591" s="4">
        <v>45426</v>
      </c>
      <c r="B591" s="5">
        <f>(Cotacoes!B591-Cotacoes!B590)/Cotacoes!B590</f>
        <v>-4.4709388971684427E-3</v>
      </c>
      <c r="C591" s="5">
        <f>(Cotacoes!C591-Cotacoes!C590)/Cotacoes!C590</f>
        <v>-6.8728522336780498E-4</v>
      </c>
      <c r="D591" s="5">
        <f>(Cotacoes!D591-Cotacoes!D590)/Cotacoes!D590</f>
        <v>-1.7913897717422637E-2</v>
      </c>
      <c r="E591" s="5">
        <f>(Cotacoes!E591-Cotacoes!E590)/Cotacoes!E590</f>
        <v>1.0921004732435411E-2</v>
      </c>
      <c r="F591" s="5">
        <f>(Cotacoes!F591-Cotacoes!F590)/Cotacoes!F590</f>
        <v>-2.7448869752421855E-2</v>
      </c>
      <c r="G591" s="5">
        <f>(Cotacoes!G591-Cotacoes!G590)/Cotacoes!G590</f>
        <v>1.3633980073413635E-2</v>
      </c>
      <c r="H591" s="5">
        <f>(Cotacoes!H591-Cotacoes!H590)/Cotacoes!H590</f>
        <v>6.7540723083034625E-3</v>
      </c>
      <c r="I591" s="5">
        <f>(Cotacoes!I591-Cotacoes!I590)/Cotacoes!I590</f>
        <v>8.0436656133295349E-3</v>
      </c>
      <c r="J591" s="5">
        <f>(Cotacoes!J591-Cotacoes!J590)/Cotacoes!J590</f>
        <v>6.8816108066777912E-3</v>
      </c>
      <c r="K591" s="5">
        <f>(Cotacoes!K591-Cotacoes!K590)/Cotacoes!K590</f>
        <v>-8.424599831507824E-4</v>
      </c>
      <c r="L591" s="5">
        <f>(Cotacoes!L591-Cotacoes!L590)/Cotacoes!L590</f>
        <v>2.1198156682027691E-2</v>
      </c>
      <c r="M591" s="5">
        <f>(Cotacoes!M591-Cotacoes!M590)/Cotacoes!M590</f>
        <v>8.0789946140035779E-3</v>
      </c>
      <c r="N591" s="5">
        <f>(Cotacoes!N591-Cotacoes!N590)/Cotacoes!N590</f>
        <v>1.6241299303944384E-2</v>
      </c>
      <c r="O591" s="5">
        <f>(Cotacoes!O591-Cotacoes!O590)/Cotacoes!O590</f>
        <v>1.1942675159234706E-3</v>
      </c>
      <c r="P591" s="5">
        <f>(Cotacoes!P591-Cotacoes!P590)/Cotacoes!P590</f>
        <v>7.6541045866199378E-2</v>
      </c>
      <c r="Q591" s="5">
        <f>(Cotacoes!Q591-Cotacoes!Q590)/Cotacoes!Q590</f>
        <v>-1.6619375760032432E-2</v>
      </c>
      <c r="R591" s="5">
        <f>(Cotacoes!R591-Cotacoes!R590)/Cotacoes!R590</f>
        <v>1.8281535648994558E-2</v>
      </c>
      <c r="S591" s="5">
        <f>(Cotacoes!S591-Cotacoes!S590)/Cotacoes!S590</f>
        <v>1.8657937806873987E-2</v>
      </c>
      <c r="T591" s="5">
        <f>(Cotacoes!T591-Cotacoes!T590)/Cotacoes!T590</f>
        <v>-1.0560344827586251E-2</v>
      </c>
      <c r="U591" s="5">
        <f>(Cotacoes!U591-Cotacoes!U590)/Cotacoes!U590</f>
        <v>1.5137614678899004E-2</v>
      </c>
      <c r="V591" s="5">
        <f>(Cotacoes!V591-Cotacoes!V590)/Cotacoes!V590</f>
        <v>-2.3442732752846714E-3</v>
      </c>
      <c r="W591" s="5"/>
    </row>
    <row r="592" spans="1:23" x14ac:dyDescent="0.2">
      <c r="A592" s="4">
        <v>45427</v>
      </c>
      <c r="B592" s="5">
        <f>(Cotacoes!B592-Cotacoes!B591)/Cotacoes!B591</f>
        <v>3.7425149700604654E-4</v>
      </c>
      <c r="C592" s="5">
        <f>(Cotacoes!C592-Cotacoes!C591)/Cotacoes!C591</f>
        <v>-2.9229711141677203E-3</v>
      </c>
      <c r="D592" s="5">
        <f>(Cotacoes!D592-Cotacoes!D591)/Cotacoes!D591</f>
        <v>-6.060606060606067E-2</v>
      </c>
      <c r="E592" s="5">
        <f>(Cotacoes!E592-Cotacoes!E591)/Cotacoes!E591</f>
        <v>-2.8808066258551781E-3</v>
      </c>
      <c r="F592" s="5">
        <f>(Cotacoes!F592-Cotacoes!F591)/Cotacoes!F591</f>
        <v>-6.7791920309905995E-2</v>
      </c>
      <c r="G592" s="5">
        <f>(Cotacoes!G592-Cotacoes!G591)/Cotacoes!G591</f>
        <v>2.5866528711860107E-4</v>
      </c>
      <c r="H592" s="5">
        <f>(Cotacoes!H592-Cotacoes!H591)/Cotacoes!H591</f>
        <v>-1.3022888713496382E-2</v>
      </c>
      <c r="I592" s="5">
        <f>(Cotacoes!I592-Cotacoes!I591)/Cotacoes!I591</f>
        <v>-1.709888857224345E-3</v>
      </c>
      <c r="J592" s="5">
        <f>(Cotacoes!J592-Cotacoes!J591)/Cotacoes!J591</f>
        <v>2.6578914061510407E-3</v>
      </c>
      <c r="K592" s="5">
        <f>(Cotacoes!K592-Cotacoes!K591)/Cotacoes!K591</f>
        <v>-9.2748735244518911E-3</v>
      </c>
      <c r="L592" s="5">
        <f>(Cotacoes!L592-Cotacoes!L591)/Cotacoes!L591</f>
        <v>3.6101083032490204E-3</v>
      </c>
      <c r="M592" s="5">
        <f>(Cotacoes!M592-Cotacoes!M591)/Cotacoes!M591</f>
        <v>1.2466607301869883E-2</v>
      </c>
      <c r="N592" s="5">
        <f>(Cotacoes!N592-Cotacoes!N591)/Cotacoes!N591</f>
        <v>-1.1415525114155008E-3</v>
      </c>
      <c r="O592" s="5">
        <f>(Cotacoes!O592-Cotacoes!O591)/Cotacoes!O591</f>
        <v>8.1113320079522974E-2</v>
      </c>
      <c r="P592" s="5">
        <f>(Cotacoes!P592-Cotacoes!P591)/Cotacoes!P591</f>
        <v>5.6445047489823562E-2</v>
      </c>
      <c r="Q592" s="5">
        <f>(Cotacoes!Q592-Cotacoes!Q591)/Cotacoes!Q591</f>
        <v>1.3602638087386574E-2</v>
      </c>
      <c r="R592" s="5">
        <f>(Cotacoes!R592-Cotacoes!R591)/Cotacoes!R591</f>
        <v>2.1843207660083689E-2</v>
      </c>
      <c r="S592" s="5">
        <f>(Cotacoes!S592-Cotacoes!S591)/Cotacoes!S591</f>
        <v>1.3817480719794335E-2</v>
      </c>
      <c r="T592" s="5">
        <f>(Cotacoes!T592-Cotacoes!T591)/Cotacoes!T591</f>
        <v>2.3742104116750238E-2</v>
      </c>
      <c r="U592" s="5">
        <f>(Cotacoes!U592-Cotacoes!U591)/Cotacoes!U591</f>
        <v>1.875282422051526E-2</v>
      </c>
      <c r="V592" s="5">
        <f>(Cotacoes!V592-Cotacoes!V591)/Cotacoes!V591</f>
        <v>2.349781805975169E-3</v>
      </c>
      <c r="W592" s="5"/>
    </row>
    <row r="593" spans="1:23" x14ac:dyDescent="0.2">
      <c r="A593" s="4">
        <v>45428</v>
      </c>
      <c r="B593" s="5">
        <f>(Cotacoes!B593-Cotacoes!B592)/Cotacoes!B592</f>
        <v>-4.6763935652821884E-4</v>
      </c>
      <c r="C593" s="5">
        <f>(Cotacoes!C593-Cotacoes!C592)/Cotacoes!C592</f>
        <v>7.2426280393170306E-3</v>
      </c>
      <c r="D593" s="5">
        <f>(Cotacoes!D593-Cotacoes!D592)/Cotacoes!D592</f>
        <v>-2.8186658315064159E-2</v>
      </c>
      <c r="E593" s="5">
        <f>(Cotacoes!E593-Cotacoes!E592)/Cotacoes!E592</f>
        <v>-2.8891296496930965E-3</v>
      </c>
      <c r="F593" s="5">
        <f>(Cotacoes!F593-Cotacoes!F592)/Cotacoes!F592</f>
        <v>-1.8106262986049258E-2</v>
      </c>
      <c r="G593" s="5">
        <f>(Cotacoes!G593-Cotacoes!G592)/Cotacoes!G592</f>
        <v>-5.1719679337996192E-4</v>
      </c>
      <c r="H593" s="5">
        <f>(Cotacoes!H593-Cotacoes!H592)/Cotacoes!H592</f>
        <v>1.199520191923134E-3</v>
      </c>
      <c r="I593" s="5">
        <f>(Cotacoes!I593-Cotacoes!I592)/Cotacoes!I592</f>
        <v>6.5658007422208639E-3</v>
      </c>
      <c r="J593" s="5">
        <f>(Cotacoes!J593-Cotacoes!J592)/Cotacoes!J592</f>
        <v>6.5639989901539516E-3</v>
      </c>
      <c r="K593" s="5">
        <f>(Cotacoes!K593-Cotacoes!K592)/Cotacoes!K592</f>
        <v>5.1063829787234465E-3</v>
      </c>
      <c r="L593" s="5">
        <f>(Cotacoes!L593-Cotacoes!L592)/Cotacoes!L592</f>
        <v>8.0935251798562625E-3</v>
      </c>
      <c r="M593" s="5">
        <f>(Cotacoes!M593-Cotacoes!M592)/Cotacoes!M592</f>
        <v>6.1565523306948361E-3</v>
      </c>
      <c r="N593" s="5">
        <f>(Cotacoes!N593-Cotacoes!N592)/Cotacoes!N592</f>
        <v>4.5714285714284738E-3</v>
      </c>
      <c r="O593" s="5">
        <f>(Cotacoes!O593-Cotacoes!O592)/Cotacoes!O592</f>
        <v>4.6340566384700181E-2</v>
      </c>
      <c r="P593" s="5">
        <f>(Cotacoes!P593-Cotacoes!P592)/Cotacoes!P592</f>
        <v>-7.7061392242485788E-3</v>
      </c>
      <c r="Q593" s="5">
        <f>(Cotacoes!Q593-Cotacoes!Q592)/Cotacoes!Q592</f>
        <v>1.647010980073205E-2</v>
      </c>
      <c r="R593" s="5">
        <f>(Cotacoes!R593-Cotacoes!R592)/Cotacoes!R592</f>
        <v>4.9780380673499769E-3</v>
      </c>
      <c r="S593" s="5">
        <f>(Cotacoes!S593-Cotacoes!S592)/Cotacoes!S592</f>
        <v>-8.2408874801902232E-3</v>
      </c>
      <c r="T593" s="5">
        <f>(Cotacoes!T593-Cotacoes!T592)/Cotacoes!T592</f>
        <v>8.0851063829787771E-3</v>
      </c>
      <c r="U593" s="5">
        <f>(Cotacoes!U593-Cotacoes!U592)/Cotacoes!U592</f>
        <v>1.574628520736291E-2</v>
      </c>
      <c r="V593" s="5">
        <f>(Cotacoes!V593-Cotacoes!V592)/Cotacoes!V592</f>
        <v>6.6979236436703199E-4</v>
      </c>
      <c r="W593" s="5"/>
    </row>
    <row r="594" spans="1:23" x14ac:dyDescent="0.2">
      <c r="A594" s="4">
        <v>45429</v>
      </c>
      <c r="B594" s="5">
        <f>(Cotacoes!B594-Cotacoes!B593)/Cotacoes!B593</f>
        <v>-3.5557219051184585E-3</v>
      </c>
      <c r="C594" s="5">
        <f>(Cotacoes!C594-Cotacoes!C593)/Cotacoes!C593</f>
        <v>1.9517205957883935E-2</v>
      </c>
      <c r="D594" s="5">
        <f>(Cotacoes!D594-Cotacoes!D593)/Cotacoes!D593</f>
        <v>-1.6757976152110846E-2</v>
      </c>
      <c r="E594" s="5">
        <f>(Cotacoes!E594-Cotacoes!E593)/Cotacoes!E593</f>
        <v>3.6218761318368572E-4</v>
      </c>
      <c r="F594" s="5">
        <f>(Cotacoes!F594-Cotacoes!F593)/Cotacoes!F593</f>
        <v>-1.8440145102781122E-2</v>
      </c>
      <c r="G594" s="5">
        <f>(Cotacoes!G594-Cotacoes!G593)/Cotacoes!G593</f>
        <v>1.0349288486416338E-3</v>
      </c>
      <c r="H594" s="5">
        <f>(Cotacoes!H594-Cotacoes!H593)/Cotacoes!H593</f>
        <v>3.9936102236427969E-4</v>
      </c>
      <c r="I594" s="5">
        <f>(Cotacoes!I594-Cotacoes!I593)/Cotacoes!I593</f>
        <v>-5.9557572319909489E-3</v>
      </c>
      <c r="J594" s="5">
        <f>(Cotacoes!J594-Cotacoes!J593)/Cotacoes!J593</f>
        <v>-1.4798093804865723E-2</v>
      </c>
      <c r="K594" s="5">
        <f>(Cotacoes!K594-Cotacoes!K593)/Cotacoes!K593</f>
        <v>5.0804403048263095E-3</v>
      </c>
      <c r="L594" s="5">
        <f>(Cotacoes!L594-Cotacoes!L593)/Cotacoes!L593</f>
        <v>-1.6057091882248124E-2</v>
      </c>
      <c r="M594" s="5">
        <f>(Cotacoes!M594-Cotacoes!M593)/Cotacoes!M593</f>
        <v>0</v>
      </c>
      <c r="N594" s="5">
        <f>(Cotacoes!N594-Cotacoes!N593)/Cotacoes!N593</f>
        <v>-5.6882821387939635E-3</v>
      </c>
      <c r="O594" s="5">
        <f>(Cotacoes!O594-Cotacoes!O593)/Cotacoes!O593</f>
        <v>2.6010544815465799E-2</v>
      </c>
      <c r="P594" s="5">
        <f>(Cotacoes!P594-Cotacoes!P593)/Cotacoes!P593</f>
        <v>2.3039088791095019E-2</v>
      </c>
      <c r="Q594" s="5">
        <f>(Cotacoes!Q594-Cotacoes!Q593)/Cotacoes!Q593</f>
        <v>1.6003200640127683E-3</v>
      </c>
      <c r="R594" s="5">
        <f>(Cotacoes!R594-Cotacoes!R593)/Cotacoes!R593</f>
        <v>-1.6025641025640944E-2</v>
      </c>
      <c r="S594" s="5">
        <f>(Cotacoes!S594-Cotacoes!S593)/Cotacoes!S593</f>
        <v>-1.7577500798977332E-2</v>
      </c>
      <c r="T594" s="5">
        <f>(Cotacoes!T594-Cotacoes!T593)/Cotacoes!T593</f>
        <v>1.5618404390037881E-2</v>
      </c>
      <c r="U594" s="5">
        <f>(Cotacoes!U594-Cotacoes!U593)/Cotacoes!U593</f>
        <v>-4.8034934497816345E-3</v>
      </c>
      <c r="V594" s="5">
        <f>(Cotacoes!V594-Cotacoes!V593)/Cotacoes!V593</f>
        <v>9.7054886211513629E-3</v>
      </c>
      <c r="W594" s="5"/>
    </row>
    <row r="595" spans="1:23" x14ac:dyDescent="0.2">
      <c r="A595" s="4">
        <v>45432</v>
      </c>
      <c r="B595" s="5">
        <f>(Cotacoes!B595-Cotacoes!B594)/Cotacoes!B594</f>
        <v>-1.2207719034650715E-3</v>
      </c>
      <c r="C595" s="5">
        <f>(Cotacoes!C595-Cotacoes!C594)/Cotacoes!C594</f>
        <v>-3.3585222502092397E-4</v>
      </c>
      <c r="D595" s="5">
        <f>(Cotacoes!D595-Cotacoes!D594)/Cotacoes!D594</f>
        <v>1.6388069485413685E-3</v>
      </c>
      <c r="E595" s="5">
        <f>(Cotacoes!E595-Cotacoes!E594)/Cotacoes!E594</f>
        <v>-2.8964518464881187E-3</v>
      </c>
      <c r="F595" s="5">
        <f>(Cotacoes!F595-Cotacoes!F594)/Cotacoes!F594</f>
        <v>3.3877425315675834E-3</v>
      </c>
      <c r="G595" s="5">
        <f>(Cotacoes!G595-Cotacoes!G594)/Cotacoes!G594</f>
        <v>5.1692943913156592E-3</v>
      </c>
      <c r="H595" s="5">
        <f>(Cotacoes!H595-Cotacoes!H594)/Cotacoes!H594</f>
        <v>8.3832335329341659E-3</v>
      </c>
      <c r="I595" s="5">
        <f>(Cotacoes!I595-Cotacoes!I594)/Cotacoes!I594</f>
        <v>-3.5378031383737372E-2</v>
      </c>
      <c r="J595" s="5">
        <f>(Cotacoes!J595-Cotacoes!J594)/Cotacoes!J594</f>
        <v>-9.5468431771894083E-3</v>
      </c>
      <c r="K595" s="5">
        <f>(Cotacoes!K595-Cotacoes!K594)/Cotacoes!K594</f>
        <v>-7.5821398483571917E-3</v>
      </c>
      <c r="L595" s="5">
        <f>(Cotacoes!L595-Cotacoes!L594)/Cotacoes!L594</f>
        <v>9.0661831368991723E-4</v>
      </c>
      <c r="M595" s="5">
        <f>(Cotacoes!M595-Cotacoes!M594)/Cotacoes!M594</f>
        <v>-2.2727272727272711E-2</v>
      </c>
      <c r="N595" s="5">
        <f>(Cotacoes!N595-Cotacoes!N594)/Cotacoes!N594</f>
        <v>-4.5766590389017077E-3</v>
      </c>
      <c r="O595" s="5">
        <f>(Cotacoes!O595-Cotacoes!O594)/Cotacoes!O594</f>
        <v>7.1942446043164543E-3</v>
      </c>
      <c r="P595" s="5">
        <f>(Cotacoes!P595-Cotacoes!P594)/Cotacoes!P594</f>
        <v>-1.7206477732793515E-2</v>
      </c>
      <c r="Q595" s="5">
        <f>(Cotacoes!Q595-Cotacoes!Q594)/Cotacoes!Q594</f>
        <v>-7.7890952666267339E-3</v>
      </c>
      <c r="R595" s="5">
        <f>(Cotacoes!R595-Cotacoes!R594)/Cotacoes!R594</f>
        <v>-1.7471128220313988E-2</v>
      </c>
      <c r="S595" s="5">
        <f>(Cotacoes!S595-Cotacoes!S594)/Cotacoes!S594</f>
        <v>-5.5302537410539419E-3</v>
      </c>
      <c r="T595" s="5">
        <f>(Cotacoes!T595-Cotacoes!T594)/Cotacoes!T594</f>
        <v>-1.2884455527846997E-2</v>
      </c>
      <c r="U595" s="5">
        <f>(Cotacoes!U595-Cotacoes!U594)/Cotacoes!U594</f>
        <v>-9.8727512066694983E-3</v>
      </c>
      <c r="V595" s="5">
        <f>(Cotacoes!V595-Cotacoes!V594)/Cotacoes!V594</f>
        <v>7.6234670202186567E-3</v>
      </c>
      <c r="W595" s="5"/>
    </row>
    <row r="596" spans="1:23" x14ac:dyDescent="0.2">
      <c r="A596" s="4">
        <v>45433</v>
      </c>
      <c r="B596" s="5">
        <f>(Cotacoes!B596-Cotacoes!B595)/Cotacoes!B595</f>
        <v>-1.4385107183151571E-2</v>
      </c>
      <c r="C596" s="5">
        <f>(Cotacoes!C596-Cotacoes!C595)/Cotacoes!C595</f>
        <v>-2.8557030068873121E-3</v>
      </c>
      <c r="D596" s="5">
        <f>(Cotacoes!D596-Cotacoes!D595)/Cotacoes!D595</f>
        <v>-1.9633507853402724E-3</v>
      </c>
      <c r="E596" s="5">
        <f>(Cotacoes!E596-Cotacoes!E595)/Cotacoes!E595</f>
        <v>-5.4466230936818655E-3</v>
      </c>
      <c r="F596" s="5">
        <f>(Cotacoes!F596-Cotacoes!F595)/Cotacoes!F595</f>
        <v>-7.3664825046038948E-3</v>
      </c>
      <c r="G596" s="5">
        <f>(Cotacoes!G596-Cotacoes!G595)/Cotacoes!G595</f>
        <v>-2.0570840833118616E-3</v>
      </c>
      <c r="H596" s="5">
        <f>(Cotacoes!H596-Cotacoes!H595)/Cotacoes!H595</f>
        <v>-7.9176563737146175E-4</v>
      </c>
      <c r="I596" s="5">
        <f>(Cotacoes!I596-Cotacoes!I595)/Cotacoes!I595</f>
        <v>1.8929310854776709E-2</v>
      </c>
      <c r="J596" s="5">
        <f>(Cotacoes!J596-Cotacoes!J595)/Cotacoes!J595</f>
        <v>-1.0667009381827507E-2</v>
      </c>
      <c r="K596" s="5">
        <f>(Cotacoes!K596-Cotacoes!K595)/Cotacoes!K595</f>
        <v>5.0933786078098901E-3</v>
      </c>
      <c r="L596" s="5">
        <f>(Cotacoes!L596-Cotacoes!L595)/Cotacoes!L595</f>
        <v>-1.8115942028985121E-3</v>
      </c>
      <c r="M596" s="5">
        <f>(Cotacoes!M596-Cotacoes!M595)/Cotacoes!M595</f>
        <v>-7.1556350626118129E-3</v>
      </c>
      <c r="N596" s="5">
        <f>(Cotacoes!N596-Cotacoes!N595)/Cotacoes!N595</f>
        <v>-1.1494252873562975E-3</v>
      </c>
      <c r="O596" s="5">
        <f>(Cotacoes!O596-Cotacoes!O595)/Cotacoes!O595</f>
        <v>3.0612244897959139E-3</v>
      </c>
      <c r="P596" s="5">
        <f>(Cotacoes!P596-Cotacoes!P595)/Cotacoes!P595</f>
        <v>1.5962924819773364E-2</v>
      </c>
      <c r="Q596" s="5">
        <f>(Cotacoes!Q596-Cotacoes!Q595)/Cotacoes!Q595</f>
        <v>-3.7238325281803569E-2</v>
      </c>
      <c r="R596" s="5">
        <f>(Cotacoes!R596-Cotacoes!R595)/Cotacoes!R595</f>
        <v>-9.6443640747438299E-3</v>
      </c>
      <c r="S596" s="5">
        <f>(Cotacoes!S596-Cotacoes!S595)/Cotacoes!S595</f>
        <v>6.5423617926069916E-4</v>
      </c>
      <c r="T596" s="5">
        <f>(Cotacoes!T596-Cotacoes!T595)/Cotacoes!T595</f>
        <v>-3.4736842105263128E-2</v>
      </c>
      <c r="U596" s="5">
        <f>(Cotacoes!U596-Cotacoes!U595)/Cotacoes!U595</f>
        <v>-2.7254597828495545E-2</v>
      </c>
      <c r="V596" s="5">
        <f>(Cotacoes!V596-Cotacoes!V595)/Cotacoes!V595</f>
        <v>-1.1184210526315786E-2</v>
      </c>
      <c r="W596" s="5"/>
    </row>
    <row r="597" spans="1:23" x14ac:dyDescent="0.2">
      <c r="A597" s="4">
        <v>45434</v>
      </c>
      <c r="B597" s="5">
        <f>(Cotacoes!B597-Cotacoes!B596)/Cotacoes!B596</f>
        <v>-6.9636554421444626E-3</v>
      </c>
      <c r="C597" s="5">
        <f>(Cotacoes!C597-Cotacoes!C596)/Cotacoes!C596</f>
        <v>-7.9177897574123791E-3</v>
      </c>
      <c r="D597" s="5">
        <f>(Cotacoes!D597-Cotacoes!D596)/Cotacoes!D596</f>
        <v>1.3770491803278745E-2</v>
      </c>
      <c r="E597" s="5">
        <f>(Cotacoes!E597-Cotacoes!E596)/Cotacoes!E596</f>
        <v>-1.5334063526834673E-2</v>
      </c>
      <c r="F597" s="5">
        <f>(Cotacoes!F597-Cotacoes!F596)/Cotacoes!F596</f>
        <v>9.2764378478663312E-3</v>
      </c>
      <c r="G597" s="5">
        <f>(Cotacoes!G597-Cotacoes!G596)/Cotacoes!G596</f>
        <v>-1.2110280855449596E-2</v>
      </c>
      <c r="H597" s="5">
        <f>(Cotacoes!H597-Cotacoes!H596)/Cotacoes!H596</f>
        <v>-1.426307448494451E-2</v>
      </c>
      <c r="I597" s="5">
        <f>(Cotacoes!I597-Cotacoes!I596)/Cotacoes!I596</f>
        <v>-3.4833091436865103E-2</v>
      </c>
      <c r="J597" s="5">
        <f>(Cotacoes!J597-Cotacoes!J596)/Cotacoes!J596</f>
        <v>-2.6370485840478061E-2</v>
      </c>
      <c r="K597" s="5">
        <f>(Cotacoes!K597-Cotacoes!K596)/Cotacoes!K596</f>
        <v>-2.1959459459459443E-2</v>
      </c>
      <c r="L597" s="5">
        <f>(Cotacoes!L597-Cotacoes!L596)/Cotacoes!L596</f>
        <v>-2.9945553539019971E-2</v>
      </c>
      <c r="M597" s="5">
        <f>(Cotacoes!M597-Cotacoes!M596)/Cotacoes!M596</f>
        <v>-3.6036036036035269E-3</v>
      </c>
      <c r="N597" s="5">
        <f>(Cotacoes!N597-Cotacoes!N596)/Cotacoes!N596</f>
        <v>-8.0552359033372028E-3</v>
      </c>
      <c r="O597" s="5">
        <f>(Cotacoes!O597-Cotacoes!O596)/Cotacoes!O596</f>
        <v>-4.7473719905051547E-3</v>
      </c>
      <c r="P597" s="5">
        <f>(Cotacoes!P597-Cotacoes!P596)/Cotacoes!P596</f>
        <v>-2.0527116066903252E-2</v>
      </c>
      <c r="Q597" s="5">
        <f>(Cotacoes!Q597-Cotacoes!Q596)/Cotacoes!Q596</f>
        <v>-1.6934978047250578E-2</v>
      </c>
      <c r="R597" s="5">
        <f>(Cotacoes!R597-Cotacoes!R596)/Cotacoes!R596</f>
        <v>-2.9214850882531979E-2</v>
      </c>
      <c r="S597" s="5">
        <f>(Cotacoes!S597-Cotacoes!S596)/Cotacoes!S596</f>
        <v>-2.0921869892121626E-2</v>
      </c>
      <c r="T597" s="5">
        <f>(Cotacoes!T597-Cotacoes!T596)/Cotacoes!T596</f>
        <v>-3.5768811341330434E-2</v>
      </c>
      <c r="U597" s="5">
        <f>(Cotacoes!U597-Cotacoes!U596)/Cotacoes!U596</f>
        <v>-1.7539863325740229E-2</v>
      </c>
      <c r="V597" s="5">
        <f>(Cotacoes!V597-Cotacoes!V596)/Cotacoes!V596</f>
        <v>-6.0545575515635407E-2</v>
      </c>
      <c r="W597" s="5"/>
    </row>
    <row r="598" spans="1:23" x14ac:dyDescent="0.2">
      <c r="A598" s="4">
        <v>45435</v>
      </c>
      <c r="B598" s="5">
        <f>(Cotacoes!B598-Cotacoes!B597)/Cotacoes!B597</f>
        <v>-2.5936599423630742E-3</v>
      </c>
      <c r="C598" s="5">
        <f>(Cotacoes!C598-Cotacoes!C597)/Cotacoes!C597</f>
        <v>-5.9432840889794775E-3</v>
      </c>
      <c r="D598" s="5">
        <f>(Cotacoes!D598-Cotacoes!D597)/Cotacoes!D597</f>
        <v>-1.0025873221216114E-2</v>
      </c>
      <c r="E598" s="5">
        <f>(Cotacoes!E598-Cotacoes!E597)/Cotacoes!E597</f>
        <v>-8.8987764182424343E-3</v>
      </c>
      <c r="F598" s="5">
        <f>(Cotacoes!F598-Cotacoes!F597)/Cotacoes!F597</f>
        <v>-8.5784313725490551E-3</v>
      </c>
      <c r="G598" s="5">
        <f>(Cotacoes!G598-Cotacoes!G597)/Cotacoes!G597</f>
        <v>-6.5206051121544069E-3</v>
      </c>
      <c r="H598" s="5">
        <f>(Cotacoes!H598-Cotacoes!H597)/Cotacoes!H597</f>
        <v>-2.0498392282958119E-2</v>
      </c>
      <c r="I598" s="5">
        <f>(Cotacoes!I598-Cotacoes!I597)/Cotacoes!I597</f>
        <v>-2.7067669172933357E-3</v>
      </c>
      <c r="J598" s="5">
        <f>(Cotacoes!J598-Cotacoes!J597)/Cotacoes!J597</f>
        <v>5.470313542361529E-3</v>
      </c>
      <c r="K598" s="5">
        <f>(Cotacoes!K598-Cotacoes!K597)/Cotacoes!K597</f>
        <v>-1.7271157167530162E-2</v>
      </c>
      <c r="L598" s="5">
        <f>(Cotacoes!L598-Cotacoes!L597)/Cotacoes!L597</f>
        <v>3.7418147801684684E-3</v>
      </c>
      <c r="M598" s="5">
        <f>(Cotacoes!M598-Cotacoes!M597)/Cotacoes!M597</f>
        <v>-9.0415913200721394E-4</v>
      </c>
      <c r="N598" s="5">
        <f>(Cotacoes!N598-Cotacoes!N597)/Cotacoes!N597</f>
        <v>-8.1206496519719857E-3</v>
      </c>
      <c r="O598" s="5">
        <f>(Cotacoes!O598-Cotacoes!O597)/Cotacoes!O597</f>
        <v>4.4293015332197271E-3</v>
      </c>
      <c r="P598" s="5">
        <f>(Cotacoes!P598-Cotacoes!P597)/Cotacoes!P597</f>
        <v>-1.8628719275549776E-2</v>
      </c>
      <c r="Q598" s="5">
        <f>(Cotacoes!Q598-Cotacoes!Q597)/Cotacoes!Q597</f>
        <v>3.6792854104636258E-2</v>
      </c>
      <c r="R598" s="5">
        <f>(Cotacoes!R598-Cotacoes!R597)/Cotacoes!R597</f>
        <v>-1.7241379310344741E-2</v>
      </c>
      <c r="S598" s="5">
        <f>(Cotacoes!S598-Cotacoes!S597)/Cotacoes!S597</f>
        <v>-1.0016694490818054E-2</v>
      </c>
      <c r="T598" s="5">
        <f>(Cotacoes!T598-Cotacoes!T597)/Cotacoes!T597</f>
        <v>5.8810223931236826E-3</v>
      </c>
      <c r="U598" s="5">
        <f>(Cotacoes!U598-Cotacoes!U597)/Cotacoes!U597</f>
        <v>-2.0867145838164482E-3</v>
      </c>
      <c r="V598" s="5">
        <f>(Cotacoes!V598-Cotacoes!V597)/Cotacoes!V597</f>
        <v>2.8328611898017653E-3</v>
      </c>
      <c r="W598" s="5"/>
    </row>
    <row r="599" spans="1:23" x14ac:dyDescent="0.2">
      <c r="A599" s="4">
        <v>45436</v>
      </c>
      <c r="B599" s="5">
        <f>(Cotacoes!B599-Cotacoes!B598)/Cotacoes!B598</f>
        <v>-1.9262255610128114E-4</v>
      </c>
      <c r="C599" s="5">
        <f>(Cotacoes!C599-Cotacoes!C598)/Cotacoes!C598</f>
        <v>3.4164673727371243E-4</v>
      </c>
      <c r="D599" s="5">
        <f>(Cotacoes!D599-Cotacoes!D598)/Cotacoes!D598</f>
        <v>-5.5537406076445004E-3</v>
      </c>
      <c r="E599" s="5">
        <f>(Cotacoes!E599-Cotacoes!E598)/Cotacoes!E598</f>
        <v>-9.7268986157875627E-3</v>
      </c>
      <c r="F599" s="5">
        <f>(Cotacoes!F599-Cotacoes!F598)/Cotacoes!F598</f>
        <v>-3.0902348578492407E-3</v>
      </c>
      <c r="G599" s="5">
        <f>(Cotacoes!G599-Cotacoes!G598)/Cotacoes!G598</f>
        <v>-1.758991861380944E-2</v>
      </c>
      <c r="H599" s="5">
        <f>(Cotacoes!H599-Cotacoes!H598)/Cotacoes!H598</f>
        <v>5.3344275748871154E-3</v>
      </c>
      <c r="I599" s="5">
        <f>(Cotacoes!I599-Cotacoes!I598)/Cotacoes!I598</f>
        <v>1.507840772014604E-3</v>
      </c>
      <c r="J599" s="5">
        <f>(Cotacoes!J599-Cotacoes!J598)/Cotacoes!J598</f>
        <v>3.3174097664543526E-3</v>
      </c>
      <c r="K599" s="5">
        <f>(Cotacoes!K599-Cotacoes!K598)/Cotacoes!K598</f>
        <v>7.0298769771529055E-3</v>
      </c>
      <c r="L599" s="5">
        <f>(Cotacoes!L599-Cotacoes!L598)/Cotacoes!L598</f>
        <v>2.7958993476234258E-3</v>
      </c>
      <c r="M599" s="5">
        <f>(Cotacoes!M599-Cotacoes!M598)/Cotacoes!M598</f>
        <v>-7.2398190045248932E-3</v>
      </c>
      <c r="N599" s="5">
        <f>(Cotacoes!N599-Cotacoes!N598)/Cotacoes!N598</f>
        <v>-7.0175438596491802E-3</v>
      </c>
      <c r="O599" s="5">
        <f>(Cotacoes!O599-Cotacoes!O598)/Cotacoes!O598</f>
        <v>-4.070556309362313E-3</v>
      </c>
      <c r="P599" s="5">
        <f>(Cotacoes!P599-Cotacoes!P598)/Cotacoes!P598</f>
        <v>-7.6456630635380737E-3</v>
      </c>
      <c r="Q599" s="5">
        <f>(Cotacoes!Q599-Cotacoes!Q598)/Cotacoes!Q598</f>
        <v>-2.297435897435892E-2</v>
      </c>
      <c r="R599" s="5">
        <f>(Cotacoes!R599-Cotacoes!R598)/Cotacoes!R598</f>
        <v>-1.3397129186602925E-2</v>
      </c>
      <c r="S599" s="5">
        <f>(Cotacoes!S599-Cotacoes!S598)/Cotacoes!S598</f>
        <v>1.6863406408094434E-2</v>
      </c>
      <c r="T599" s="5">
        <f>(Cotacoes!T599-Cotacoes!T598)/Cotacoes!T598</f>
        <v>-2.2936811333483159E-2</v>
      </c>
      <c r="U599" s="5">
        <f>(Cotacoes!U599-Cotacoes!U598)/Cotacoes!U598</f>
        <v>-6.737918215613363E-3</v>
      </c>
      <c r="V599" s="5">
        <f>(Cotacoes!V599-Cotacoes!V598)/Cotacoes!V598</f>
        <v>-7.4152542372881653E-3</v>
      </c>
      <c r="W599" s="5"/>
    </row>
    <row r="600" spans="1:23" x14ac:dyDescent="0.2">
      <c r="A600" s="4">
        <v>45439</v>
      </c>
      <c r="B600" s="5">
        <f>(Cotacoes!B600-Cotacoes!B599)/Cotacoes!B599</f>
        <v>-5.9724496676621186E-3</v>
      </c>
      <c r="C600" s="5">
        <f>(Cotacoes!C600-Cotacoes!C599)/Cotacoes!C599</f>
        <v>3.4153005464480145E-3</v>
      </c>
      <c r="D600" s="5">
        <f>(Cotacoes!D600-Cotacoes!D599)/Cotacoes!D599</f>
        <v>1.1169513797634686E-2</v>
      </c>
      <c r="E600" s="5">
        <f>(Cotacoes!E600-Cotacoes!E599)/Cotacoes!E599</f>
        <v>-3.4000755572345998E-3</v>
      </c>
      <c r="F600" s="5">
        <f>(Cotacoes!F600-Cotacoes!F599)/Cotacoes!F599</f>
        <v>9.9194048357098673E-3</v>
      </c>
      <c r="G600" s="5">
        <f>(Cotacoes!G600-Cotacoes!G599)/Cotacoes!G599</f>
        <v>2.672367717797437E-4</v>
      </c>
      <c r="H600" s="5">
        <f>(Cotacoes!H600-Cotacoes!H599)/Cotacoes!H599</f>
        <v>1.1836734693877516E-2</v>
      </c>
      <c r="I600" s="5">
        <f>(Cotacoes!I600-Cotacoes!I599)/Cotacoes!I599</f>
        <v>0</v>
      </c>
      <c r="J600" s="5">
        <f>(Cotacoes!J600-Cotacoes!J599)/Cotacoes!J599</f>
        <v>-7.1419124454438071E-3</v>
      </c>
      <c r="K600" s="5">
        <f>(Cotacoes!K600-Cotacoes!K599)/Cotacoes!K599</f>
        <v>-2.6178010471205179E-3</v>
      </c>
      <c r="L600" s="5">
        <f>(Cotacoes!L600-Cotacoes!L599)/Cotacoes!L599</f>
        <v>-3.7174721189590287E-3</v>
      </c>
      <c r="M600" s="5">
        <f>(Cotacoes!M600-Cotacoes!M599)/Cotacoes!M599</f>
        <v>-5.4694621695533727E-3</v>
      </c>
      <c r="N600" s="5">
        <f>(Cotacoes!N600-Cotacoes!N599)/Cotacoes!N599</f>
        <v>0</v>
      </c>
      <c r="O600" s="5">
        <f>(Cotacoes!O600-Cotacoes!O599)/Cotacoes!O599</f>
        <v>-1.3623978201634829E-2</v>
      </c>
      <c r="P600" s="5">
        <f>(Cotacoes!P600-Cotacoes!P599)/Cotacoes!P599</f>
        <v>1.2486716259298588E-2</v>
      </c>
      <c r="Q600" s="5">
        <f>(Cotacoes!Q600-Cotacoes!Q599)/Cotacoes!Q599</f>
        <v>1.0497585555321678E-3</v>
      </c>
      <c r="R600" s="5">
        <f>(Cotacoes!R600-Cotacoes!R599)/Cotacoes!R599</f>
        <v>3.8797284190107014E-3</v>
      </c>
      <c r="S600" s="5">
        <f>(Cotacoes!S600-Cotacoes!S599)/Cotacoes!S599</f>
        <v>9.286898839137683E-3</v>
      </c>
      <c r="T600" s="5">
        <f>(Cotacoes!T600-Cotacoes!T599)/Cotacoes!T599</f>
        <v>5.0632911392404795E-3</v>
      </c>
      <c r="U600" s="5">
        <f>(Cotacoes!U600-Cotacoes!U599)/Cotacoes!U599</f>
        <v>-1.0058479532163735E-2</v>
      </c>
      <c r="V600" s="5">
        <f>(Cotacoes!V600-Cotacoes!V599)/Cotacoes!V599</f>
        <v>-1.5297047314123078E-2</v>
      </c>
      <c r="W600" s="5"/>
    </row>
    <row r="601" spans="1:23" x14ac:dyDescent="0.2">
      <c r="A601" s="4">
        <v>45440</v>
      </c>
      <c r="B601" s="5">
        <f>(Cotacoes!B601-Cotacoes!B600)/Cotacoes!B600</f>
        <v>-6.2021513712569101E-3</v>
      </c>
      <c r="C601" s="5">
        <f>(Cotacoes!C601-Cotacoes!C600)/Cotacoes!C600</f>
        <v>-2.1613342409802519E-2</v>
      </c>
      <c r="D601" s="5">
        <f>(Cotacoes!D601-Cotacoes!D600)/Cotacoes!D600</f>
        <v>2.1117608836907036E-2</v>
      </c>
      <c r="E601" s="5">
        <f>(Cotacoes!E601-Cotacoes!E600)/Cotacoes!E600</f>
        <v>-5.3070507960576415E-3</v>
      </c>
      <c r="F601" s="5">
        <f>(Cotacoes!F601-Cotacoes!F600)/Cotacoes!F600</f>
        <v>1.7802332719459739E-2</v>
      </c>
      <c r="G601" s="5">
        <f>(Cotacoes!G601-Cotacoes!G600)/Cotacoes!G600</f>
        <v>-3.2059845044081605E-3</v>
      </c>
      <c r="H601" s="5">
        <f>(Cotacoes!H601-Cotacoes!H600)/Cotacoes!H600</f>
        <v>-3.2271077047195764E-3</v>
      </c>
      <c r="I601" s="5">
        <f>(Cotacoes!I601-Cotacoes!I600)/Cotacoes!I600</f>
        <v>-9.334537789822411E-3</v>
      </c>
      <c r="J601" s="5">
        <f>(Cotacoes!J601-Cotacoes!J600)/Cotacoes!J600</f>
        <v>-5.8611962168642305E-3</v>
      </c>
      <c r="K601" s="5">
        <f>(Cotacoes!K601-Cotacoes!K600)/Cotacoes!K600</f>
        <v>-8.748906386701476E-4</v>
      </c>
      <c r="L601" s="5">
        <f>(Cotacoes!L601-Cotacoes!L600)/Cotacoes!L600</f>
        <v>-1.8656716417911705E-3</v>
      </c>
      <c r="M601" s="5">
        <f>(Cotacoes!M601-Cotacoes!M600)/Cotacoes!M600</f>
        <v>-1.8331805682859695E-2</v>
      </c>
      <c r="N601" s="5">
        <f>(Cotacoes!N601-Cotacoes!N600)/Cotacoes!N600</f>
        <v>0</v>
      </c>
      <c r="O601" s="5">
        <f>(Cotacoes!O601-Cotacoes!O600)/Cotacoes!O600</f>
        <v>-3.453038674033689E-4</v>
      </c>
      <c r="P601" s="5">
        <f>(Cotacoes!P601-Cotacoes!P600)/Cotacoes!P600</f>
        <v>-2.5715035423773205E-2</v>
      </c>
      <c r="Q601" s="5">
        <f>(Cotacoes!Q601-Cotacoes!Q600)/Cotacoes!Q600</f>
        <v>1.6778523489932528E-3</v>
      </c>
      <c r="R601" s="5">
        <f>(Cotacoes!R601-Cotacoes!R600)/Cotacoes!R600</f>
        <v>3.2206119162634495E-4</v>
      </c>
      <c r="S601" s="5">
        <f>(Cotacoes!S601-Cotacoes!S600)/Cotacoes!S600</f>
        <v>-1.6431153466973381E-2</v>
      </c>
      <c r="T601" s="5">
        <f>(Cotacoes!T601-Cotacoes!T600)/Cotacoes!T600</f>
        <v>-1.1678497824593658E-2</v>
      </c>
      <c r="U601" s="5">
        <f>(Cotacoes!U601-Cotacoes!U600)/Cotacoes!U600</f>
        <v>-8.5066162570888327E-3</v>
      </c>
      <c r="V601" s="5">
        <f>(Cotacoes!V601-Cotacoes!V600)/Cotacoes!V600</f>
        <v>-1.2644508670520282E-2</v>
      </c>
      <c r="W601" s="5"/>
    </row>
    <row r="602" spans="1:23" x14ac:dyDescent="0.2">
      <c r="A602" s="4">
        <v>45441</v>
      </c>
      <c r="B602" s="5">
        <f>(Cotacoes!B602-Cotacoes!B601)/Cotacoes!B601</f>
        <v>-5.3632374451486808E-3</v>
      </c>
      <c r="C602" s="5">
        <f>(Cotacoes!C602-Cotacoes!C601)/Cotacoes!C601</f>
        <v>-1.0088711080187952E-2</v>
      </c>
      <c r="D602" s="5">
        <f>(Cotacoes!D602-Cotacoes!D601)/Cotacoes!D601</f>
        <v>-1.2726694241170585E-3</v>
      </c>
      <c r="E602" s="5">
        <f>(Cotacoes!E602-Cotacoes!E601)/Cotacoes!E601</f>
        <v>-6.8597560975609652E-3</v>
      </c>
      <c r="F602" s="5">
        <f>(Cotacoes!F602-Cotacoes!F601)/Cotacoes!F601</f>
        <v>2.1109770808202741E-3</v>
      </c>
      <c r="G602" s="5">
        <f>(Cotacoes!G602-Cotacoes!G601)/Cotacoes!G601</f>
        <v>-1.3133208255159528E-2</v>
      </c>
      <c r="H602" s="5">
        <f>(Cotacoes!H602-Cotacoes!H601)/Cotacoes!H601</f>
        <v>0</v>
      </c>
      <c r="I602" s="5">
        <f>(Cotacoes!I602-Cotacoes!I601)/Cotacoes!I601</f>
        <v>-1.5501519756838845E-2</v>
      </c>
      <c r="J602" s="5">
        <f>(Cotacoes!J602-Cotacoes!J601)/Cotacoes!J601</f>
        <v>8.0396623341822695E-4</v>
      </c>
      <c r="K602" s="5">
        <f>(Cotacoes!K602-Cotacoes!K601)/Cotacoes!K601</f>
        <v>-1.0507880910682945E-2</v>
      </c>
      <c r="L602" s="5">
        <f>(Cotacoes!L602-Cotacoes!L601)/Cotacoes!L601</f>
        <v>-1.7757009345794349E-2</v>
      </c>
      <c r="M602" s="5">
        <f>(Cotacoes!M602-Cotacoes!M601)/Cotacoes!M601</f>
        <v>-6.5359477124183269E-3</v>
      </c>
      <c r="N602" s="5">
        <f>(Cotacoes!N602-Cotacoes!N601)/Cotacoes!N601</f>
        <v>-9.4228504122497135E-3</v>
      </c>
      <c r="O602" s="5">
        <f>(Cotacoes!O602-Cotacoes!O601)/Cotacoes!O601</f>
        <v>-1.3816925734023886E-3</v>
      </c>
      <c r="P602" s="5">
        <f>(Cotacoes!P602-Cotacoes!P601)/Cotacoes!P601</f>
        <v>-1.4004847831941909E-2</v>
      </c>
      <c r="Q602" s="5">
        <f>(Cotacoes!Q602-Cotacoes!Q601)/Cotacoes!Q601</f>
        <v>4.1876046901173124E-3</v>
      </c>
      <c r="R602" s="5">
        <f>(Cotacoes!R602-Cotacoes!R601)/Cotacoes!R601</f>
        <v>-9.6587250482935341E-3</v>
      </c>
      <c r="S602" s="5">
        <f>(Cotacoes!S602-Cotacoes!S601)/Cotacoes!S601</f>
        <v>-1.7373872368860659E-2</v>
      </c>
      <c r="T602" s="5">
        <f>(Cotacoes!T602-Cotacoes!T601)/Cotacoes!T601</f>
        <v>-1.6913809082483709E-2</v>
      </c>
      <c r="U602" s="5">
        <f>(Cotacoes!U602-Cotacoes!U601)/Cotacoes!U601</f>
        <v>-1.2392755004766519E-2</v>
      </c>
      <c r="V602" s="5">
        <f>(Cotacoes!V602-Cotacoes!V601)/Cotacoes!V601</f>
        <v>-1.2806439809732817E-2</v>
      </c>
      <c r="W602" s="5"/>
    </row>
    <row r="603" spans="1:23" x14ac:dyDescent="0.2">
      <c r="A603" s="4">
        <v>45443</v>
      </c>
      <c r="B603" s="5">
        <f>(Cotacoes!B603-Cotacoes!B602)/Cotacoes!B602</f>
        <v>-9.8039215686268936E-4</v>
      </c>
      <c r="C603" s="5">
        <f>(Cotacoes!C603-Cotacoes!C602)/Cotacoes!C602</f>
        <v>-7.0286417149884289E-4</v>
      </c>
      <c r="D603" s="5">
        <f>(Cotacoes!D603-Cotacoes!D602)/Cotacoes!D602</f>
        <v>2.7715833067855924E-2</v>
      </c>
      <c r="E603" s="5">
        <f>(Cotacoes!E603-Cotacoes!E602)/Cotacoes!E602</f>
        <v>-1.036070606293168E-2</v>
      </c>
      <c r="F603" s="5">
        <f>(Cotacoes!F603-Cotacoes!F602)/Cotacoes!F602</f>
        <v>3.1297020764369736E-2</v>
      </c>
      <c r="G603" s="5">
        <f>(Cotacoes!G603-Cotacoes!G602)/Cotacoes!G602</f>
        <v>-4.617055947854473E-3</v>
      </c>
      <c r="H603" s="5">
        <f>(Cotacoes!H603-Cotacoes!H602)/Cotacoes!H602</f>
        <v>-7.2845002023472164E-3</v>
      </c>
      <c r="I603" s="5">
        <f>(Cotacoes!I603-Cotacoes!I602)/Cotacoes!I602</f>
        <v>-1.4510651435628245E-2</v>
      </c>
      <c r="J603" s="5">
        <f>(Cotacoes!J603-Cotacoes!J602)/Cotacoes!J602</f>
        <v>-1.1112598741464698E-2</v>
      </c>
      <c r="K603" s="5">
        <f>(Cotacoes!K603-Cotacoes!K602)/Cotacoes!K602</f>
        <v>-8.8495575221240186E-3</v>
      </c>
      <c r="L603" s="5">
        <f>(Cotacoes!L603-Cotacoes!L602)/Cotacoes!L602</f>
        <v>-1.6175071360608938E-2</v>
      </c>
      <c r="M603" s="5">
        <f>(Cotacoes!M603-Cotacoes!M602)/Cotacoes!M602</f>
        <v>3.7593984962405211E-3</v>
      </c>
      <c r="N603" s="5">
        <f>(Cotacoes!N603-Cotacoes!N602)/Cotacoes!N602</f>
        <v>-1.4268727705113079E-2</v>
      </c>
      <c r="O603" s="5">
        <f>(Cotacoes!O603-Cotacoes!O602)/Cotacoes!O602</f>
        <v>-2.4213075060532784E-3</v>
      </c>
      <c r="P603" s="5">
        <f>(Cotacoes!P603-Cotacoes!P602)/Cotacoes!P602</f>
        <v>-1.1472275334608078E-2</v>
      </c>
      <c r="Q603" s="5">
        <f>(Cotacoes!Q603-Cotacoes!Q602)/Cotacoes!Q602</f>
        <v>-1.1884904086738955E-2</v>
      </c>
      <c r="R603" s="5">
        <f>(Cotacoes!R603-Cotacoes!R602)/Cotacoes!R602</f>
        <v>-1.0403120936280893E-2</v>
      </c>
      <c r="S603" s="5">
        <f>(Cotacoes!S603-Cotacoes!S602)/Cotacoes!S602</f>
        <v>-6.1203672220333126E-3</v>
      </c>
      <c r="T603" s="5">
        <f>(Cotacoes!T603-Cotacoes!T602)/Cotacoes!T602</f>
        <v>-1.9325948621258551E-2</v>
      </c>
      <c r="U603" s="5">
        <f>(Cotacoes!U603-Cotacoes!U602)/Cotacoes!U602</f>
        <v>-2.8957528957528855E-2</v>
      </c>
      <c r="V603" s="5">
        <f>(Cotacoes!V603-Cotacoes!V602)/Cotacoes!V602</f>
        <v>-1.2972572275759875E-2</v>
      </c>
      <c r="W603" s="5"/>
    </row>
    <row r="604" spans="1:23" x14ac:dyDescent="0.2">
      <c r="A604" s="4">
        <v>45446</v>
      </c>
      <c r="B604" s="5">
        <f>(Cotacoes!B604-Cotacoes!B603)/Cotacoes!B603</f>
        <v>-2.4533856722276739E-3</v>
      </c>
      <c r="C604" s="5">
        <f>(Cotacoes!C604-Cotacoes!C603)/Cotacoes!C603</f>
        <v>-2.0924916476173689E-2</v>
      </c>
      <c r="D604" s="5">
        <f>(Cotacoes!D604-Cotacoes!D603)/Cotacoes!D603</f>
        <v>-5.5796652200867866E-3</v>
      </c>
      <c r="E604" s="5">
        <f>(Cotacoes!E604-Cotacoes!E603)/Cotacoes!E603</f>
        <v>1.3958898797983694E-2</v>
      </c>
      <c r="F604" s="5">
        <f>(Cotacoes!F604-Cotacoes!F603)/Cotacoes!F603</f>
        <v>-1.1088415523781807E-2</v>
      </c>
      <c r="G604" s="5">
        <f>(Cotacoes!G604-Cotacoes!G603)/Cotacoes!G603</f>
        <v>-5.7298772169168035E-3</v>
      </c>
      <c r="H604" s="5">
        <f>(Cotacoes!H604-Cotacoes!H603)/Cotacoes!H603</f>
        <v>1.2229922543822904E-3</v>
      </c>
      <c r="I604" s="5">
        <f>(Cotacoes!I604-Cotacoes!I603)/Cotacoes!I603</f>
        <v>1.9110275689223039E-2</v>
      </c>
      <c r="J604" s="5">
        <f>(Cotacoes!J604-Cotacoes!J603)/Cotacoes!J603</f>
        <v>-4.1971297048470383E-3</v>
      </c>
      <c r="K604" s="5">
        <f>(Cotacoes!K604-Cotacoes!K603)/Cotacoes!K603</f>
        <v>6.2500000000000255E-3</v>
      </c>
      <c r="L604" s="5">
        <f>(Cotacoes!L604-Cotacoes!L603)/Cotacoes!L603</f>
        <v>-9.6711798839456355E-4</v>
      </c>
      <c r="M604" s="5">
        <f>(Cotacoes!M604-Cotacoes!M603)/Cotacoes!M603</f>
        <v>-9.3632958801496133E-4</v>
      </c>
      <c r="N604" s="5">
        <f>(Cotacoes!N604-Cotacoes!N603)/Cotacoes!N603</f>
        <v>7.237635705669542E-3</v>
      </c>
      <c r="O604" s="5">
        <f>(Cotacoes!O604-Cotacoes!O603)/Cotacoes!O603</f>
        <v>-2.0804438280165993E-3</v>
      </c>
      <c r="P604" s="5">
        <f>(Cotacoes!P604-Cotacoes!P603)/Cotacoes!P603</f>
        <v>1.3815971262779773E-2</v>
      </c>
      <c r="Q604" s="5">
        <f>(Cotacoes!Q604-Cotacoes!Q603)/Cotacoes!Q603</f>
        <v>-3.2496307237813868E-2</v>
      </c>
      <c r="R604" s="5">
        <f>(Cotacoes!R604-Cotacoes!R603)/Cotacoes!R603</f>
        <v>3.0551905387647821E-2</v>
      </c>
      <c r="S604" s="5">
        <f>(Cotacoes!S604-Cotacoes!S603)/Cotacoes!S603</f>
        <v>1.4026684912760866E-2</v>
      </c>
      <c r="T604" s="5">
        <f>(Cotacoes!T604-Cotacoes!T603)/Cotacoes!T603</f>
        <v>-1.0574381158375336E-2</v>
      </c>
      <c r="U604" s="5">
        <f>(Cotacoes!U604-Cotacoes!U603)/Cotacoes!U603</f>
        <v>-1.988071570576675E-3</v>
      </c>
      <c r="V604" s="5">
        <f>(Cotacoes!V604-Cotacoes!V603)/Cotacoes!V603</f>
        <v>-5.2572286894480126E-3</v>
      </c>
      <c r="W604" s="5"/>
    </row>
    <row r="605" spans="1:23" x14ac:dyDescent="0.2">
      <c r="A605" s="4">
        <v>45447</v>
      </c>
      <c r="B605" s="5">
        <f>(Cotacoes!B605-Cotacoes!B604)/Cotacoes!B604</f>
        <v>-4.9188391539607842E-4</v>
      </c>
      <c r="C605" s="5">
        <f>(Cotacoes!C605-Cotacoes!C604)/Cotacoes!C604</f>
        <v>-1.0237068965517246E-2</v>
      </c>
      <c r="D605" s="5">
        <f>(Cotacoes!D605-Cotacoes!D604)/Cotacoes!D604</f>
        <v>-1.0910224438902678E-2</v>
      </c>
      <c r="E605" s="5">
        <f>(Cotacoes!E605-Cotacoes!E604)/Cotacoes!E604</f>
        <v>3.4416826003824041E-3</v>
      </c>
      <c r="F605" s="5">
        <f>(Cotacoes!F605-Cotacoes!F604)/Cotacoes!F604</f>
        <v>-5.9014458542343716E-3</v>
      </c>
      <c r="G605" s="5">
        <f>(Cotacoes!G605-Cotacoes!G604)/Cotacoes!G604</f>
        <v>1.234906695938537E-2</v>
      </c>
      <c r="H605" s="5">
        <f>(Cotacoes!H605-Cotacoes!H604)/Cotacoes!H604</f>
        <v>2.8501628664495231E-3</v>
      </c>
      <c r="I605" s="5">
        <f>(Cotacoes!I605-Cotacoes!I604)/Cotacoes!I604</f>
        <v>8.6074392868122074E-3</v>
      </c>
      <c r="J605" s="5">
        <f>(Cotacoes!J605-Cotacoes!J604)/Cotacoes!J604</f>
        <v>1.5227736233854584E-2</v>
      </c>
      <c r="K605" s="5">
        <f>(Cotacoes!K605-Cotacoes!K604)/Cotacoes!K604</f>
        <v>8.8731144631765436E-3</v>
      </c>
      <c r="L605" s="5">
        <f>(Cotacoes!L605-Cotacoes!L604)/Cotacoes!L604</f>
        <v>1.9361084220715947E-3</v>
      </c>
      <c r="M605" s="5">
        <f>(Cotacoes!M605-Cotacoes!M604)/Cotacoes!M604</f>
        <v>1.2183692596063804E-2</v>
      </c>
      <c r="N605" s="5">
        <f>(Cotacoes!N605-Cotacoes!N604)/Cotacoes!N604</f>
        <v>4.7904191616767577E-3</v>
      </c>
      <c r="O605" s="5">
        <f>(Cotacoes!O605-Cotacoes!O604)/Cotacoes!O604</f>
        <v>-1.1466296038915977E-2</v>
      </c>
      <c r="P605" s="5">
        <f>(Cotacoes!P605-Cotacoes!P604)/Cotacoes!P604</f>
        <v>2.5892613791223845E-2</v>
      </c>
      <c r="Q605" s="5">
        <f>(Cotacoes!Q605-Cotacoes!Q604)/Cotacoes!Q604</f>
        <v>-4.5801526717557436E-3</v>
      </c>
      <c r="R605" s="5">
        <f>(Cotacoes!R605-Cotacoes!R604)/Cotacoes!R604</f>
        <v>-8.9257252151737684E-3</v>
      </c>
      <c r="S605" s="5">
        <f>(Cotacoes!S605-Cotacoes!S604)/Cotacoes!S604</f>
        <v>4.7233468286100059E-3</v>
      </c>
      <c r="T605" s="5">
        <f>(Cotacoes!T605-Cotacoes!T604)/Cotacoes!T604</f>
        <v>-6.8010687393733572E-3</v>
      </c>
      <c r="U605" s="5">
        <f>(Cotacoes!U605-Cotacoes!U604)/Cotacoes!U604</f>
        <v>4.4820717131475807E-3</v>
      </c>
      <c r="V605" s="5">
        <f>(Cotacoes!V605-Cotacoes!V604)/Cotacoes!V604</f>
        <v>-6.040015100037756E-3</v>
      </c>
      <c r="W605" s="5"/>
    </row>
    <row r="606" spans="1:23" x14ac:dyDescent="0.2">
      <c r="A606" s="4">
        <v>45448</v>
      </c>
      <c r="B606" s="5">
        <f>(Cotacoes!B606-Cotacoes!B605)/Cotacoes!B605</f>
        <v>9.8425196850393699E-3</v>
      </c>
      <c r="C606" s="5">
        <f>(Cotacoes!C606-Cotacoes!C605)/Cotacoes!C605</f>
        <v>-1.4153511159499204E-2</v>
      </c>
      <c r="D606" s="5">
        <f>(Cotacoes!D606-Cotacoes!D605)/Cotacoes!D605</f>
        <v>1.2606366214938274E-3</v>
      </c>
      <c r="E606" s="5">
        <f>(Cotacoes!E606-Cotacoes!E605)/Cotacoes!E605</f>
        <v>-1.9054878048779405E-3</v>
      </c>
      <c r="F606" s="5">
        <f>(Cotacoes!F606-Cotacoes!F605)/Cotacoes!F605</f>
        <v>-1.4841199168892003E-3</v>
      </c>
      <c r="G606" s="5">
        <f>(Cotacoes!G606-Cotacoes!G605)/Cotacoes!G605</f>
        <v>-6.776904310111141E-3</v>
      </c>
      <c r="H606" s="5">
        <f>(Cotacoes!H606-Cotacoes!H605)/Cotacoes!H605</f>
        <v>2.4360535931791422E-3</v>
      </c>
      <c r="I606" s="5">
        <f>(Cotacoes!I606-Cotacoes!I605)/Cotacoes!I605</f>
        <v>9.4483389210605045E-3</v>
      </c>
      <c r="J606" s="5">
        <f>(Cotacoes!J606-Cotacoes!J605)/Cotacoes!J605</f>
        <v>4.4730145975626134E-2</v>
      </c>
      <c r="K606" s="5">
        <f>(Cotacoes!K606-Cotacoes!K605)/Cotacoes!K605</f>
        <v>-5.2770448548811544E-3</v>
      </c>
      <c r="L606" s="5">
        <f>(Cotacoes!L606-Cotacoes!L605)/Cotacoes!L605</f>
        <v>2.8985507246377909E-3</v>
      </c>
      <c r="M606" s="5">
        <f>(Cotacoes!M606-Cotacoes!M605)/Cotacoes!M605</f>
        <v>-1.0185185185185297E-2</v>
      </c>
      <c r="N606" s="5">
        <f>(Cotacoes!N606-Cotacoes!N605)/Cotacoes!N605</f>
        <v>5.959475566150051E-3</v>
      </c>
      <c r="O606" s="5">
        <f>(Cotacoes!O606-Cotacoes!O605)/Cotacoes!O605</f>
        <v>4.2179261862917749E-3</v>
      </c>
      <c r="P606" s="5">
        <f>(Cotacoes!P606-Cotacoes!P605)/Cotacoes!P605</f>
        <v>-2.8692879914984013E-2</v>
      </c>
      <c r="Q606" s="5">
        <f>(Cotacoes!Q606-Cotacoes!Q605)/Cotacoes!Q605</f>
        <v>-5.4776511831726559E-3</v>
      </c>
      <c r="R606" s="5">
        <f>(Cotacoes!R606-Cotacoes!R605)/Cotacoes!R605</f>
        <v>6.7545834673528741E-3</v>
      </c>
      <c r="S606" s="5">
        <f>(Cotacoes!S606-Cotacoes!S605)/Cotacoes!S605</f>
        <v>9.4022834116856135E-3</v>
      </c>
      <c r="T606" s="5">
        <f>(Cotacoes!T606-Cotacoes!T605)/Cotacoes!T605</f>
        <v>-1.8341892883345562E-2</v>
      </c>
      <c r="U606" s="5">
        <f>(Cotacoes!U606-Cotacoes!U605)/Cotacoes!U605</f>
        <v>4.2141794744668956E-3</v>
      </c>
      <c r="V606" s="5">
        <f>(Cotacoes!V606-Cotacoes!V605)/Cotacoes!V605</f>
        <v>-9.1150778579566442E-3</v>
      </c>
      <c r="W606" s="5"/>
    </row>
    <row r="607" spans="1:23" x14ac:dyDescent="0.2">
      <c r="A607" s="4">
        <v>45449</v>
      </c>
      <c r="B607" s="5">
        <f>(Cotacoes!B607-Cotacoes!B606)/Cotacoes!B606</f>
        <v>-1.6861598440545709E-2</v>
      </c>
      <c r="C607" s="5">
        <f>(Cotacoes!C607-Cotacoes!C606)/Cotacoes!C606</f>
        <v>1.3804527885146328E-2</v>
      </c>
      <c r="D607" s="5">
        <f>(Cotacoes!D607-Cotacoes!D606)/Cotacoes!D606</f>
        <v>4.7214353163362336E-3</v>
      </c>
      <c r="E607" s="5">
        <f>(Cotacoes!E607-Cotacoes!E606)/Cotacoes!E606</f>
        <v>1.2982054219167614E-2</v>
      </c>
      <c r="F607" s="5">
        <f>(Cotacoes!F607-Cotacoes!F606)/Cotacoes!F606</f>
        <v>-2.9726516052312751E-4</v>
      </c>
      <c r="G607" s="5">
        <f>(Cotacoes!G607-Cotacoes!G606)/Cotacoes!G606</f>
        <v>7.0960698689955786E-3</v>
      </c>
      <c r="H607" s="5">
        <f>(Cotacoes!H607-Cotacoes!H606)/Cotacoes!H606</f>
        <v>1.2960712839206167E-2</v>
      </c>
      <c r="I607" s="5">
        <f>(Cotacoes!I607-Cotacoes!I606)/Cotacoes!I606</f>
        <v>1.2379227053140209E-2</v>
      </c>
      <c r="J607" s="5">
        <f>(Cotacoes!J607-Cotacoes!J606)/Cotacoes!J606</f>
        <v>-8.8450198692476851E-3</v>
      </c>
      <c r="K607" s="5">
        <f>(Cotacoes!K607-Cotacoes!K606)/Cotacoes!K606</f>
        <v>2.122015915119365E-2</v>
      </c>
      <c r="L607" s="5">
        <f>(Cotacoes!L607-Cotacoes!L606)/Cotacoes!L606</f>
        <v>3.1791907514450872E-2</v>
      </c>
      <c r="M607" s="5">
        <f>(Cotacoes!M607-Cotacoes!M606)/Cotacoes!M606</f>
        <v>2.1515434985968234E-2</v>
      </c>
      <c r="N607" s="5">
        <f>(Cotacoes!N607-Cotacoes!N606)/Cotacoes!N606</f>
        <v>5.9241706161138287E-3</v>
      </c>
      <c r="O607" s="5">
        <f>(Cotacoes!O607-Cotacoes!O606)/Cotacoes!O606</f>
        <v>2.1001050052502676E-2</v>
      </c>
      <c r="P607" s="5">
        <f>(Cotacoes!P607-Cotacoes!P606)/Cotacoes!P606</f>
        <v>8.4792122538291884E-3</v>
      </c>
      <c r="Q607" s="5">
        <f>(Cotacoes!Q607-Cotacoes!Q606)/Cotacoes!Q606</f>
        <v>3.6571932143643897E-2</v>
      </c>
      <c r="R607" s="5">
        <f>(Cotacoes!R607-Cotacoes!R606)/Cotacoes!R606</f>
        <v>2.4920127795527078E-2</v>
      </c>
      <c r="S607" s="5">
        <f>(Cotacoes!S607-Cotacoes!S606)/Cotacoes!S606</f>
        <v>-4.9900199600797935E-3</v>
      </c>
      <c r="T607" s="5">
        <f>(Cotacoes!T607-Cotacoes!T606)/Cotacoes!T606</f>
        <v>7.4738415545593266E-4</v>
      </c>
      <c r="U607" s="5">
        <f>(Cotacoes!U607-Cotacoes!U606)/Cotacoes!U606</f>
        <v>1.5798568254751927E-2</v>
      </c>
      <c r="V607" s="5">
        <f>(Cotacoes!V607-Cotacoes!V606)/Cotacoes!V606</f>
        <v>1.7631276351092406E-2</v>
      </c>
      <c r="W607" s="5"/>
    </row>
    <row r="608" spans="1:23" x14ac:dyDescent="0.2">
      <c r="A608" s="4">
        <v>45450</v>
      </c>
      <c r="B608" s="5">
        <f>(Cotacoes!B608-Cotacoes!B607)/Cotacoes!B607</f>
        <v>7.9310002974123414E-4</v>
      </c>
      <c r="C608" s="5">
        <f>(Cotacoes!C608-Cotacoes!C607)/Cotacoes!C607</f>
        <v>-1.3071895424836581E-2</v>
      </c>
      <c r="D608" s="5">
        <f>(Cotacoes!D608-Cotacoes!D607)/Cotacoes!D607</f>
        <v>-3.7593984962406103E-2</v>
      </c>
      <c r="E608" s="5">
        <f>(Cotacoes!E608-Cotacoes!E607)/Cotacoes!E607</f>
        <v>-1.4323407463249248E-2</v>
      </c>
      <c r="F608" s="5">
        <f>(Cotacoes!F608-Cotacoes!F607)/Cotacoes!F607</f>
        <v>-3.3898305084745776E-2</v>
      </c>
      <c r="G608" s="5">
        <f>(Cotacoes!G608-Cotacoes!G607)/Cotacoes!G607</f>
        <v>1.0840108401083781E-3</v>
      </c>
      <c r="H608" s="5">
        <f>(Cotacoes!H608-Cotacoes!H607)/Cotacoes!H607</f>
        <v>-1.6793282686925298E-2</v>
      </c>
      <c r="I608" s="5">
        <f>(Cotacoes!I608-Cotacoes!I607)/Cotacoes!I607</f>
        <v>-2.2368028631076647E-2</v>
      </c>
      <c r="J608" s="5">
        <f>(Cotacoes!J608-Cotacoes!J607)/Cotacoes!J607</f>
        <v>-3.9705121572684861E-2</v>
      </c>
      <c r="K608" s="5">
        <f>(Cotacoes!K608-Cotacoes!K607)/Cotacoes!K607</f>
        <v>-7.7922077922077792E-3</v>
      </c>
      <c r="L608" s="5">
        <f>(Cotacoes!L608-Cotacoes!L607)/Cotacoes!L607</f>
        <v>-2.9878618113912257E-2</v>
      </c>
      <c r="M608" s="5">
        <f>(Cotacoes!M608-Cotacoes!M607)/Cotacoes!M607</f>
        <v>-2.1978021978021997E-2</v>
      </c>
      <c r="N608" s="5">
        <f>(Cotacoes!N608-Cotacoes!N607)/Cotacoes!N607</f>
        <v>-2.4734982332155576E-2</v>
      </c>
      <c r="O608" s="5">
        <f>(Cotacoes!O608-Cotacoes!O607)/Cotacoes!O607</f>
        <v>2.3997257456289589E-3</v>
      </c>
      <c r="P608" s="5">
        <f>(Cotacoes!P608-Cotacoes!P607)/Cotacoes!P607</f>
        <v>4.0412259289395229E-2</v>
      </c>
      <c r="Q608" s="5">
        <f>(Cotacoes!Q608-Cotacoes!Q607)/Cotacoes!Q607</f>
        <v>6.1636556854411531E-3</v>
      </c>
      <c r="R608" s="5">
        <f>(Cotacoes!R608-Cotacoes!R607)/Cotacoes!R607</f>
        <v>-1.8391521197007477E-2</v>
      </c>
      <c r="S608" s="5">
        <f>(Cotacoes!S608-Cotacoes!S607)/Cotacoes!S607</f>
        <v>-1.4376462721497818E-2</v>
      </c>
      <c r="T608" s="5">
        <f>(Cotacoes!T608-Cotacoes!T607)/Cotacoes!T607</f>
        <v>-6.2235499128703011E-3</v>
      </c>
      <c r="U608" s="5">
        <f>(Cotacoes!U608-Cotacoes!U607)/Cotacoes!U607</f>
        <v>-2.1628189550425288E-2</v>
      </c>
      <c r="V608" s="5">
        <f>(Cotacoes!V608-Cotacoes!V607)/Cotacoes!V607</f>
        <v>-1.6949152542372854E-2</v>
      </c>
      <c r="W608" s="5"/>
    </row>
    <row r="609" spans="1:23" x14ac:dyDescent="0.2">
      <c r="A609" s="4">
        <v>45453</v>
      </c>
      <c r="B609" s="5">
        <f>(Cotacoes!B609-Cotacoes!B608)/Cotacoes!B608</f>
        <v>6.8350668647845243E-3</v>
      </c>
      <c r="C609" s="5">
        <f>(Cotacoes!C609-Cotacoes!C608)/Cotacoes!C608</f>
        <v>1.1037527593819011E-2</v>
      </c>
      <c r="D609" s="5">
        <f>(Cotacoes!D609-Cotacoes!D608)/Cotacoes!D608</f>
        <v>1.4973958333333362E-2</v>
      </c>
      <c r="E609" s="5">
        <f>(Cotacoes!E609-Cotacoes!E608)/Cotacoes!E608</f>
        <v>-8.0305927342255185E-3</v>
      </c>
      <c r="F609" s="5">
        <f>(Cotacoes!F609-Cotacoes!F608)/Cotacoes!F608</f>
        <v>1.8467220683287208E-2</v>
      </c>
      <c r="G609" s="5">
        <f>(Cotacoes!G609-Cotacoes!G608)/Cotacoes!G608</f>
        <v>-1.0828370330265066E-3</v>
      </c>
      <c r="H609" s="5">
        <f>(Cotacoes!H609-Cotacoes!H608)/Cotacoes!H608</f>
        <v>8.1333875559168659E-4</v>
      </c>
      <c r="I609" s="5">
        <f>(Cotacoes!I609-Cotacoes!I608)/Cotacoes!I608</f>
        <v>7.0164734594263837E-3</v>
      </c>
      <c r="J609" s="5">
        <f>(Cotacoes!J609-Cotacoes!J608)/Cotacoes!J608</f>
        <v>1.1447811447811372E-2</v>
      </c>
      <c r="K609" s="5">
        <f>(Cotacoes!K609-Cotacoes!K608)/Cotacoes!K608</f>
        <v>-6.9808027923211223E-3</v>
      </c>
      <c r="L609" s="5">
        <f>(Cotacoes!L609-Cotacoes!L608)/Cotacoes!L608</f>
        <v>-2.406159769008662E-2</v>
      </c>
      <c r="M609" s="5">
        <f>(Cotacoes!M609-Cotacoes!M608)/Cotacoes!M608</f>
        <v>-8.4269662921348191E-3</v>
      </c>
      <c r="N609" s="5">
        <f>(Cotacoes!N609-Cotacoes!N608)/Cotacoes!N608</f>
        <v>-8.4541062801930574E-3</v>
      </c>
      <c r="O609" s="5">
        <f>(Cotacoes!O609-Cotacoes!O608)/Cotacoes!O608</f>
        <v>3.4199726402194133E-4</v>
      </c>
      <c r="P609" s="5">
        <f>(Cotacoes!P609-Cotacoes!P608)/Cotacoes!P608</f>
        <v>1.6423357664233643E-2</v>
      </c>
      <c r="Q609" s="5">
        <f>(Cotacoes!Q609-Cotacoes!Q608)/Cotacoes!Q608</f>
        <v>2.154626108998724E-2</v>
      </c>
      <c r="R609" s="5">
        <f>(Cotacoes!R609-Cotacoes!R608)/Cotacoes!R608</f>
        <v>-3.3343918704350502E-2</v>
      </c>
      <c r="S609" s="5">
        <f>(Cotacoes!S609-Cotacoes!S608)/Cotacoes!S608</f>
        <v>-1.0176390773405724E-2</v>
      </c>
      <c r="T609" s="5">
        <f>(Cotacoes!T609-Cotacoes!T608)/Cotacoes!T608</f>
        <v>2.2044088176352592E-2</v>
      </c>
      <c r="U609" s="5">
        <f>(Cotacoes!U609-Cotacoes!U608)/Cotacoes!U608</f>
        <v>-2.0864381520119133E-2</v>
      </c>
      <c r="V609" s="5">
        <f>(Cotacoes!V609-Cotacoes!V608)/Cotacoes!V608</f>
        <v>-1.3409961685823809E-2</v>
      </c>
      <c r="W609" s="5"/>
    </row>
    <row r="610" spans="1:23" x14ac:dyDescent="0.2">
      <c r="A610" s="4">
        <v>45454</v>
      </c>
      <c r="B610" s="5">
        <f>(Cotacoes!B610-Cotacoes!B609)/Cotacoes!B609</f>
        <v>-1.5053128689492337E-2</v>
      </c>
      <c r="C610" s="5">
        <f>(Cotacoes!C610-Cotacoes!C609)/Cotacoes!C609</f>
        <v>-1.6375545851529004E-3</v>
      </c>
      <c r="D610" s="5">
        <f>(Cotacoes!D610-Cotacoes!D609)/Cotacoes!D609</f>
        <v>4.4900577293136811E-3</v>
      </c>
      <c r="E610" s="5">
        <f>(Cotacoes!E610-Cotacoes!E609)/Cotacoes!E609</f>
        <v>1.1565150346954401E-2</v>
      </c>
      <c r="F610" s="5">
        <f>(Cotacoes!F610-Cotacoes!F609)/Cotacoes!F609</f>
        <v>-9.0661831368997079E-4</v>
      </c>
      <c r="G610" s="5">
        <f>(Cotacoes!G610-Cotacoes!G609)/Cotacoes!G609</f>
        <v>-2.7100271002704639E-4</v>
      </c>
      <c r="H610" s="5">
        <f>(Cotacoes!H610-Cotacoes!H609)/Cotacoes!H609</f>
        <v>1.097114993904915E-2</v>
      </c>
      <c r="I610" s="5">
        <f>(Cotacoes!I610-Cotacoes!I609)/Cotacoes!I609</f>
        <v>6.664647076643407E-3</v>
      </c>
      <c r="J610" s="5">
        <f>(Cotacoes!J610-Cotacoes!J609)/Cotacoes!J609</f>
        <v>6.6577896138482031E-3</v>
      </c>
      <c r="K610" s="5">
        <f>(Cotacoes!K610-Cotacoes!K609)/Cotacoes!K609</f>
        <v>5.2724077328645622E-3</v>
      </c>
      <c r="L610" s="5">
        <f>(Cotacoes!L610-Cotacoes!L609)/Cotacoes!L609</f>
        <v>4.9309664694279021E-3</v>
      </c>
      <c r="M610" s="5">
        <f>(Cotacoes!M610-Cotacoes!M609)/Cotacoes!M609</f>
        <v>-5.6657223796034465E-3</v>
      </c>
      <c r="N610" s="5">
        <f>(Cotacoes!N610-Cotacoes!N609)/Cotacoes!N609</f>
        <v>1.4616321559074203E-2</v>
      </c>
      <c r="O610" s="5">
        <f>(Cotacoes!O610-Cotacoes!O609)/Cotacoes!O609</f>
        <v>8.8888888888889427E-3</v>
      </c>
      <c r="P610" s="5">
        <f>(Cotacoes!P610-Cotacoes!P609)/Cotacoes!P609</f>
        <v>-5.6424724288278751E-3</v>
      </c>
      <c r="Q610" s="5">
        <f>(Cotacoes!Q610-Cotacoes!Q609)/Cotacoes!Q609</f>
        <v>-1.5508684863523574E-2</v>
      </c>
      <c r="R610" s="5">
        <f>(Cotacoes!R610-Cotacoes!R609)/Cotacoes!R609</f>
        <v>2.0039421813403398E-2</v>
      </c>
      <c r="S610" s="5">
        <f>(Cotacoes!S610-Cotacoes!S609)/Cotacoes!S609</f>
        <v>2.3989033584647114E-3</v>
      </c>
      <c r="T610" s="5">
        <f>(Cotacoes!T610-Cotacoes!T609)/Cotacoes!T609</f>
        <v>4.2892156862745098E-2</v>
      </c>
      <c r="U610" s="5">
        <f>(Cotacoes!U610-Cotacoes!U609)/Cotacoes!U609</f>
        <v>-7.356671740233362E-3</v>
      </c>
      <c r="V610" s="5">
        <f>(Cotacoes!V610-Cotacoes!V609)/Cotacoes!V609</f>
        <v>2.2912621359223295E-2</v>
      </c>
      <c r="W610" s="5"/>
    </row>
    <row r="611" spans="1:23" x14ac:dyDescent="0.2">
      <c r="A611" s="4">
        <v>45455</v>
      </c>
      <c r="B611" s="5">
        <f>(Cotacoes!B611-Cotacoes!B610)/Cotacoes!B610</f>
        <v>-2.5971431425432538E-3</v>
      </c>
      <c r="C611" s="5">
        <f>(Cotacoes!C611-Cotacoes!C610)/Cotacoes!C610</f>
        <v>-1.3668671405139421E-2</v>
      </c>
      <c r="D611" s="5">
        <f>(Cotacoes!D611-Cotacoes!D610)/Cotacoes!D610</f>
        <v>-2.4265644955300179E-2</v>
      </c>
      <c r="E611" s="5">
        <f>(Cotacoes!E611-Cotacoes!E610)/Cotacoes!E610</f>
        <v>-1.9054878048779405E-3</v>
      </c>
      <c r="F611" s="5">
        <f>(Cotacoes!F611-Cotacoes!F610)/Cotacoes!F610</f>
        <v>-2.0871143375680724E-2</v>
      </c>
      <c r="G611" s="5">
        <f>(Cotacoes!G611-Cotacoes!G610)/Cotacoes!G610</f>
        <v>7.3190566549199247E-3</v>
      </c>
      <c r="H611" s="5">
        <f>(Cotacoes!H611-Cotacoes!H610)/Cotacoes!H610</f>
        <v>-2.0498392282958119E-2</v>
      </c>
      <c r="I611" s="5">
        <f>(Cotacoes!I611-Cotacoes!I610)/Cotacoes!I610</f>
        <v>-1.7454107733975273E-2</v>
      </c>
      <c r="J611" s="5">
        <f>(Cotacoes!J611-Cotacoes!J610)/Cotacoes!J610</f>
        <v>-3.2275132275132248E-2</v>
      </c>
      <c r="K611" s="5">
        <f>(Cotacoes!K611-Cotacoes!K610)/Cotacoes!K610</f>
        <v>-1.8356643356643276E-2</v>
      </c>
      <c r="L611" s="5">
        <f>(Cotacoes!L611-Cotacoes!L610)/Cotacoes!L610</f>
        <v>-1.3738959764474857E-2</v>
      </c>
      <c r="M611" s="5">
        <f>(Cotacoes!M611-Cotacoes!M610)/Cotacoes!M610</f>
        <v>-1.1396011396011322E-2</v>
      </c>
      <c r="N611" s="5">
        <f>(Cotacoes!N611-Cotacoes!N610)/Cotacoes!N610</f>
        <v>-8.4033613445378495E-3</v>
      </c>
      <c r="O611" s="5">
        <f>(Cotacoes!O611-Cotacoes!O610)/Cotacoes!O610</f>
        <v>-1.084378176889191E-2</v>
      </c>
      <c r="P611" s="5">
        <f>(Cotacoes!P611-Cotacoes!P610)/Cotacoes!P610</f>
        <v>2.9920041269022351E-2</v>
      </c>
      <c r="Q611" s="5">
        <f>(Cotacoes!Q611-Cotacoes!Q610)/Cotacoes!Q610</f>
        <v>1.4702793530770907E-3</v>
      </c>
      <c r="R611" s="5">
        <f>(Cotacoes!R611-Cotacoes!R610)/Cotacoes!R610</f>
        <v>-1.6747181964573254E-2</v>
      </c>
      <c r="S611" s="5">
        <f>(Cotacoes!S611-Cotacoes!S610)/Cotacoes!S610</f>
        <v>-7.5213675213674823E-3</v>
      </c>
      <c r="T611" s="5">
        <f>(Cotacoes!T611-Cotacoes!T610)/Cotacoes!T610</f>
        <v>3.2902467685076518E-3</v>
      </c>
      <c r="U611" s="5">
        <f>(Cotacoes!U611-Cotacoes!U610)/Cotacoes!U610</f>
        <v>-1.2777919754663939E-2</v>
      </c>
      <c r="V611" s="5">
        <f>(Cotacoes!V611-Cotacoes!V610)/Cotacoes!V610</f>
        <v>-1.3667425968109317E-2</v>
      </c>
      <c r="W611" s="5"/>
    </row>
    <row r="612" spans="1:23" x14ac:dyDescent="0.2">
      <c r="A612" s="4">
        <v>45456</v>
      </c>
      <c r="B612" s="5">
        <f>(Cotacoes!B612-Cotacoes!B611)/Cotacoes!B611</f>
        <v>5.0075112669014895E-4</v>
      </c>
      <c r="C612" s="5">
        <f>(Cotacoes!C612-Cotacoes!C611)/Cotacoes!C611</f>
        <v>1.1456023651145687E-2</v>
      </c>
      <c r="D612" s="5">
        <f>(Cotacoes!D612-Cotacoes!D611)/Cotacoes!D611</f>
        <v>-1.0143979057591582E-2</v>
      </c>
      <c r="E612" s="5">
        <f>(Cotacoes!E612-Cotacoes!E611)/Cotacoes!E611</f>
        <v>-1.0309278350515446E-2</v>
      </c>
      <c r="F612" s="5">
        <f>(Cotacoes!F612-Cotacoes!F611)/Cotacoes!F611</f>
        <v>-1.3283904850169793E-2</v>
      </c>
      <c r="G612" s="5">
        <f>(Cotacoes!G612-Cotacoes!G611)/Cotacoes!G611</f>
        <v>9.1496232508074121E-3</v>
      </c>
      <c r="H612" s="5">
        <f>(Cotacoes!H612-Cotacoes!H611)/Cotacoes!H611</f>
        <v>6.9757899056215895E-3</v>
      </c>
      <c r="I612" s="5">
        <f>(Cotacoes!I612-Cotacoes!I611)/Cotacoes!I611</f>
        <v>-3.0627871362934181E-4</v>
      </c>
      <c r="J612" s="5">
        <f>(Cotacoes!J612-Cotacoes!J611)/Cotacoes!J611</f>
        <v>1.7905959540732673E-2</v>
      </c>
      <c r="K612" s="5">
        <f>(Cotacoes!K612-Cotacoes!K611)/Cotacoes!K611</f>
        <v>8.904719501335518E-4</v>
      </c>
      <c r="L612" s="5">
        <f>(Cotacoes!L612-Cotacoes!L611)/Cotacoes!L611</f>
        <v>-3.0845771144278656E-2</v>
      </c>
      <c r="M612" s="5">
        <f>(Cotacoes!M612-Cotacoes!M611)/Cotacoes!M611</f>
        <v>-1.5369836695485124E-2</v>
      </c>
      <c r="N612" s="5">
        <f>(Cotacoes!N612-Cotacoes!N611)/Cotacoes!N611</f>
        <v>-1.0895883777239693E-2</v>
      </c>
      <c r="O612" s="5">
        <f>(Cotacoes!O612-Cotacoes!O611)/Cotacoes!O611</f>
        <v>-4.4535799931484255E-3</v>
      </c>
      <c r="P612" s="5">
        <f>(Cotacoes!P612-Cotacoes!P611)/Cotacoes!P611</f>
        <v>-1.3273228149261235E-2</v>
      </c>
      <c r="Q612" s="5">
        <f>(Cotacoes!Q612-Cotacoes!Q611)/Cotacoes!Q611</f>
        <v>-4.6140939597315196E-3</v>
      </c>
      <c r="R612" s="5">
        <f>(Cotacoes!R612-Cotacoes!R611)/Cotacoes!R611</f>
        <v>5.8958401572223942E-3</v>
      </c>
      <c r="S612" s="5">
        <f>(Cotacoes!S612-Cotacoes!S611)/Cotacoes!S611</f>
        <v>6.8894247330346446E-4</v>
      </c>
      <c r="T612" s="5">
        <f>(Cotacoes!T612-Cotacoes!T611)/Cotacoes!T611</f>
        <v>-1.9442492386975832E-2</v>
      </c>
      <c r="U612" s="5">
        <f>(Cotacoes!U612-Cotacoes!U611)/Cotacoes!U611</f>
        <v>-2.0450427129174192E-2</v>
      </c>
      <c r="V612" s="5">
        <f>(Cotacoes!V612-Cotacoes!V611)/Cotacoes!V611</f>
        <v>-1.1547344110854941E-3</v>
      </c>
      <c r="W612" s="5"/>
    </row>
    <row r="613" spans="1:23" x14ac:dyDescent="0.2">
      <c r="A613" s="4">
        <v>45457</v>
      </c>
      <c r="B613" s="5">
        <f>(Cotacoes!B613-Cotacoes!B612)/Cotacoes!B612</f>
        <v>-3.4034034034034375E-3</v>
      </c>
      <c r="C613" s="5">
        <f>(Cotacoes!C613-Cotacoes!C612)/Cotacoes!C612</f>
        <v>-3.4709535988309247E-3</v>
      </c>
      <c r="D613" s="5">
        <f>(Cotacoes!D613-Cotacoes!D612)/Cotacoes!D612</f>
        <v>-2.1818181818181823E-2</v>
      </c>
      <c r="E613" s="5">
        <f>(Cotacoes!E613-Cotacoes!E612)/Cotacoes!E612</f>
        <v>-1.1574074074074511E-3</v>
      </c>
      <c r="F613" s="5">
        <f>(Cotacoes!F613-Cotacoes!F612)/Cotacoes!F612</f>
        <v>-1.0331872260488473E-2</v>
      </c>
      <c r="G613" s="5">
        <f>(Cotacoes!G613-Cotacoes!G612)/Cotacoes!G612</f>
        <v>9.0666666666667575E-3</v>
      </c>
      <c r="H613" s="5">
        <f>(Cotacoes!H613-Cotacoes!H612)/Cotacoes!H612</f>
        <v>-3.6674816625916814E-3</v>
      </c>
      <c r="I613" s="5">
        <f>(Cotacoes!I613-Cotacoes!I612)/Cotacoes!I612</f>
        <v>3.3700980392156687E-3</v>
      </c>
      <c r="J613" s="5">
        <f>(Cotacoes!J613-Cotacoes!J612)/Cotacoes!J612</f>
        <v>7.1169598496038829E-3</v>
      </c>
      <c r="K613" s="5">
        <f>(Cotacoes!K613-Cotacoes!K612)/Cotacoes!K612</f>
        <v>9.7864768683273515E-3</v>
      </c>
      <c r="L613" s="5">
        <f>(Cotacoes!L613-Cotacoes!L612)/Cotacoes!L612</f>
        <v>2.8747433264886997E-2</v>
      </c>
      <c r="M613" s="5">
        <f>(Cotacoes!M613-Cotacoes!M612)/Cotacoes!M612</f>
        <v>1.2682926829268368E-2</v>
      </c>
      <c r="N613" s="5">
        <f>(Cotacoes!N613-Cotacoes!N612)/Cotacoes!N612</f>
        <v>0</v>
      </c>
      <c r="O613" s="5">
        <f>(Cotacoes!O613-Cotacoes!O612)/Cotacoes!O612</f>
        <v>-1.5485203028217457E-2</v>
      </c>
      <c r="P613" s="5">
        <f>(Cotacoes!P613-Cotacoes!P612)/Cotacoes!P612</f>
        <v>-5.3553299492385777E-2</v>
      </c>
      <c r="Q613" s="5">
        <f>(Cotacoes!Q613-Cotacoes!Q612)/Cotacoes!Q612</f>
        <v>4.2140750105350974E-3</v>
      </c>
      <c r="R613" s="5">
        <f>(Cotacoes!R613-Cotacoes!R612)/Cotacoes!R612</f>
        <v>6.5125366330184213E-4</v>
      </c>
      <c r="S613" s="5">
        <f>(Cotacoes!S613-Cotacoes!S612)/Cotacoes!S612</f>
        <v>2.5129087779690203E-2</v>
      </c>
      <c r="T613" s="5">
        <f>(Cotacoes!T613-Cotacoes!T612)/Cotacoes!T612</f>
        <v>3.5833731485905062E-3</v>
      </c>
      <c r="U613" s="5">
        <f>(Cotacoes!U613-Cotacoes!U612)/Cotacoes!U612</f>
        <v>5.8139534883720626E-3</v>
      </c>
      <c r="V613" s="5">
        <f>(Cotacoes!V613-Cotacoes!V612)/Cotacoes!V612</f>
        <v>6.5510597302505472E-3</v>
      </c>
      <c r="W613" s="5"/>
    </row>
    <row r="614" spans="1:23" x14ac:dyDescent="0.2">
      <c r="A614" s="4">
        <v>45460</v>
      </c>
      <c r="B614" s="5">
        <f>(Cotacoes!B614-Cotacoes!B613)/Cotacoes!B613</f>
        <v>4.1181197267978762E-3</v>
      </c>
      <c r="C614" s="5">
        <f>(Cotacoes!C614-Cotacoes!C613)/Cotacoes!C613</f>
        <v>-3.8496791934004354E-3</v>
      </c>
      <c r="D614" s="5">
        <f>(Cotacoes!D614-Cotacoes!D613)/Cotacoes!D613</f>
        <v>3.7174721189590886E-3</v>
      </c>
      <c r="E614" s="5">
        <f>(Cotacoes!E614-Cotacoes!E613)/Cotacoes!E613</f>
        <v>2.4719969100038645E-2</v>
      </c>
      <c r="F614" s="5">
        <f>(Cotacoes!F614-Cotacoes!F613)/Cotacoes!F613</f>
        <v>6.327111673520903E-4</v>
      </c>
      <c r="G614" s="5">
        <f>(Cotacoes!G614-Cotacoes!G613)/Cotacoes!G613</f>
        <v>0</v>
      </c>
      <c r="H614" s="5">
        <f>(Cotacoes!H614-Cotacoes!H613)/Cotacoes!H613</f>
        <v>0</v>
      </c>
      <c r="I614" s="5">
        <f>(Cotacoes!I614-Cotacoes!I613)/Cotacoes!I613</f>
        <v>-1.5572519083969404E-2</v>
      </c>
      <c r="J614" s="5">
        <f>(Cotacoes!J614-Cotacoes!J613)/Cotacoes!J613</f>
        <v>-9.0666666666667575E-3</v>
      </c>
      <c r="K614" s="5">
        <f>(Cotacoes!K614-Cotacoes!K613)/Cotacoes!K613</f>
        <v>1.145374449339214E-2</v>
      </c>
      <c r="L614" s="5">
        <f>(Cotacoes!L614-Cotacoes!L613)/Cotacoes!L613</f>
        <v>1.7964071856287397E-2</v>
      </c>
      <c r="M614" s="5">
        <f>(Cotacoes!M614-Cotacoes!M613)/Cotacoes!M613</f>
        <v>0</v>
      </c>
      <c r="N614" s="5">
        <f>(Cotacoes!N614-Cotacoes!N613)/Cotacoes!N613</f>
        <v>7.3439412484700732E-3</v>
      </c>
      <c r="O614" s="5">
        <f>(Cotacoes!O614-Cotacoes!O613)/Cotacoes!O613</f>
        <v>-2.7263194687172358E-2</v>
      </c>
      <c r="P614" s="5">
        <f>(Cotacoes!P614-Cotacoes!P613)/Cotacoes!P613</f>
        <v>9.3858943416465918E-3</v>
      </c>
      <c r="Q614" s="5">
        <f>(Cotacoes!Q614-Cotacoes!Q613)/Cotacoes!Q613</f>
        <v>-9.441879983214347E-3</v>
      </c>
      <c r="R614" s="5">
        <f>(Cotacoes!R614-Cotacoes!R613)/Cotacoes!R613</f>
        <v>-7.1591278880572358E-3</v>
      </c>
      <c r="S614" s="5">
        <f>(Cotacoes!S614-Cotacoes!S613)/Cotacoes!S613</f>
        <v>-1.7797179314976531E-2</v>
      </c>
      <c r="T614" s="5">
        <f>(Cotacoes!T614-Cotacoes!T613)/Cotacoes!T613</f>
        <v>-6.903118305165417E-3</v>
      </c>
      <c r="U614" s="5">
        <f>(Cotacoes!U614-Cotacoes!U613)/Cotacoes!U613</f>
        <v>-2.5223331581713106E-2</v>
      </c>
      <c r="V614" s="5">
        <f>(Cotacoes!V614-Cotacoes!V613)/Cotacoes!V613</f>
        <v>-5.1684532924961765E-2</v>
      </c>
      <c r="W614" s="5"/>
    </row>
    <row r="615" spans="1:23" x14ac:dyDescent="0.2">
      <c r="A615" s="4">
        <v>45461</v>
      </c>
      <c r="B615" s="5">
        <f>(Cotacoes!B615-Cotacoes!B614)/Cotacoes!B614</f>
        <v>2.800840252075634E-3</v>
      </c>
      <c r="C615" s="5">
        <f>(Cotacoes!C615-Cotacoes!C614)/Cotacoes!C614</f>
        <v>4.6006624953993372E-3</v>
      </c>
      <c r="D615" s="5">
        <f>(Cotacoes!D615-Cotacoes!D614)/Cotacoes!D614</f>
        <v>3.1313131313131307E-2</v>
      </c>
      <c r="E615" s="5">
        <f>(Cotacoes!E615-Cotacoes!E614)/Cotacoes!E614</f>
        <v>-7.5386355069730765E-4</v>
      </c>
      <c r="F615" s="5">
        <f>(Cotacoes!F615-Cotacoes!F614)/Cotacoes!F614</f>
        <v>3.3512488144166894E-2</v>
      </c>
      <c r="G615" s="5">
        <f>(Cotacoes!G615-Cotacoes!G614)/Cotacoes!G614</f>
        <v>2.3784355179703037E-3</v>
      </c>
      <c r="H615" s="5">
        <f>(Cotacoes!H615-Cotacoes!H614)/Cotacoes!H614</f>
        <v>-1.3905930470347643E-2</v>
      </c>
      <c r="I615" s="5">
        <f>(Cotacoes!I615-Cotacoes!I614)/Cotacoes!I614</f>
        <v>-3.1017369727047587E-3</v>
      </c>
      <c r="J615" s="5">
        <f>(Cotacoes!J615-Cotacoes!J614)/Cotacoes!J614</f>
        <v>-2.9736275565123708E-2</v>
      </c>
      <c r="K615" s="5">
        <f>(Cotacoes!K615-Cotacoes!K614)/Cotacoes!K614</f>
        <v>-2.003484320557495E-2</v>
      </c>
      <c r="L615" s="5">
        <f>(Cotacoes!L615-Cotacoes!L614)/Cotacoes!L614</f>
        <v>4.9019607843137957E-3</v>
      </c>
      <c r="M615" s="5">
        <f>(Cotacoes!M615-Cotacoes!M614)/Cotacoes!M614</f>
        <v>9.6339113680152081E-4</v>
      </c>
      <c r="N615" s="5">
        <f>(Cotacoes!N615-Cotacoes!N614)/Cotacoes!N614</f>
        <v>7.2904009720533075E-3</v>
      </c>
      <c r="O615" s="5">
        <f>(Cotacoes!O615-Cotacoes!O614)/Cotacoes!O614</f>
        <v>3.8447718289615539E-2</v>
      </c>
      <c r="P615" s="5">
        <f>(Cotacoes!P615-Cotacoes!P614)/Cotacoes!P614</f>
        <v>-2.3379383634431525E-2</v>
      </c>
      <c r="Q615" s="5">
        <f>(Cotacoes!Q615-Cotacoes!Q614)/Cotacoes!Q614</f>
        <v>-4.4482101249735404E-3</v>
      </c>
      <c r="R615" s="5">
        <f>(Cotacoes!R615-Cotacoes!R614)/Cotacoes!R614</f>
        <v>8.521796132415535E-3</v>
      </c>
      <c r="S615" s="5">
        <f>(Cotacoes!S615-Cotacoes!S614)/Cotacoes!S614</f>
        <v>-1.0256410256410645E-3</v>
      </c>
      <c r="T615" s="5">
        <f>(Cotacoes!T615-Cotacoes!T614)/Cotacoes!T614</f>
        <v>-1.1265580057526339E-2</v>
      </c>
      <c r="U615" s="5">
        <f>(Cotacoes!U615-Cotacoes!U614)/Cotacoes!U614</f>
        <v>-6.1994609164421552E-3</v>
      </c>
      <c r="V615" s="5">
        <f>(Cotacoes!V615-Cotacoes!V614)/Cotacoes!V614</f>
        <v>2.5837706903512336E-2</v>
      </c>
      <c r="W615" s="5"/>
    </row>
    <row r="616" spans="1:23" x14ac:dyDescent="0.2">
      <c r="A616" s="4">
        <v>45462</v>
      </c>
      <c r="B616" s="5">
        <f>(Cotacoes!B616-Cotacoes!B615)/Cotacoes!B615</f>
        <v>5.0872817955112731E-3</v>
      </c>
      <c r="C616" s="5">
        <f>(Cotacoes!C616-Cotacoes!C615)/Cotacoes!C615</f>
        <v>3.1141234658361347E-3</v>
      </c>
      <c r="D616" s="5">
        <f>(Cotacoes!D616-Cotacoes!D615)/Cotacoes!D615</f>
        <v>9.7943192948093819E-4</v>
      </c>
      <c r="E616" s="5">
        <f>(Cotacoes!E616-Cotacoes!E615)/Cotacoes!E615</f>
        <v>7.9215390418708904E-3</v>
      </c>
      <c r="F616" s="5">
        <f>(Cotacoes!F616-Cotacoes!F615)/Cotacoes!F615</f>
        <v>-6.4239828693790418E-3</v>
      </c>
      <c r="G616" s="5">
        <f>(Cotacoes!G616-Cotacoes!G615)/Cotacoes!G615</f>
        <v>2.425520696018987E-2</v>
      </c>
      <c r="H616" s="5">
        <f>(Cotacoes!H616-Cotacoes!H615)/Cotacoes!H615</f>
        <v>7.0510161758607099E-3</v>
      </c>
      <c r="I616" s="5">
        <f>(Cotacoes!I616-Cotacoes!I615)/Cotacoes!I615</f>
        <v>6.2227753578083449E-4</v>
      </c>
      <c r="J616" s="5">
        <f>(Cotacoes!J616-Cotacoes!J615)/Cotacoes!J615</f>
        <v>1.3867702121765518E-4</v>
      </c>
      <c r="K616" s="5">
        <f>(Cotacoes!K616-Cotacoes!K615)/Cotacoes!K615</f>
        <v>4.4444444444445078E-3</v>
      </c>
      <c r="L616" s="5">
        <f>(Cotacoes!L616-Cotacoes!L615)/Cotacoes!L615</f>
        <v>-6.8292682926829546E-3</v>
      </c>
      <c r="M616" s="5">
        <f>(Cotacoes!M616-Cotacoes!M615)/Cotacoes!M615</f>
        <v>-3.8498556304139482E-3</v>
      </c>
      <c r="N616" s="5">
        <f>(Cotacoes!N616-Cotacoes!N615)/Cotacoes!N615</f>
        <v>1.085645355850442E-2</v>
      </c>
      <c r="O616" s="5">
        <f>(Cotacoes!O616-Cotacoes!O615)/Cotacoes!O615</f>
        <v>1.7647058823529467E-2</v>
      </c>
      <c r="P616" s="5">
        <f>(Cotacoes!P616-Cotacoes!P615)/Cotacoes!P615</f>
        <v>1.115342763873786E-2</v>
      </c>
      <c r="Q616" s="5">
        <f>(Cotacoes!Q616-Cotacoes!Q615)/Cotacoes!Q615</f>
        <v>8.9361702127659943E-3</v>
      </c>
      <c r="R616" s="5">
        <f>(Cotacoes!R616-Cotacoes!R615)/Cotacoes!R615</f>
        <v>9.7497562560936203E-3</v>
      </c>
      <c r="S616" s="5">
        <f>(Cotacoes!S616-Cotacoes!S615)/Cotacoes!S615</f>
        <v>-9.2402464065708279E-3</v>
      </c>
      <c r="T616" s="5">
        <f>(Cotacoes!T616-Cotacoes!T615)/Cotacoes!T615</f>
        <v>1.4545454545455098E-3</v>
      </c>
      <c r="U616" s="5">
        <f>(Cotacoes!U616-Cotacoes!U615)/Cotacoes!U615</f>
        <v>2.1969080553295425E-2</v>
      </c>
      <c r="V616" s="5">
        <f>(Cotacoes!V616-Cotacoes!V615)/Cotacoes!V615</f>
        <v>-1.9677292404565411E-3</v>
      </c>
      <c r="W616" s="5"/>
    </row>
    <row r="617" spans="1:23" x14ac:dyDescent="0.2">
      <c r="A617" s="4">
        <v>45463</v>
      </c>
      <c r="B617" s="5">
        <f>(Cotacoes!B617-Cotacoes!B616)/Cotacoes!B616</f>
        <v>7.8404128622468448E-3</v>
      </c>
      <c r="C617" s="5">
        <f>(Cotacoes!C617-Cotacoes!C616)/Cotacoes!C616</f>
        <v>8.9481373265157416E-3</v>
      </c>
      <c r="D617" s="5">
        <f>(Cotacoes!D617-Cotacoes!D616)/Cotacoes!D616</f>
        <v>1.5655577299412929E-2</v>
      </c>
      <c r="E617" s="5">
        <f>(Cotacoes!E617-Cotacoes!E616)/Cotacoes!E616</f>
        <v>-7.110778443113688E-3</v>
      </c>
      <c r="F617" s="5">
        <f>(Cotacoes!F617-Cotacoes!F616)/Cotacoes!F616</f>
        <v>2.0320197044335093E-2</v>
      </c>
      <c r="G617" s="5">
        <f>(Cotacoes!G617-Cotacoes!G616)/Cotacoes!G616</f>
        <v>2.4453024453024344E-2</v>
      </c>
      <c r="H617" s="5">
        <f>(Cotacoes!H617-Cotacoes!H616)/Cotacoes!H616</f>
        <v>4.5304777594727935E-3</v>
      </c>
      <c r="I617" s="5">
        <f>(Cotacoes!I617-Cotacoes!I616)/Cotacoes!I616</f>
        <v>-1.6169154228855599E-2</v>
      </c>
      <c r="J617" s="5">
        <f>(Cotacoes!J617-Cotacoes!J616)/Cotacoes!J616</f>
        <v>-8.3194675540768537E-4</v>
      </c>
      <c r="K617" s="5">
        <f>(Cotacoes!K617-Cotacoes!K616)/Cotacoes!K616</f>
        <v>-2.6548672566372687E-3</v>
      </c>
      <c r="L617" s="5">
        <f>(Cotacoes!L617-Cotacoes!L616)/Cotacoes!L616</f>
        <v>-1.277013752455786E-2</v>
      </c>
      <c r="M617" s="5">
        <f>(Cotacoes!M617-Cotacoes!M616)/Cotacoes!M616</f>
        <v>6.7632850241546166E-3</v>
      </c>
      <c r="N617" s="5">
        <f>(Cotacoes!N617-Cotacoes!N616)/Cotacoes!N616</f>
        <v>-1.1933174224345539E-3</v>
      </c>
      <c r="O617" s="5">
        <f>(Cotacoes!O617-Cotacoes!O616)/Cotacoes!O616</f>
        <v>4.0802448146889155E-3</v>
      </c>
      <c r="P617" s="5">
        <f>(Cotacoes!P617-Cotacoes!P616)/Cotacoes!P616</f>
        <v>-2.3136938391175664E-2</v>
      </c>
      <c r="Q617" s="5">
        <f>(Cotacoes!Q617-Cotacoes!Q616)/Cotacoes!Q616</f>
        <v>-1.1809363137916539E-2</v>
      </c>
      <c r="R617" s="5">
        <f>(Cotacoes!R617-Cotacoes!R616)/Cotacoes!R616</f>
        <v>-1.2874155133569314E-2</v>
      </c>
      <c r="S617" s="5">
        <f>(Cotacoes!S617-Cotacoes!S616)/Cotacoes!S616</f>
        <v>-5.1813471502590181E-3</v>
      </c>
      <c r="T617" s="5">
        <f>(Cotacoes!T617-Cotacoes!T616)/Cotacoes!T616</f>
        <v>-8.7145969498910528E-3</v>
      </c>
      <c r="U617" s="5">
        <f>(Cotacoes!U617-Cotacoes!U616)/Cotacoes!U616</f>
        <v>-9.5541401273885208E-3</v>
      </c>
      <c r="V617" s="5">
        <f>(Cotacoes!V617-Cotacoes!V616)/Cotacoes!V616</f>
        <v>-1.5378548895899076E-2</v>
      </c>
      <c r="W617" s="5"/>
    </row>
    <row r="618" spans="1:23" x14ac:dyDescent="0.2">
      <c r="A618" s="4">
        <v>45464</v>
      </c>
      <c r="B618" s="5">
        <f>(Cotacoes!B618-Cotacoes!B617)/Cotacoes!B617</f>
        <v>8.4687346134908852E-3</v>
      </c>
      <c r="C618" s="5">
        <f>(Cotacoes!C618-Cotacoes!C617)/Cotacoes!C617</f>
        <v>-9.2307692307691952E-3</v>
      </c>
      <c r="D618" s="5">
        <f>(Cotacoes!D618-Cotacoes!D617)/Cotacoes!D617</f>
        <v>6.1014771997430226E-3</v>
      </c>
      <c r="E618" s="5">
        <f>(Cotacoes!E618-Cotacoes!E617)/Cotacoes!E617</f>
        <v>6.0309084055785956E-3</v>
      </c>
      <c r="F618" s="5">
        <f>(Cotacoes!F618-Cotacoes!F617)/Cotacoes!F617</f>
        <v>-2.4140012070005519E-3</v>
      </c>
      <c r="G618" s="5">
        <f>(Cotacoes!G618-Cotacoes!G617)/Cotacoes!G617</f>
        <v>7.2864321608041779E-3</v>
      </c>
      <c r="H618" s="5">
        <f>(Cotacoes!H618-Cotacoes!H617)/Cotacoes!H617</f>
        <v>8.6100861008610429E-3</v>
      </c>
      <c r="I618" s="5">
        <f>(Cotacoes!I618-Cotacoes!I617)/Cotacoes!I617</f>
        <v>6.0050568900125705E-3</v>
      </c>
      <c r="J618" s="5">
        <f>(Cotacoes!J618-Cotacoes!J617)/Cotacoes!J617</f>
        <v>3.8717735220649349E-2</v>
      </c>
      <c r="K618" s="5">
        <f>(Cotacoes!K618-Cotacoes!K617)/Cotacoes!K617</f>
        <v>0</v>
      </c>
      <c r="L618" s="5">
        <f>(Cotacoes!L618-Cotacoes!L617)/Cotacoes!L617</f>
        <v>5.9701492537312158E-3</v>
      </c>
      <c r="M618" s="5">
        <f>(Cotacoes!M618-Cotacoes!M617)/Cotacoes!M617</f>
        <v>0</v>
      </c>
      <c r="N618" s="5">
        <f>(Cotacoes!N618-Cotacoes!N617)/Cotacoes!N617</f>
        <v>-4.778972520907903E-3</v>
      </c>
      <c r="O618" s="5">
        <f>(Cotacoes!O618-Cotacoes!O617)/Cotacoes!O617</f>
        <v>3.8604808669150031E-2</v>
      </c>
      <c r="P618" s="5">
        <f>(Cotacoes!P618-Cotacoes!P617)/Cotacoes!P617</f>
        <v>4.1861746075461191E-2</v>
      </c>
      <c r="Q618" s="5">
        <f>(Cotacoes!Q618-Cotacoes!Q617)/Cotacoes!Q617</f>
        <v>1.4511310285958168E-2</v>
      </c>
      <c r="R618" s="5">
        <f>(Cotacoes!R618-Cotacoes!R617)/Cotacoes!R617</f>
        <v>2.0215194000652019E-2</v>
      </c>
      <c r="S618" s="5">
        <f>(Cotacoes!S618-Cotacoes!S617)/Cotacoes!S617</f>
        <v>1.6319444444444404E-2</v>
      </c>
      <c r="T618" s="5">
        <f>(Cotacoes!T618-Cotacoes!T617)/Cotacoes!T617</f>
        <v>9.2796092796091686E-3</v>
      </c>
      <c r="U618" s="5">
        <f>(Cotacoes!U618-Cotacoes!U617)/Cotacoes!U617</f>
        <v>5.2250803858520975E-2</v>
      </c>
      <c r="V618" s="5">
        <f>(Cotacoes!V618-Cotacoes!V617)/Cotacoes!V617</f>
        <v>2.3628354024829792E-2</v>
      </c>
      <c r="W618" s="5"/>
    </row>
    <row r="619" spans="1:23" x14ac:dyDescent="0.2">
      <c r="A619" s="4">
        <v>45467</v>
      </c>
      <c r="B619" s="5">
        <f>(Cotacoes!B619-Cotacoes!B618)/Cotacoes!B618</f>
        <v>-2.5388145688896679E-3</v>
      </c>
      <c r="C619" s="5">
        <f>(Cotacoes!C619-Cotacoes!C618)/Cotacoes!C618</f>
        <v>1.0960906101570181E-3</v>
      </c>
      <c r="D619" s="5">
        <f>(Cotacoes!D619-Cotacoes!D618)/Cotacoes!D618</f>
        <v>9.2563038621130776E-3</v>
      </c>
      <c r="E619" s="5">
        <f>(Cotacoes!E619-Cotacoes!E618)/Cotacoes!E618</f>
        <v>1.4237542150618171E-2</v>
      </c>
      <c r="F619" s="5">
        <f>(Cotacoes!F619-Cotacoes!F618)/Cotacoes!F618</f>
        <v>1.9056261343012564E-2</v>
      </c>
      <c r="G619" s="5">
        <f>(Cotacoes!G619-Cotacoes!G618)/Cotacoes!G618</f>
        <v>-4.9887752556748025E-3</v>
      </c>
      <c r="H619" s="5">
        <f>(Cotacoes!H619-Cotacoes!H618)/Cotacoes!H618</f>
        <v>7.3170731707316956E-3</v>
      </c>
      <c r="I619" s="5">
        <f>(Cotacoes!I619-Cotacoes!I618)/Cotacoes!I618</f>
        <v>8.4825636192272427E-3</v>
      </c>
      <c r="J619" s="5">
        <f>(Cotacoes!J619-Cotacoes!J618)/Cotacoes!J618</f>
        <v>4.1148964595858553E-2</v>
      </c>
      <c r="K619" s="5">
        <f>(Cotacoes!K619-Cotacoes!K618)/Cotacoes!K618</f>
        <v>2.6619343389530734E-3</v>
      </c>
      <c r="L619" s="5">
        <f>(Cotacoes!L619-Cotacoes!L618)/Cotacoes!L618</f>
        <v>1.1869436201780515E-2</v>
      </c>
      <c r="M619" s="5">
        <f>(Cotacoes!M619-Cotacoes!M618)/Cotacoes!M618</f>
        <v>3.8387715930902999E-3</v>
      </c>
      <c r="N619" s="5">
        <f>(Cotacoes!N619-Cotacoes!N618)/Cotacoes!N618</f>
        <v>2.160864345738292E-2</v>
      </c>
      <c r="O619" s="5">
        <f>(Cotacoes!O619-Cotacoes!O618)/Cotacoes!O618</f>
        <v>1.0759700032605096E-2</v>
      </c>
      <c r="P619" s="5">
        <f>(Cotacoes!P619-Cotacoes!P618)/Cotacoes!P618</f>
        <v>-1.0309278350515479E-2</v>
      </c>
      <c r="Q619" s="5">
        <f>(Cotacoes!Q619-Cotacoes!Q618)/Cotacoes!Q618</f>
        <v>1.5986537652503113E-2</v>
      </c>
      <c r="R619" s="5">
        <f>(Cotacoes!R619-Cotacoes!R618)/Cotacoes!R618</f>
        <v>1.2464046021093019E-2</v>
      </c>
      <c r="S619" s="5">
        <f>(Cotacoes!S619-Cotacoes!S618)/Cotacoes!S618</f>
        <v>1.6399043389135649E-2</v>
      </c>
      <c r="T619" s="5">
        <f>(Cotacoes!T619-Cotacoes!T618)/Cotacoes!T618</f>
        <v>1.8146624727800629E-2</v>
      </c>
      <c r="U619" s="5">
        <f>(Cotacoes!U619-Cotacoes!U618)/Cotacoes!U618</f>
        <v>1.1459129106187821E-2</v>
      </c>
      <c r="V619" s="5">
        <f>(Cotacoes!V619-Cotacoes!V618)/Cotacoes!V618</f>
        <v>9.7809076682316125E-3</v>
      </c>
      <c r="W619" s="5"/>
    </row>
    <row r="620" spans="1:23" x14ac:dyDescent="0.2">
      <c r="A620" s="4">
        <v>45468</v>
      </c>
      <c r="B620" s="5">
        <f>(Cotacoes!B620-Cotacoes!B619)/Cotacoes!B619</f>
        <v>1.6642192853645373E-3</v>
      </c>
      <c r="C620" s="5">
        <f>(Cotacoes!C620-Cotacoes!C619)/Cotacoes!C619</f>
        <v>-4.0145985401459647E-3</v>
      </c>
      <c r="D620" s="5">
        <f>(Cotacoes!D620-Cotacoes!D619)/Cotacoes!D619</f>
        <v>-9.4876660341559568E-4</v>
      </c>
      <c r="E620" s="5">
        <f>(Cotacoes!E620-Cotacoes!E619)/Cotacoes!E619</f>
        <v>3.324713705208713E-3</v>
      </c>
      <c r="F620" s="5">
        <f>(Cotacoes!F620-Cotacoes!F619)/Cotacoes!F619</f>
        <v>-3.5618878005342076E-3</v>
      </c>
      <c r="G620" s="5">
        <f>(Cotacoes!G620-Cotacoes!G619)/Cotacoes!G619</f>
        <v>1.7046878917021804E-2</v>
      </c>
      <c r="H620" s="5">
        <f>(Cotacoes!H620-Cotacoes!H619)/Cotacoes!H619</f>
        <v>3.2284100080709559E-3</v>
      </c>
      <c r="I620" s="5">
        <f>(Cotacoes!I620-Cotacoes!I619)/Cotacoes!I619</f>
        <v>-4.3613707165109207E-3</v>
      </c>
      <c r="J620" s="5">
        <f>(Cotacoes!J620-Cotacoes!J619)/Cotacoes!J619</f>
        <v>-4.1062491979982976E-3</v>
      </c>
      <c r="K620" s="5">
        <f>(Cotacoes!K620-Cotacoes!K619)/Cotacoes!K619</f>
        <v>-7.9646017699114922E-3</v>
      </c>
      <c r="L620" s="5">
        <f>(Cotacoes!L620-Cotacoes!L619)/Cotacoes!L619</f>
        <v>-1.7595307917888534E-2</v>
      </c>
      <c r="M620" s="5">
        <f>(Cotacoes!M620-Cotacoes!M619)/Cotacoes!M619</f>
        <v>4.7801147227532438E-3</v>
      </c>
      <c r="N620" s="5">
        <f>(Cotacoes!N620-Cotacoes!N619)/Cotacoes!N619</f>
        <v>1.1750881316098458E-3</v>
      </c>
      <c r="O620" s="5">
        <f>(Cotacoes!O620-Cotacoes!O619)/Cotacoes!O619</f>
        <v>1.7419354838709648E-2</v>
      </c>
      <c r="P620" s="5">
        <f>(Cotacoes!P620-Cotacoes!P619)/Cotacoes!P619</f>
        <v>7.2115384615385452E-3</v>
      </c>
      <c r="Q620" s="5">
        <f>(Cotacoes!Q620-Cotacoes!Q619)/Cotacoes!Q619</f>
        <v>1.4492753623188465E-3</v>
      </c>
      <c r="R620" s="5">
        <f>(Cotacoes!R620-Cotacoes!R619)/Cotacoes!R619</f>
        <v>-4.7348484848484399E-3</v>
      </c>
      <c r="S620" s="5">
        <f>(Cotacoes!S620-Cotacoes!S619)/Cotacoes!S619</f>
        <v>-1.8151260504201652E-2</v>
      </c>
      <c r="T620" s="5">
        <f>(Cotacoes!T620-Cotacoes!T619)/Cotacoes!T619</f>
        <v>-1.4258555133078701E-3</v>
      </c>
      <c r="U620" s="5">
        <f>(Cotacoes!U620-Cotacoes!U619)/Cotacoes!U619</f>
        <v>1.2588116817725142E-3</v>
      </c>
      <c r="V620" s="5">
        <f>(Cotacoes!V620-Cotacoes!V619)/Cotacoes!V619</f>
        <v>-1.8209996125532694E-2</v>
      </c>
      <c r="W620" s="5"/>
    </row>
    <row r="621" spans="1:23" x14ac:dyDescent="0.2">
      <c r="A621" s="4">
        <v>45469</v>
      </c>
      <c r="B621" s="5">
        <f>(Cotacoes!B621-Cotacoes!B620)/Cotacoes!B620</f>
        <v>1.3780297107115039E-2</v>
      </c>
      <c r="C621" s="5">
        <f>(Cotacoes!C621-Cotacoes!C620)/Cotacoes!C620</f>
        <v>1.2275558812751955E-2</v>
      </c>
      <c r="D621" s="5">
        <f>(Cotacoes!D621-Cotacoes!D620)/Cotacoes!D620</f>
        <v>1.8993352326685255E-3</v>
      </c>
      <c r="E621" s="5">
        <f>(Cotacoes!E621-Cotacoes!E620)/Cotacoes!E620</f>
        <v>-1.8409425625920733E-3</v>
      </c>
      <c r="F621" s="5">
        <f>(Cotacoes!F621-Cotacoes!F620)/Cotacoes!F620</f>
        <v>5.0640452785225415E-3</v>
      </c>
      <c r="G621" s="5">
        <f>(Cotacoes!G621-Cotacoes!G620)/Cotacoes!G620</f>
        <v>9.120039438008317E-3</v>
      </c>
      <c r="H621" s="5">
        <f>(Cotacoes!H621-Cotacoes!H620)/Cotacoes!H620</f>
        <v>-6.8382944489138436E-3</v>
      </c>
      <c r="I621" s="5">
        <f>(Cotacoes!I621-Cotacoes!I620)/Cotacoes!I620</f>
        <v>-5.3191489361702664E-3</v>
      </c>
      <c r="J621" s="5">
        <f>(Cotacoes!J621-Cotacoes!J620)/Cotacoes!J620</f>
        <v>-1.752351501095219E-2</v>
      </c>
      <c r="K621" s="5">
        <f>(Cotacoes!K621-Cotacoes!K620)/Cotacoes!K620</f>
        <v>2.676181980374608E-3</v>
      </c>
      <c r="L621" s="5">
        <f>(Cotacoes!L621-Cotacoes!L620)/Cotacoes!L620</f>
        <v>-9.9502487562190458E-3</v>
      </c>
      <c r="M621" s="5">
        <f>(Cotacoes!M621-Cotacoes!M620)/Cotacoes!M620</f>
        <v>6.6603235014272393E-3</v>
      </c>
      <c r="N621" s="5">
        <f>(Cotacoes!N621-Cotacoes!N620)/Cotacoes!N620</f>
        <v>-4.6948356807510741E-3</v>
      </c>
      <c r="O621" s="5">
        <f>(Cotacoes!O621-Cotacoes!O620)/Cotacoes!O620</f>
        <v>1.1097019657577725E-2</v>
      </c>
      <c r="P621" s="5">
        <f>(Cotacoes!P621-Cotacoes!P620)/Cotacoes!P620</f>
        <v>7.1599045346060998E-3</v>
      </c>
      <c r="Q621" s="5">
        <f>(Cotacoes!Q621-Cotacoes!Q620)/Cotacoes!Q620</f>
        <v>2.2327889187513033E-2</v>
      </c>
      <c r="R621" s="5">
        <f>(Cotacoes!R621-Cotacoes!R620)/Cotacoes!R620</f>
        <v>-8.880431335236319E-3</v>
      </c>
      <c r="S621" s="5">
        <f>(Cotacoes!S621-Cotacoes!S620)/Cotacoes!S620</f>
        <v>-3.7658336186237396E-3</v>
      </c>
      <c r="T621" s="5">
        <f>(Cotacoes!T621-Cotacoes!T620)/Cotacoes!T620</f>
        <v>2.3798191337458353E-2</v>
      </c>
      <c r="U621" s="5">
        <f>(Cotacoes!U621-Cotacoes!U620)/Cotacoes!U620</f>
        <v>4.0231330148352172E-3</v>
      </c>
      <c r="V621" s="5">
        <f>(Cotacoes!V621-Cotacoes!V620)/Cotacoes!V620</f>
        <v>1.0260457774269991E-2</v>
      </c>
      <c r="W621" s="5"/>
    </row>
    <row r="622" spans="1:23" x14ac:dyDescent="0.2">
      <c r="A622" s="4">
        <v>45470</v>
      </c>
      <c r="B622" s="5">
        <f>(Cotacoes!B622-Cotacoes!B621)/Cotacoes!B621</f>
        <v>-8.6763713486940524E-4</v>
      </c>
      <c r="C622" s="5">
        <f>(Cotacoes!C622-Cotacoes!C621)/Cotacoes!C621</f>
        <v>2.7149321266968069E-3</v>
      </c>
      <c r="D622" s="5">
        <f>(Cotacoes!D622-Cotacoes!D621)/Cotacoes!D621</f>
        <v>1.6429699842022215E-2</v>
      </c>
      <c r="E622" s="5">
        <f>(Cotacoes!E622-Cotacoes!E621)/Cotacoes!E621</f>
        <v>1.8443378827001369E-3</v>
      </c>
      <c r="F622" s="5">
        <f>(Cotacoes!F622-Cotacoes!F621)/Cotacoes!F621</f>
        <v>2.0154119739181971E-2</v>
      </c>
      <c r="G622" s="5">
        <f>(Cotacoes!G622-Cotacoes!G621)/Cotacoes!G621</f>
        <v>-5.8622374206154099E-3</v>
      </c>
      <c r="H622" s="5">
        <f>(Cotacoes!H622-Cotacoes!H621)/Cotacoes!H621</f>
        <v>-4.0502227622525567E-4</v>
      </c>
      <c r="I622" s="5">
        <f>(Cotacoes!I622-Cotacoes!I621)/Cotacoes!I621</f>
        <v>2.9254482541679765E-2</v>
      </c>
      <c r="J622" s="5">
        <f>(Cotacoes!J622-Cotacoes!J621)/Cotacoes!J621</f>
        <v>-2.8065573770491809E-2</v>
      </c>
      <c r="K622" s="5">
        <f>(Cotacoes!K622-Cotacoes!K621)/Cotacoes!K621</f>
        <v>3.5587188612098883E-3</v>
      </c>
      <c r="L622" s="5">
        <f>(Cotacoes!L622-Cotacoes!L621)/Cotacoes!L621</f>
        <v>1.7085427135678385E-2</v>
      </c>
      <c r="M622" s="5">
        <f>(Cotacoes!M622-Cotacoes!M621)/Cotacoes!M621</f>
        <v>9.4517958412096285E-4</v>
      </c>
      <c r="N622" s="5">
        <f>(Cotacoes!N622-Cotacoes!N621)/Cotacoes!N621</f>
        <v>-1.1792452830188427E-3</v>
      </c>
      <c r="O622" s="5">
        <f>(Cotacoes!O622-Cotacoes!O621)/Cotacoes!O621</f>
        <v>2.4145500156788836E-2</v>
      </c>
      <c r="P622" s="5">
        <f>(Cotacoes!P622-Cotacoes!P621)/Cotacoes!P621</f>
        <v>5.265929436545626E-3</v>
      </c>
      <c r="Q622" s="5">
        <f>(Cotacoes!Q622-Cotacoes!Q621)/Cotacoes!Q621</f>
        <v>0.12173913043478252</v>
      </c>
      <c r="R622" s="5">
        <f>(Cotacoes!R622-Cotacoes!R621)/Cotacoes!R621</f>
        <v>-7.6799999999999499E-3</v>
      </c>
      <c r="S622" s="5">
        <f>(Cotacoes!S622-Cotacoes!S621)/Cotacoes!S621</f>
        <v>6.2886597938144273E-2</v>
      </c>
      <c r="T622" s="5">
        <f>(Cotacoes!T622-Cotacoes!T621)/Cotacoes!T621</f>
        <v>3.7192003719199577E-3</v>
      </c>
      <c r="U622" s="5">
        <f>(Cotacoes!U622-Cotacoes!U621)/Cotacoes!U621</f>
        <v>1.8782870022539443E-2</v>
      </c>
      <c r="V622" s="5">
        <f>(Cotacoes!V622-Cotacoes!V621)/Cotacoes!V621</f>
        <v>3.7890624999999956E-2</v>
      </c>
      <c r="W622" s="5"/>
    </row>
    <row r="623" spans="1:23" x14ac:dyDescent="0.2">
      <c r="A623" s="4">
        <v>45471</v>
      </c>
      <c r="B623" s="5">
        <f>(Cotacoes!B623-Cotacoes!B622)/Cotacoes!B622</f>
        <v>6.1752219220378287E-3</v>
      </c>
      <c r="C623" s="5">
        <f>(Cotacoes!C623-Cotacoes!C622)/Cotacoes!C622</f>
        <v>1.0649819494584899E-2</v>
      </c>
      <c r="D623" s="5">
        <f>(Cotacoes!D623-Cotacoes!D622)/Cotacoes!D622</f>
        <v>9.0146098849859854E-3</v>
      </c>
      <c r="E623" s="5">
        <f>(Cotacoes!E623-Cotacoes!E622)/Cotacoes!E622</f>
        <v>-1.1045655375552701E-3</v>
      </c>
      <c r="F623" s="5">
        <f>(Cotacoes!F623-Cotacoes!F622)/Cotacoes!F622</f>
        <v>1.2202208018593889E-2</v>
      </c>
      <c r="G623" s="5">
        <f>(Cotacoes!G623-Cotacoes!G622)/Cotacoes!G622</f>
        <v>1.1793611793611715E-2</v>
      </c>
      <c r="H623" s="5">
        <f>(Cotacoes!H623-Cotacoes!H622)/Cotacoes!H622</f>
        <v>4.0518638573750257E-4</v>
      </c>
      <c r="I623" s="5">
        <f>(Cotacoes!I623-Cotacoes!I622)/Cotacoes!I622</f>
        <v>5.1955990220049425E-3</v>
      </c>
      <c r="J623" s="5">
        <f>(Cotacoes!J623-Cotacoes!J622)/Cotacoes!J622</f>
        <v>1.1604371879638368E-2</v>
      </c>
      <c r="K623" s="5">
        <f>(Cotacoes!K623-Cotacoes!K622)/Cotacoes!K622</f>
        <v>-2.6595744680850499E-3</v>
      </c>
      <c r="L623" s="5">
        <f>(Cotacoes!L623-Cotacoes!L622)/Cotacoes!L622</f>
        <v>-1.4822134387351639E-2</v>
      </c>
      <c r="M623" s="5">
        <f>(Cotacoes!M623-Cotacoes!M622)/Cotacoes!M622</f>
        <v>-4.7214353163362336E-3</v>
      </c>
      <c r="N623" s="5">
        <f>(Cotacoes!N623-Cotacoes!N622)/Cotacoes!N622</f>
        <v>-2.3612750885479749E-3</v>
      </c>
      <c r="O623" s="5">
        <f>(Cotacoes!O623-Cotacoes!O622)/Cotacoes!O622</f>
        <v>-1.1941212492345178E-2</v>
      </c>
      <c r="P623" s="5">
        <f>(Cotacoes!P623-Cotacoes!P622)/Cotacoes!P622</f>
        <v>-5.4216867469879526E-2</v>
      </c>
      <c r="Q623" s="5">
        <f>(Cotacoes!Q623-Cotacoes!Q622)/Cotacoes!Q622</f>
        <v>1.8027762754638563E-4</v>
      </c>
      <c r="R623" s="5">
        <f>(Cotacoes!R623-Cotacoes!R622)/Cotacoes!R622</f>
        <v>-3.966462431473719E-2</v>
      </c>
      <c r="S623" s="5">
        <f>(Cotacoes!S623-Cotacoes!S622)/Cotacoes!S622</f>
        <v>-7.7594568380212883E-3</v>
      </c>
      <c r="T623" s="5">
        <f>(Cotacoes!T623-Cotacoes!T622)/Cotacoes!T622</f>
        <v>1.3432144511347806E-2</v>
      </c>
      <c r="U623" s="5">
        <f>(Cotacoes!U623-Cotacoes!U622)/Cotacoes!U622</f>
        <v>-1.9911504424778816E-2</v>
      </c>
      <c r="V623" s="5">
        <f>(Cotacoes!V623-Cotacoes!V622)/Cotacoes!V622</f>
        <v>-7.1509220925856706E-3</v>
      </c>
      <c r="W623" s="5"/>
    </row>
    <row r="624" spans="1:23" x14ac:dyDescent="0.2">
      <c r="A624" s="4">
        <v>45474</v>
      </c>
      <c r="B624" s="5">
        <f>(Cotacoes!B624-Cotacoes!B623)/Cotacoes!B623</f>
        <v>1.5343306482546661E-3</v>
      </c>
      <c r="C624" s="5">
        <f>(Cotacoes!C624-Cotacoes!C623)/Cotacoes!C623</f>
        <v>1.4824075727808507E-2</v>
      </c>
      <c r="D624" s="5">
        <f>(Cotacoes!D624-Cotacoes!D623)/Cotacoes!D623</f>
        <v>1.5403573629081947E-2</v>
      </c>
      <c r="E624" s="5">
        <f>(Cotacoes!E624-Cotacoes!E623)/Cotacoes!E623</f>
        <v>-4.7917434574271658E-3</v>
      </c>
      <c r="F624" s="5">
        <f>(Cotacoes!F624-Cotacoes!F623)/Cotacoes!F623</f>
        <v>1.2342135476463826E-2</v>
      </c>
      <c r="G624" s="5">
        <f>(Cotacoes!G624-Cotacoes!G623)/Cotacoes!G623</f>
        <v>-4.128217581350211E-3</v>
      </c>
      <c r="H624" s="5">
        <f>(Cotacoes!H624-Cotacoes!H623)/Cotacoes!H623</f>
        <v>-1.2960712839206167E-2</v>
      </c>
      <c r="I624" s="5">
        <f>(Cotacoes!I624-Cotacoes!I623)/Cotacoes!I623</f>
        <v>1.8546670720583747E-2</v>
      </c>
      <c r="J624" s="5">
        <f>(Cotacoes!J624-Cotacoes!J623)/Cotacoes!J623</f>
        <v>4.2416966786714777E-2</v>
      </c>
      <c r="K624" s="5">
        <f>(Cotacoes!K624-Cotacoes!K623)/Cotacoes!K623</f>
        <v>-8.8888888888888577E-3</v>
      </c>
      <c r="L624" s="5">
        <f>(Cotacoes!L624-Cotacoes!L623)/Cotacoes!L623</f>
        <v>2.2066198595787248E-2</v>
      </c>
      <c r="M624" s="5">
        <f>(Cotacoes!M624-Cotacoes!M623)/Cotacoes!M623</f>
        <v>3.7950664136623272E-3</v>
      </c>
      <c r="N624" s="5">
        <f>(Cotacoes!N624-Cotacoes!N623)/Cotacoes!N623</f>
        <v>-7.100591715976181E-3</v>
      </c>
      <c r="O624" s="5">
        <f>(Cotacoes!O624-Cotacoes!O623)/Cotacoes!O623</f>
        <v>1.2395413696932089E-2</v>
      </c>
      <c r="P624" s="5">
        <f>(Cotacoes!P624-Cotacoes!P623)/Cotacoes!P623</f>
        <v>1.5231237884242514E-2</v>
      </c>
      <c r="Q624" s="5">
        <f>(Cotacoes!Q624-Cotacoes!Q623)/Cotacoes!Q623</f>
        <v>1.1175198269646802E-2</v>
      </c>
      <c r="R624" s="5">
        <f>(Cotacoes!R624-Cotacoes!R623)/Cotacoes!R623</f>
        <v>9.4022834116856135E-3</v>
      </c>
      <c r="S624" s="5">
        <f>(Cotacoes!S624-Cotacoes!S623)/Cotacoes!S623</f>
        <v>4.3662430759204944E-2</v>
      </c>
      <c r="T624" s="5">
        <f>(Cotacoes!T624-Cotacoes!T623)/Cotacoes!T623</f>
        <v>3.0621572212065892E-2</v>
      </c>
      <c r="U624" s="5">
        <f>(Cotacoes!U624-Cotacoes!U623)/Cotacoes!U623</f>
        <v>-5.5179332831702755E-3</v>
      </c>
      <c r="V624" s="5">
        <f>(Cotacoes!V624-Cotacoes!V623)/Cotacoes!V623</f>
        <v>-1.3646702047005285E-2</v>
      </c>
      <c r="W624" s="5"/>
    </row>
    <row r="625" spans="1:23" x14ac:dyDescent="0.2">
      <c r="A625" s="4">
        <v>45475</v>
      </c>
      <c r="B625" s="5">
        <f>(Cotacoes!B625-Cotacoes!B624)/Cotacoes!B624</f>
        <v>7.1811566449636157E-3</v>
      </c>
      <c r="C625" s="5">
        <f>(Cotacoes!C625-Cotacoes!C624)/Cotacoes!C624</f>
        <v>-3.3438929954241062E-3</v>
      </c>
      <c r="D625" s="5">
        <f>(Cotacoes!D625-Cotacoes!D624)/Cotacoes!D624</f>
        <v>-3.0339805825243147E-3</v>
      </c>
      <c r="E625" s="5">
        <f>(Cotacoes!E625-Cotacoes!E624)/Cotacoes!E624</f>
        <v>1.2962962962963016E-2</v>
      </c>
      <c r="F625" s="5">
        <f>(Cotacoes!F625-Cotacoes!F624)/Cotacoes!F624</f>
        <v>2.5517436915224352E-3</v>
      </c>
      <c r="G625" s="5">
        <f>(Cotacoes!G625-Cotacoes!G624)/Cotacoes!G624</f>
        <v>1.4630577907827915E-3</v>
      </c>
      <c r="H625" s="5">
        <f>(Cotacoes!H625-Cotacoes!H624)/Cotacoes!H624</f>
        <v>3.2827246614689494E-3</v>
      </c>
      <c r="I625" s="5">
        <f>(Cotacoes!I625-Cotacoes!I624)/Cotacoes!I624</f>
        <v>1.820895522388058E-2</v>
      </c>
      <c r="J625" s="5">
        <f>(Cotacoes!J625-Cotacoes!J624)/Cotacoes!J624</f>
        <v>-3.8387715930903563E-3</v>
      </c>
      <c r="K625" s="5">
        <f>(Cotacoes!K625-Cotacoes!K624)/Cotacoes!K624</f>
        <v>-1.793721973094132E-3</v>
      </c>
      <c r="L625" s="5">
        <f>(Cotacoes!L625-Cotacoes!L624)/Cotacoes!L624</f>
        <v>-1.9627085377820976E-3</v>
      </c>
      <c r="M625" s="5">
        <f>(Cotacoes!M625-Cotacoes!M624)/Cotacoes!M624</f>
        <v>9.4517958412096285E-4</v>
      </c>
      <c r="N625" s="5">
        <f>(Cotacoes!N625-Cotacoes!N624)/Cotacoes!N624</f>
        <v>8.3432657926102837E-3</v>
      </c>
      <c r="O625" s="5">
        <f>(Cotacoes!O625-Cotacoes!O624)/Cotacoes!O624</f>
        <v>3.9791857973674764E-3</v>
      </c>
      <c r="P625" s="5">
        <f>(Cotacoes!P625-Cotacoes!P624)/Cotacoes!P624</f>
        <v>-3.8188761593015131E-3</v>
      </c>
      <c r="Q625" s="5">
        <f>(Cotacoes!Q625-Cotacoes!Q624)/Cotacoes!Q624</f>
        <v>-8.9126559714802604E-4</v>
      </c>
      <c r="R625" s="5">
        <f>(Cotacoes!R625-Cotacoes!R624)/Cotacoes!R624</f>
        <v>3.6593479707253155E-3</v>
      </c>
      <c r="S625" s="5">
        <f>(Cotacoes!S625-Cotacoes!S624)/Cotacoes!S624</f>
        <v>-1.6546987199500502E-2</v>
      </c>
      <c r="T625" s="5">
        <f>(Cotacoes!T625-Cotacoes!T624)/Cotacoes!T624</f>
        <v>1.4190687361419081E-2</v>
      </c>
      <c r="U625" s="5">
        <f>(Cotacoes!U625-Cotacoes!U624)/Cotacoes!U624</f>
        <v>-1.5132408575030307E-3</v>
      </c>
      <c r="V625" s="5">
        <f>(Cotacoes!V625-Cotacoes!V624)/Cotacoes!V624</f>
        <v>8.0707148347425386E-3</v>
      </c>
      <c r="W625" s="5"/>
    </row>
    <row r="626" spans="1:23" x14ac:dyDescent="0.2">
      <c r="A626" s="4">
        <v>45476</v>
      </c>
      <c r="B626" s="5">
        <f>(Cotacoes!B626-Cotacoes!B625)/Cotacoes!B625</f>
        <v>3.1371803403365179E-3</v>
      </c>
      <c r="C626" s="5">
        <f>(Cotacoes!C626-Cotacoes!C625)/Cotacoes!C625</f>
        <v>1.9777503090234811E-2</v>
      </c>
      <c r="D626" s="5">
        <f>(Cotacoes!D626-Cotacoes!D625)/Cotacoes!D625</f>
        <v>-1.7346317711503356E-2</v>
      </c>
      <c r="E626" s="5">
        <f>(Cotacoes!E626-Cotacoes!E625)/Cotacoes!E625</f>
        <v>6.2157221206580677E-3</v>
      </c>
      <c r="F626" s="5">
        <f>(Cotacoes!F626-Cotacoes!F625)/Cotacoes!F625</f>
        <v>-2.0644796380090411E-2</v>
      </c>
      <c r="G626" s="5">
        <f>(Cotacoes!G626-Cotacoes!G625)/Cotacoes!G625</f>
        <v>1.9478938397856902E-3</v>
      </c>
      <c r="H626" s="5">
        <f>(Cotacoes!H626-Cotacoes!H625)/Cotacoes!H625</f>
        <v>9.8159509202454809E-3</v>
      </c>
      <c r="I626" s="5">
        <f>(Cotacoes!I626-Cotacoes!I625)/Cotacoes!I625</f>
        <v>4.6907065376723452E-3</v>
      </c>
      <c r="J626" s="5">
        <f>(Cotacoes!J626-Cotacoes!J625)/Cotacoes!J625</f>
        <v>3.5966602440591029E-2</v>
      </c>
      <c r="K626" s="5">
        <f>(Cotacoes!K626-Cotacoes!K625)/Cotacoes!K625</f>
        <v>2.6954177897573549E-3</v>
      </c>
      <c r="L626" s="5">
        <f>(Cotacoes!L626-Cotacoes!L625)/Cotacoes!L625</f>
        <v>-1.9665683382497122E-3</v>
      </c>
      <c r="M626" s="5">
        <f>(Cotacoes!M626-Cotacoes!M625)/Cotacoes!M625</f>
        <v>-7.5542965061378723E-3</v>
      </c>
      <c r="N626" s="5">
        <f>(Cotacoes!N626-Cotacoes!N625)/Cotacoes!N625</f>
        <v>1.4184397163120473E-2</v>
      </c>
      <c r="O626" s="5">
        <f>(Cotacoes!O626-Cotacoes!O625)/Cotacoes!O625</f>
        <v>-4.8475609756097451E-2</v>
      </c>
      <c r="P626" s="5">
        <f>(Cotacoes!P626-Cotacoes!P625)/Cotacoes!P625</f>
        <v>2.5739320920043746E-2</v>
      </c>
      <c r="Q626" s="5">
        <f>(Cotacoes!Q626-Cotacoes!Q625)/Cotacoes!Q625</f>
        <v>-4.4603033006244425E-3</v>
      </c>
      <c r="R626" s="5">
        <f>(Cotacoes!R626-Cotacoes!R625)/Cotacoes!R625</f>
        <v>3.1156778256546162E-2</v>
      </c>
      <c r="S626" s="5">
        <f>(Cotacoes!S626-Cotacoes!S625)/Cotacoes!S625</f>
        <v>1.6507936507936607E-2</v>
      </c>
      <c r="T626" s="5">
        <f>(Cotacoes!T626-Cotacoes!T625)/Cotacoes!T625</f>
        <v>7.6519457804985003E-3</v>
      </c>
      <c r="U626" s="5">
        <f>(Cotacoes!U626-Cotacoes!U625)/Cotacoes!U625</f>
        <v>1.060873958070206E-2</v>
      </c>
      <c r="V626" s="5">
        <f>(Cotacoes!V626-Cotacoes!V625)/Cotacoes!V625</f>
        <v>2.0205871139916169E-2</v>
      </c>
      <c r="W626" s="5"/>
    </row>
    <row r="627" spans="1:23" x14ac:dyDescent="0.2">
      <c r="A627" s="4">
        <v>45477</v>
      </c>
      <c r="B627" s="5">
        <f>(Cotacoes!B627-Cotacoes!B626)/Cotacoes!B626</f>
        <v>9.4768764215322719E-4</v>
      </c>
      <c r="C627" s="5">
        <f>(Cotacoes!C627-Cotacoes!C626)/Cotacoes!C626</f>
        <v>-4.8484848484848684E-3</v>
      </c>
      <c r="D627" s="5">
        <f>(Cotacoes!D627-Cotacoes!D626)/Cotacoes!D626</f>
        <v>-1.3936203158872694E-2</v>
      </c>
      <c r="E627" s="5">
        <f>(Cotacoes!E627-Cotacoes!E626)/Cotacoes!E626</f>
        <v>1.4534883720929922E-3</v>
      </c>
      <c r="F627" s="5">
        <f>(Cotacoes!F627-Cotacoes!F626)/Cotacoes!F626</f>
        <v>-1.3572047357782441E-2</v>
      </c>
      <c r="G627" s="5">
        <f>(Cotacoes!G627-Cotacoes!G626)/Cotacoes!G626</f>
        <v>-5.1032806804374451E-3</v>
      </c>
      <c r="H627" s="5">
        <f>(Cotacoes!H627-Cotacoes!H626)/Cotacoes!H626</f>
        <v>5.2652895909274609E-3</v>
      </c>
      <c r="I627" s="5">
        <f>(Cotacoes!I627-Cotacoes!I626)/Cotacoes!I626</f>
        <v>2.2760431864604434E-2</v>
      </c>
      <c r="J627" s="5">
        <f>(Cotacoes!J627-Cotacoes!J626)/Cotacoes!J626</f>
        <v>1.3019218846869152E-2</v>
      </c>
      <c r="K627" s="5">
        <f>(Cotacoes!K627-Cotacoes!K626)/Cotacoes!K626</f>
        <v>4.4802867383513184E-3</v>
      </c>
      <c r="L627" s="5">
        <f>(Cotacoes!L627-Cotacoes!L626)/Cotacoes!L626</f>
        <v>1.4778325123152743E-2</v>
      </c>
      <c r="M627" s="5">
        <f>(Cotacoes!M627-Cotacoes!M626)/Cotacoes!M626</f>
        <v>6.6603235014272393E-3</v>
      </c>
      <c r="N627" s="5">
        <f>(Cotacoes!N627-Cotacoes!N626)/Cotacoes!N626</f>
        <v>3.4965034965034219E-3</v>
      </c>
      <c r="O627" s="5">
        <f>(Cotacoes!O627-Cotacoes!O626)/Cotacoes!O626</f>
        <v>4.8061518743991857E-3</v>
      </c>
      <c r="P627" s="5">
        <f>(Cotacoes!P627-Cotacoes!P626)/Cotacoes!P626</f>
        <v>2.6695141484244552E-4</v>
      </c>
      <c r="Q627" s="5">
        <f>(Cotacoes!Q627-Cotacoes!Q626)/Cotacoes!Q626</f>
        <v>-5.9139784946236253E-3</v>
      </c>
      <c r="R627" s="5">
        <f>(Cotacoes!R627-Cotacoes!R626)/Cotacoes!R626</f>
        <v>1.3500482160077201E-2</v>
      </c>
      <c r="S627" s="5">
        <f>(Cotacoes!S627-Cotacoes!S626)/Cotacoes!S626</f>
        <v>1.4990630855715078E-2</v>
      </c>
      <c r="T627" s="5">
        <f>(Cotacoes!T627-Cotacoes!T626)/Cotacoes!T626</f>
        <v>6.7259709264481478E-3</v>
      </c>
      <c r="U627" s="5">
        <f>(Cotacoes!U627-Cotacoes!U626)/Cotacoes!U626</f>
        <v>3.4491377155711135E-2</v>
      </c>
      <c r="V627" s="5">
        <f>(Cotacoes!V627-Cotacoes!V626)/Cotacoes!V626</f>
        <v>9.7159940209266809E-3</v>
      </c>
      <c r="W627" s="5"/>
    </row>
    <row r="628" spans="1:23" x14ac:dyDescent="0.2">
      <c r="A628" s="4">
        <v>45478</v>
      </c>
      <c r="B628" s="5">
        <f>(Cotacoes!B628-Cotacoes!B627)/Cotacoes!B627</f>
        <v>1.7989017231584711E-3</v>
      </c>
      <c r="C628" s="5">
        <f>(Cotacoes!C628-Cotacoes!C627)/Cotacoes!C627</f>
        <v>-4.1760918740212632E-3</v>
      </c>
      <c r="D628" s="5">
        <f>(Cotacoes!D628-Cotacoes!D627)/Cotacoes!D627</f>
        <v>5.3391959798994391E-3</v>
      </c>
      <c r="E628" s="5">
        <f>(Cotacoes!E628-Cotacoes!E627)/Cotacoes!E627</f>
        <v>7.2568940493467256E-4</v>
      </c>
      <c r="F628" s="5">
        <f>(Cotacoes!F628-Cotacoes!F627)/Cotacoes!F627</f>
        <v>1.7564402810304493E-2</v>
      </c>
      <c r="G628" s="5">
        <f>(Cotacoes!G628-Cotacoes!G627)/Cotacoes!G627</f>
        <v>7.0835368832437512E-3</v>
      </c>
      <c r="H628" s="5">
        <f>(Cotacoes!H628-Cotacoes!H627)/Cotacoes!H627</f>
        <v>-4.4319097502014274E-3</v>
      </c>
      <c r="I628" s="5">
        <f>(Cotacoes!I628-Cotacoes!I627)/Cotacoes!I627</f>
        <v>-6.8473609129813097E-3</v>
      </c>
      <c r="J628" s="5">
        <f>(Cotacoes!J628-Cotacoes!J627)/Cotacoes!J627</f>
        <v>4.6511627906976188E-3</v>
      </c>
      <c r="K628" s="5">
        <f>(Cotacoes!K628-Cotacoes!K627)/Cotacoes!K627</f>
        <v>1.1596788581623461E-2</v>
      </c>
      <c r="L628" s="5">
        <f>(Cotacoes!L628-Cotacoes!L627)/Cotacoes!L627</f>
        <v>-5.8252427184466498E-3</v>
      </c>
      <c r="M628" s="5">
        <f>(Cotacoes!M628-Cotacoes!M627)/Cotacoes!M627</f>
        <v>-1.1342155009451722E-2</v>
      </c>
      <c r="N628" s="5">
        <f>(Cotacoes!N628-Cotacoes!N627)/Cotacoes!N627</f>
        <v>-4.64576074332162E-3</v>
      </c>
      <c r="O628" s="5">
        <f>(Cotacoes!O628-Cotacoes!O627)/Cotacoes!O627</f>
        <v>-5.1020408163265354E-3</v>
      </c>
      <c r="P628" s="5">
        <f>(Cotacoes!P628-Cotacoes!P627)/Cotacoes!P627</f>
        <v>-4.5102748865759212E-2</v>
      </c>
      <c r="Q628" s="5">
        <f>(Cotacoes!Q628-Cotacoes!Q627)/Cotacoes!Q627</f>
        <v>-3.9480800432666267E-2</v>
      </c>
      <c r="R628" s="5">
        <f>(Cotacoes!R628-Cotacoes!R627)/Cotacoes!R627</f>
        <v>6.0260069774816915E-3</v>
      </c>
      <c r="S628" s="5">
        <f>(Cotacoes!S628-Cotacoes!S627)/Cotacoes!S627</f>
        <v>2.4615384615384091E-3</v>
      </c>
      <c r="T628" s="5">
        <f>(Cotacoes!T628-Cotacoes!T627)/Cotacoes!T627</f>
        <v>3.2327586206896248E-3</v>
      </c>
      <c r="U628" s="5">
        <f>(Cotacoes!U628-Cotacoes!U627)/Cotacoes!U627</f>
        <v>3.1408552790529731E-3</v>
      </c>
      <c r="V628" s="5">
        <f>(Cotacoes!V628-Cotacoes!V627)/Cotacoes!V627</f>
        <v>-7.4019245003699387E-4</v>
      </c>
      <c r="W628" s="5"/>
    </row>
    <row r="629" spans="1:23" x14ac:dyDescent="0.2">
      <c r="A629" s="4">
        <v>45481</v>
      </c>
      <c r="B629" s="5">
        <f>(Cotacoes!B629-Cotacoes!B628)/Cotacoes!B628</f>
        <v>4.4419242037614486E-3</v>
      </c>
      <c r="C629" s="5">
        <f>(Cotacoes!C629-Cotacoes!C628)/Cotacoes!C628</f>
        <v>-7.863008911410025E-3</v>
      </c>
      <c r="D629" s="5">
        <f>(Cotacoes!D629-Cotacoes!D628)/Cotacoes!D628</f>
        <v>2.4679787566385478E-2</v>
      </c>
      <c r="E629" s="5">
        <f>(Cotacoes!E629-Cotacoes!E628)/Cotacoes!E628</f>
        <v>-1.8129079042783598E-3</v>
      </c>
      <c r="F629" s="5">
        <f>(Cotacoes!F629-Cotacoes!F628)/Cotacoes!F628</f>
        <v>2.3302646720368306E-2</v>
      </c>
      <c r="G629" s="5">
        <f>(Cotacoes!G629-Cotacoes!G628)/Cotacoes!G628</f>
        <v>5.4086829978171339E-2</v>
      </c>
      <c r="H629" s="5">
        <f>(Cotacoes!H629-Cotacoes!H628)/Cotacoes!H628</f>
        <v>-1.6592472683124245E-2</v>
      </c>
      <c r="I629" s="5">
        <f>(Cotacoes!I629-Cotacoes!I628)/Cotacoes!I628</f>
        <v>-1.4363688595232479E-3</v>
      </c>
      <c r="J629" s="5">
        <f>(Cotacoes!J629-Cotacoes!J628)/Cotacoes!J628</f>
        <v>1.25487329434698E-2</v>
      </c>
      <c r="K629" s="5">
        <f>(Cotacoes!K629-Cotacoes!K628)/Cotacoes!K628</f>
        <v>0</v>
      </c>
      <c r="L629" s="5">
        <f>(Cotacoes!L629-Cotacoes!L628)/Cotacoes!L628</f>
        <v>1.6601562499999993E-2</v>
      </c>
      <c r="M629" s="5">
        <f>(Cotacoes!M629-Cotacoes!M628)/Cotacoes!M628</f>
        <v>-6.6921606118547109E-3</v>
      </c>
      <c r="N629" s="5">
        <f>(Cotacoes!N629-Cotacoes!N628)/Cotacoes!N628</f>
        <v>-4.6674445740957906E-3</v>
      </c>
      <c r="O629" s="5">
        <f>(Cotacoes!O629-Cotacoes!O628)/Cotacoes!O628</f>
        <v>-3.2051282051275676E-4</v>
      </c>
      <c r="P629" s="5">
        <f>(Cotacoes!P629-Cotacoes!P628)/Cotacoes!P628</f>
        <v>2.2917831190609285E-2</v>
      </c>
      <c r="Q629" s="5">
        <f>(Cotacoes!Q629-Cotacoes!Q628)/Cotacoes!Q628</f>
        <v>-2.7965465465465501E-2</v>
      </c>
      <c r="R629" s="5">
        <f>(Cotacoes!R629-Cotacoes!R628)/Cotacoes!R628</f>
        <v>-5.6746532156368131E-3</v>
      </c>
      <c r="S629" s="5">
        <f>(Cotacoes!S629-Cotacoes!S628)/Cotacoes!S628</f>
        <v>5.2179251074279225E-3</v>
      </c>
      <c r="T629" s="5">
        <f>(Cotacoes!T629-Cotacoes!T628)/Cotacoes!T628</f>
        <v>-2.577873254564975E-2</v>
      </c>
      <c r="U629" s="5">
        <f>(Cotacoes!U629-Cotacoes!U628)/Cotacoes!U628</f>
        <v>-2.1676300578035504E-3</v>
      </c>
      <c r="V629" s="5">
        <f>(Cotacoes!V629-Cotacoes!V628)/Cotacoes!V628</f>
        <v>2.2222222222221749E-3</v>
      </c>
      <c r="W629" s="5"/>
    </row>
    <row r="630" spans="1:23" x14ac:dyDescent="0.2">
      <c r="A630" s="4">
        <v>45482</v>
      </c>
      <c r="B630" s="5">
        <f>(Cotacoes!B630-Cotacoes!B629)/Cotacoes!B629</f>
        <v>1.5995483628152211E-3</v>
      </c>
      <c r="C630" s="5">
        <f>(Cotacoes!C630-Cotacoes!C629)/Cotacoes!C629</f>
        <v>-1.2328284607256127E-3</v>
      </c>
      <c r="D630" s="5">
        <f>(Cotacoes!D630-Cotacoes!D629)/Cotacoes!D629</f>
        <v>-3.048780487804272E-4</v>
      </c>
      <c r="E630" s="5">
        <f>(Cotacoes!E630-Cotacoes!E629)/Cotacoes!E629</f>
        <v>6.9015619324372581E-3</v>
      </c>
      <c r="F630" s="5">
        <f>(Cotacoes!F630-Cotacoes!F629)/Cotacoes!F629</f>
        <v>-8.1529378689906978E-3</v>
      </c>
      <c r="G630" s="5">
        <f>(Cotacoes!G630-Cotacoes!G629)/Cotacoes!G629</f>
        <v>1.8407731247123398E-3</v>
      </c>
      <c r="H630" s="5">
        <f>(Cotacoes!H630-Cotacoes!H629)/Cotacoes!H629</f>
        <v>-3.2921810699589236E-3</v>
      </c>
      <c r="I630" s="5">
        <f>(Cotacoes!I630-Cotacoes!I629)/Cotacoes!I629</f>
        <v>1.7548906789413104E-2</v>
      </c>
      <c r="J630" s="5">
        <f>(Cotacoes!J630-Cotacoes!J629)/Cotacoes!J629</f>
        <v>1.395740584767172E-2</v>
      </c>
      <c r="K630" s="5">
        <f>(Cotacoes!K630-Cotacoes!K629)/Cotacoes!K629</f>
        <v>0</v>
      </c>
      <c r="L630" s="5">
        <f>(Cotacoes!L630-Cotacoes!L629)/Cotacoes!L629</f>
        <v>-6.7243035542747633E-3</v>
      </c>
      <c r="M630" s="5">
        <f>(Cotacoes!M630-Cotacoes!M629)/Cotacoes!M629</f>
        <v>0</v>
      </c>
      <c r="N630" s="5">
        <f>(Cotacoes!N630-Cotacoes!N629)/Cotacoes!N629</f>
        <v>5.8616647127785132E-3</v>
      </c>
      <c r="O630" s="5">
        <f>(Cotacoes!O630-Cotacoes!O629)/Cotacoes!O629</f>
        <v>-8.6566207117665783E-3</v>
      </c>
      <c r="P630" s="5">
        <f>(Cotacoes!P630-Cotacoes!P629)/Cotacoes!P629</f>
        <v>5.9016393442622855E-2</v>
      </c>
      <c r="Q630" s="5">
        <f>(Cotacoes!Q630-Cotacoes!Q629)/Cotacoes!Q629</f>
        <v>-7.3373238076849309E-3</v>
      </c>
      <c r="R630" s="5">
        <f>(Cotacoes!R630-Cotacoes!R629)/Cotacoes!R629</f>
        <v>-1.2682308180088732E-2</v>
      </c>
      <c r="S630" s="5">
        <f>(Cotacoes!S630-Cotacoes!S629)/Cotacoes!S629</f>
        <v>2.1679389312977124E-2</v>
      </c>
      <c r="T630" s="5">
        <f>(Cotacoes!T630-Cotacoes!T629)/Cotacoes!T629</f>
        <v>1.3230429988973576E-3</v>
      </c>
      <c r="U630" s="5">
        <f>(Cotacoes!U630-Cotacoes!U629)/Cotacoes!U629</f>
        <v>1.7861453053343038E-2</v>
      </c>
      <c r="V630" s="5">
        <f>(Cotacoes!V630-Cotacoes!V629)/Cotacoes!V629</f>
        <v>2.9933481152993435E-2</v>
      </c>
      <c r="W630" s="5"/>
    </row>
    <row r="631" spans="1:23" x14ac:dyDescent="0.2">
      <c r="A631" s="4">
        <v>45483</v>
      </c>
      <c r="B631" s="5">
        <f>(Cotacoes!B631-Cotacoes!B630)/Cotacoes!B630</f>
        <v>6.9516204790981201E-3</v>
      </c>
      <c r="C631" s="5">
        <f>(Cotacoes!C631-Cotacoes!C630)/Cotacoes!C630</f>
        <v>-1.3401516487391959E-2</v>
      </c>
      <c r="D631" s="5">
        <f>(Cotacoes!D631-Cotacoes!D630)/Cotacoes!D630</f>
        <v>-9.4541018603233381E-3</v>
      </c>
      <c r="E631" s="5">
        <f>(Cotacoes!E631-Cotacoes!E630)/Cotacoes!E630</f>
        <v>1.0822510822510848E-2</v>
      </c>
      <c r="F631" s="5">
        <f>(Cotacoes!F631-Cotacoes!F630)/Cotacoes!F630</f>
        <v>-2.8344671201814462E-3</v>
      </c>
      <c r="G631" s="5">
        <f>(Cotacoes!G631-Cotacoes!G630)/Cotacoes!G630</f>
        <v>-1.1254019292604547E-2</v>
      </c>
      <c r="H631" s="5">
        <f>(Cotacoes!H631-Cotacoes!H630)/Cotacoes!H630</f>
        <v>1.5689512799339497E-2</v>
      </c>
      <c r="I631" s="5">
        <f>(Cotacoes!I631-Cotacoes!I630)/Cotacoes!I630</f>
        <v>-8.1990387333898546E-3</v>
      </c>
      <c r="J631" s="5">
        <f>(Cotacoes!J631-Cotacoes!J630)/Cotacoes!J630</f>
        <v>9.8492939361575684E-3</v>
      </c>
      <c r="K631" s="5">
        <f>(Cotacoes!K631-Cotacoes!K630)/Cotacoes!K630</f>
        <v>1.6754850088183379E-2</v>
      </c>
      <c r="L631" s="5">
        <f>(Cotacoes!L631-Cotacoes!L630)/Cotacoes!L630</f>
        <v>9.6711798839458074E-3</v>
      </c>
      <c r="M631" s="5">
        <f>(Cotacoes!M631-Cotacoes!M630)/Cotacoes!M630</f>
        <v>1.3474494706448391E-2</v>
      </c>
      <c r="N631" s="5">
        <f>(Cotacoes!N631-Cotacoes!N630)/Cotacoes!N630</f>
        <v>1.3986013986013894E-2</v>
      </c>
      <c r="O631" s="5">
        <f>(Cotacoes!O631-Cotacoes!O630)/Cotacoes!O630</f>
        <v>-3.2341526520052203E-3</v>
      </c>
      <c r="P631" s="5">
        <f>(Cotacoes!P631-Cotacoes!P630)/Cotacoes!P630</f>
        <v>2.3735810113519138E-2</v>
      </c>
      <c r="Q631" s="5">
        <f>(Cotacoes!Q631-Cotacoes!Q630)/Cotacoes!Q630</f>
        <v>-7.1970433767748971E-3</v>
      </c>
      <c r="R631" s="5">
        <f>(Cotacoes!R631-Cotacoes!R630)/Cotacoes!R630</f>
        <v>-8.3493898522800751E-3</v>
      </c>
      <c r="S631" s="5">
        <f>(Cotacoes!S631-Cotacoes!S630)/Cotacoes!S630</f>
        <v>5.0806933652122448E-3</v>
      </c>
      <c r="T631" s="5">
        <f>(Cotacoes!T631-Cotacoes!T630)/Cotacoes!T630</f>
        <v>1.3212948689716422E-3</v>
      </c>
      <c r="U631" s="5">
        <f>(Cotacoes!U631-Cotacoes!U630)/Cotacoes!U630</f>
        <v>1.8733696940953264E-2</v>
      </c>
      <c r="V631" s="5">
        <f>(Cotacoes!V631-Cotacoes!V630)/Cotacoes!V630</f>
        <v>2.1528525296016761E-3</v>
      </c>
      <c r="W631" s="5"/>
    </row>
    <row r="632" spans="1:23" x14ac:dyDescent="0.2">
      <c r="A632" s="4">
        <v>45484</v>
      </c>
      <c r="B632" s="5">
        <f>(Cotacoes!B632-Cotacoes!B631)/Cotacoes!B631</f>
        <v>5.3176602294990891E-3</v>
      </c>
      <c r="C632" s="5">
        <f>(Cotacoes!C632-Cotacoes!C631)/Cotacoes!C631</f>
        <v>-2.6809651474531846E-3</v>
      </c>
      <c r="D632" s="5">
        <f>(Cotacoes!D632-Cotacoes!D631)/Cotacoes!D631</f>
        <v>6.7733990147785094E-3</v>
      </c>
      <c r="E632" s="5">
        <f>(Cotacoes!E632-Cotacoes!E631)/Cotacoes!E631</f>
        <v>5.7102069950035741E-3</v>
      </c>
      <c r="F632" s="5">
        <f>(Cotacoes!F632-Cotacoes!F631)/Cotacoes!F631</f>
        <v>8.2433200682205561E-3</v>
      </c>
      <c r="G632" s="5">
        <f>(Cotacoes!G632-Cotacoes!G631)/Cotacoes!G631</f>
        <v>2.0673635307781664E-2</v>
      </c>
      <c r="H632" s="5">
        <f>(Cotacoes!H632-Cotacoes!H631)/Cotacoes!H631</f>
        <v>-4.8780487804878448E-3</v>
      </c>
      <c r="I632" s="5">
        <f>(Cotacoes!I632-Cotacoes!I631)/Cotacoes!I631</f>
        <v>9.6921322690992993E-3</v>
      </c>
      <c r="J632" s="5">
        <f>(Cotacoes!J632-Cotacoes!J631)/Cotacoes!J631</f>
        <v>-9.0481786133959578E-3</v>
      </c>
      <c r="K632" s="5">
        <f>(Cotacoes!K632-Cotacoes!K631)/Cotacoes!K631</f>
        <v>0</v>
      </c>
      <c r="L632" s="5">
        <f>(Cotacoes!L632-Cotacoes!L631)/Cotacoes!L631</f>
        <v>3.0651340996168612E-2</v>
      </c>
      <c r="M632" s="5">
        <f>(Cotacoes!M632-Cotacoes!M631)/Cotacoes!M631</f>
        <v>1.1396011396011492E-2</v>
      </c>
      <c r="N632" s="5">
        <f>(Cotacoes!N632-Cotacoes!N631)/Cotacoes!N631</f>
        <v>5.7471264367816915E-3</v>
      </c>
      <c r="O632" s="5">
        <f>(Cotacoes!O632-Cotacoes!O631)/Cotacoes!O631</f>
        <v>3.1797534068786514E-2</v>
      </c>
      <c r="P632" s="5">
        <f>(Cotacoes!P632-Cotacoes!P631)/Cotacoes!P631</f>
        <v>1.9657258064516157E-2</v>
      </c>
      <c r="Q632" s="5">
        <f>(Cotacoes!Q632-Cotacoes!Q631)/Cotacoes!Q631</f>
        <v>1.0775862068965601E-2</v>
      </c>
      <c r="R632" s="5">
        <f>(Cotacoes!R632-Cotacoes!R631)/Cotacoes!R631</f>
        <v>2.914507772020721E-3</v>
      </c>
      <c r="S632" s="5">
        <f>(Cotacoes!S632-Cotacoes!S631)/Cotacoes!S631</f>
        <v>8.9206066012488001E-3</v>
      </c>
      <c r="T632" s="5">
        <f>(Cotacoes!T632-Cotacoes!T631)/Cotacoes!T631</f>
        <v>-2.4191774796569043E-3</v>
      </c>
      <c r="U632" s="5">
        <f>(Cotacoes!U632-Cotacoes!U631)/Cotacoes!U631</f>
        <v>2.9795158286778426E-2</v>
      </c>
      <c r="V632" s="5">
        <f>(Cotacoes!V632-Cotacoes!V631)/Cotacoes!V631</f>
        <v>0</v>
      </c>
      <c r="W632" s="5"/>
    </row>
    <row r="633" spans="1:23" x14ac:dyDescent="0.2">
      <c r="A633" s="4">
        <v>45485</v>
      </c>
      <c r="B633" s="5">
        <f>(Cotacoes!B633-Cotacoes!B632)/Cotacoes!B632</f>
        <v>3.8975501113585904E-3</v>
      </c>
      <c r="C633" s="5">
        <f>(Cotacoes!C633-Cotacoes!C632)/Cotacoes!C632</f>
        <v>1.4695340501792121E-2</v>
      </c>
      <c r="D633" s="5">
        <f>(Cotacoes!D633-Cotacoes!D632)/Cotacoes!D632</f>
        <v>-4.587155963302926E-3</v>
      </c>
      <c r="E633" s="5">
        <f>(Cotacoes!E633-Cotacoes!E632)/Cotacoes!E632</f>
        <v>-5.6777856635912049E-3</v>
      </c>
      <c r="F633" s="5">
        <f>(Cotacoes!F633-Cotacoes!F632)/Cotacoes!F632</f>
        <v>-5.3566394135888843E-3</v>
      </c>
      <c r="G633" s="5">
        <f>(Cotacoes!G633-Cotacoes!G632)/Cotacoes!G632</f>
        <v>2.048247610377801E-2</v>
      </c>
      <c r="H633" s="5">
        <f>(Cotacoes!H633-Cotacoes!H632)/Cotacoes!H632</f>
        <v>1.3071895424836612E-2</v>
      </c>
      <c r="I633" s="5">
        <f>(Cotacoes!I633-Cotacoes!I632)/Cotacoes!I632</f>
        <v>1.2704686617729975E-2</v>
      </c>
      <c r="J633" s="5">
        <f>(Cotacoes!J633-Cotacoes!J632)/Cotacoes!J632</f>
        <v>-1.3992647930748163E-2</v>
      </c>
      <c r="K633" s="5">
        <f>(Cotacoes!K633-Cotacoes!K632)/Cotacoes!K632</f>
        <v>-2.6019080659149488E-3</v>
      </c>
      <c r="L633" s="5">
        <f>(Cotacoes!L633-Cotacoes!L632)/Cotacoes!L632</f>
        <v>4.0892193308550137E-2</v>
      </c>
      <c r="M633" s="5">
        <f>(Cotacoes!M633-Cotacoes!M632)/Cotacoes!M632</f>
        <v>9.3896713615023129E-3</v>
      </c>
      <c r="N633" s="5">
        <f>(Cotacoes!N633-Cotacoes!N632)/Cotacoes!N632</f>
        <v>4.5714285714284738E-3</v>
      </c>
      <c r="O633" s="5">
        <f>(Cotacoes!O633-Cotacoes!O632)/Cotacoes!O632</f>
        <v>9.4339622641509656E-3</v>
      </c>
      <c r="P633" s="5">
        <f>(Cotacoes!P633-Cotacoes!P632)/Cotacoes!P632</f>
        <v>-6.1789421651013343E-3</v>
      </c>
      <c r="Q633" s="5">
        <f>(Cotacoes!Q633-Cotacoes!Q632)/Cotacoes!Q632</f>
        <v>-1.3374685016476155E-2</v>
      </c>
      <c r="R633" s="5">
        <f>(Cotacoes!R633-Cotacoes!R632)/Cotacoes!R632</f>
        <v>2.2602518566354628E-2</v>
      </c>
      <c r="S633" s="5">
        <f>(Cotacoes!S633-Cotacoes!S632)/Cotacoes!S632</f>
        <v>6.7786619510756523E-3</v>
      </c>
      <c r="T633" s="5">
        <f>(Cotacoes!T633-Cotacoes!T632)/Cotacoes!T632</f>
        <v>5.0705467372134921E-3</v>
      </c>
      <c r="U633" s="5">
        <f>(Cotacoes!U633-Cotacoes!U632)/Cotacoes!U632</f>
        <v>2.0343580470161913E-3</v>
      </c>
      <c r="V633" s="5">
        <f>(Cotacoes!V633-Cotacoes!V632)/Cotacoes!V632</f>
        <v>1.0025062656641645E-2</v>
      </c>
      <c r="W633" s="5"/>
    </row>
    <row r="634" spans="1:23" x14ac:dyDescent="0.2">
      <c r="A634" s="4">
        <v>45488</v>
      </c>
      <c r="B634" s="5">
        <f>(Cotacoes!B634-Cotacoes!B633)/Cotacoes!B633</f>
        <v>-3.6051026067665053E-3</v>
      </c>
      <c r="C634" s="5">
        <f>(Cotacoes!C634-Cotacoes!C633)/Cotacoes!C633</f>
        <v>1.059696220416854E-3</v>
      </c>
      <c r="D634" s="5">
        <f>(Cotacoes!D634-Cotacoes!D633)/Cotacoes!D633</f>
        <v>9.2165898617512839E-3</v>
      </c>
      <c r="E634" s="5">
        <f>(Cotacoes!E634-Cotacoes!E633)/Cotacoes!E633</f>
        <v>3.9257673090649335E-3</v>
      </c>
      <c r="F634" s="5">
        <f>(Cotacoes!F634-Cotacoes!F633)/Cotacoes!F633</f>
        <v>1.4172335600907028E-2</v>
      </c>
      <c r="G634" s="5">
        <f>(Cotacoes!G634-Cotacoes!G633)/Cotacoes!G633</f>
        <v>1.3603925066904535E-2</v>
      </c>
      <c r="H634" s="5">
        <f>(Cotacoes!H634-Cotacoes!H633)/Cotacoes!H633</f>
        <v>4.4354838709677186E-3</v>
      </c>
      <c r="I634" s="5">
        <f>(Cotacoes!I634-Cotacoes!I633)/Cotacoes!I633</f>
        <v>-8.9211039866183527E-3</v>
      </c>
      <c r="J634" s="5">
        <f>(Cotacoes!J634-Cotacoes!J633)/Cotacoes!J633</f>
        <v>-1.7799158147925483E-2</v>
      </c>
      <c r="K634" s="5">
        <f>(Cotacoes!K634-Cotacoes!K633)/Cotacoes!K633</f>
        <v>-2.6086956521738573E-3</v>
      </c>
      <c r="L634" s="5">
        <f>(Cotacoes!L634-Cotacoes!L633)/Cotacoes!L633</f>
        <v>-3.5714285714284954E-3</v>
      </c>
      <c r="M634" s="5">
        <f>(Cotacoes!M634-Cotacoes!M633)/Cotacoes!M633</f>
        <v>0</v>
      </c>
      <c r="N634" s="5">
        <f>(Cotacoes!N634-Cotacoes!N633)/Cotacoes!N633</f>
        <v>1.1376564277589948E-3</v>
      </c>
      <c r="O634" s="5">
        <f>(Cotacoes!O634-Cotacoes!O633)/Cotacoes!O633</f>
        <v>-2.4922118380061773E-3</v>
      </c>
      <c r="P634" s="5">
        <f>(Cotacoes!P634-Cotacoes!P633)/Cotacoes!P633</f>
        <v>1.6911216115394173E-2</v>
      </c>
      <c r="Q634" s="5">
        <f>(Cotacoes!Q634-Cotacoes!Q633)/Cotacoes!Q633</f>
        <v>3.6149312377210287E-2</v>
      </c>
      <c r="R634" s="5">
        <f>(Cotacoes!R634-Cotacoes!R633)/Cotacoes!R633</f>
        <v>-1.0735712030312705E-2</v>
      </c>
      <c r="S634" s="5">
        <f>(Cotacoes!S634-Cotacoes!S633)/Cotacoes!S633</f>
        <v>-1.2295081967212958E-2</v>
      </c>
      <c r="T634" s="5">
        <f>(Cotacoes!T634-Cotacoes!T633)/Cotacoes!T633</f>
        <v>2.0399210353147613E-2</v>
      </c>
      <c r="U634" s="5">
        <f>(Cotacoes!U634-Cotacoes!U633)/Cotacoes!U633</f>
        <v>-5.6395217685540266E-3</v>
      </c>
      <c r="V634" s="5">
        <f>(Cotacoes!V634-Cotacoes!V633)/Cotacoes!V633</f>
        <v>1.8078695498050266E-2</v>
      </c>
      <c r="W634" s="5"/>
    </row>
    <row r="635" spans="1:23" x14ac:dyDescent="0.2">
      <c r="A635" s="4">
        <v>45489</v>
      </c>
      <c r="B635" s="5">
        <f>(Cotacoes!B635-Cotacoes!B634)/Cotacoes!B634</f>
        <v>4.7314222098524062E-3</v>
      </c>
      <c r="C635" s="5">
        <f>(Cotacoes!C635-Cotacoes!C634)/Cotacoes!C634</f>
        <v>-1.0409315455186949E-2</v>
      </c>
      <c r="D635" s="5">
        <f>(Cotacoes!D635-Cotacoes!D634)/Cotacoes!D634</f>
        <v>-2.7397260273973639E-3</v>
      </c>
      <c r="E635" s="5">
        <f>(Cotacoes!E635-Cotacoes!E634)/Cotacoes!E634</f>
        <v>6.0433700675436089E-3</v>
      </c>
      <c r="F635" s="5">
        <f>(Cotacoes!F635-Cotacoes!F634)/Cotacoes!F634</f>
        <v>-5.0307434320849553E-3</v>
      </c>
      <c r="G635" s="5">
        <f>(Cotacoes!G635-Cotacoes!G634)/Cotacoes!G634</f>
        <v>3.7403740374036213E-3</v>
      </c>
      <c r="H635" s="5">
        <f>(Cotacoes!H635-Cotacoes!H634)/Cotacoes!H634</f>
        <v>3.6130068245684406E-3</v>
      </c>
      <c r="I635" s="5">
        <f>(Cotacoes!I635-Cotacoes!I634)/Cotacoes!I634</f>
        <v>6.4697609001407594E-3</v>
      </c>
      <c r="J635" s="5">
        <f>(Cotacoes!J635-Cotacoes!J634)/Cotacoes!J634</f>
        <v>-1.4693277825395439E-3</v>
      </c>
      <c r="K635" s="5">
        <f>(Cotacoes!K635-Cotacoes!K634)/Cotacoes!K634</f>
        <v>3.487358326067929E-3</v>
      </c>
      <c r="L635" s="5">
        <f>(Cotacoes!L635-Cotacoes!L634)/Cotacoes!L634</f>
        <v>8.9605734767023181E-4</v>
      </c>
      <c r="M635" s="5">
        <f>(Cotacoes!M635-Cotacoes!M634)/Cotacoes!M634</f>
        <v>5.5813953488372554E-3</v>
      </c>
      <c r="N635" s="5">
        <f>(Cotacoes!N635-Cotacoes!N634)/Cotacoes!N634</f>
        <v>2.272727272727224E-3</v>
      </c>
      <c r="O635" s="5">
        <f>(Cotacoes!O635-Cotacoes!O634)/Cotacoes!O634</f>
        <v>-9.3691442848221184E-3</v>
      </c>
      <c r="P635" s="5">
        <f>(Cotacoes!P635-Cotacoes!P634)/Cotacoes!P634</f>
        <v>-6.1139642944485206E-3</v>
      </c>
      <c r="Q635" s="5">
        <f>(Cotacoes!Q635-Cotacoes!Q634)/Cotacoes!Q634</f>
        <v>-5.6882821387942996E-4</v>
      </c>
      <c r="R635" s="5">
        <f>(Cotacoes!R635-Cotacoes!R634)/Cotacoes!R634</f>
        <v>-3.8301947015639149E-3</v>
      </c>
      <c r="S635" s="5">
        <f>(Cotacoes!S635-Cotacoes!S634)/Cotacoes!S634</f>
        <v>-1.7783046828690654E-3</v>
      </c>
      <c r="T635" s="5">
        <f>(Cotacoes!T635-Cotacoes!T634)/Cotacoes!T634</f>
        <v>-2.3000859845227862E-2</v>
      </c>
      <c r="U635" s="5">
        <f>(Cotacoes!U635-Cotacoes!U634)/Cotacoes!U634</f>
        <v>-1.2477313974591588E-2</v>
      </c>
      <c r="V635" s="5">
        <f>(Cotacoes!V635-Cotacoes!V634)/Cotacoes!V634</f>
        <v>1.0445682451253877E-3</v>
      </c>
      <c r="W635" s="5"/>
    </row>
    <row r="636" spans="1:23" x14ac:dyDescent="0.2">
      <c r="A636" s="4">
        <v>45490</v>
      </c>
      <c r="B636" s="5">
        <f>(Cotacoes!B636-Cotacoes!B635)/Cotacoes!B635</f>
        <v>-1.4496768236380362E-2</v>
      </c>
      <c r="C636" s="5">
        <f>(Cotacoes!C636-Cotacoes!C635)/Cotacoes!C635</f>
        <v>-9.2708147619897149E-3</v>
      </c>
      <c r="D636" s="5">
        <f>(Cotacoes!D636-Cotacoes!D635)/Cotacoes!D635</f>
        <v>5.1892551892552419E-3</v>
      </c>
      <c r="E636" s="5">
        <f>(Cotacoes!E636-Cotacoes!E635)/Cotacoes!E635</f>
        <v>1.0954063604240238E-2</v>
      </c>
      <c r="F636" s="5">
        <f>(Cotacoes!F636-Cotacoes!F635)/Cotacoes!F635</f>
        <v>7.0224719101123594E-3</v>
      </c>
      <c r="G636" s="5">
        <f>(Cotacoes!G636-Cotacoes!G635)/Cotacoes!G635</f>
        <v>7.8912757562472485E-3</v>
      </c>
      <c r="H636" s="5">
        <f>(Cotacoes!H636-Cotacoes!H635)/Cotacoes!H635</f>
        <v>0.01</v>
      </c>
      <c r="I636" s="5">
        <f>(Cotacoes!I636-Cotacoes!I635)/Cotacoes!I635</f>
        <v>-1.0620458356623882E-2</v>
      </c>
      <c r="J636" s="5">
        <f>(Cotacoes!J636-Cotacoes!J635)/Cotacoes!J635</f>
        <v>2.023298589822202E-2</v>
      </c>
      <c r="K636" s="5">
        <f>(Cotacoes!K636-Cotacoes!K635)/Cotacoes!K635</f>
        <v>1.1294526498696854E-2</v>
      </c>
      <c r="L636" s="5">
        <f>(Cotacoes!L636-Cotacoes!L635)/Cotacoes!L635</f>
        <v>8.9525514771708029E-4</v>
      </c>
      <c r="M636" s="5">
        <f>(Cotacoes!M636-Cotacoes!M635)/Cotacoes!M635</f>
        <v>1.0175763182238616E-2</v>
      </c>
      <c r="N636" s="5">
        <f>(Cotacoes!N636-Cotacoes!N635)/Cotacoes!N635</f>
        <v>1.1337868480725584E-2</v>
      </c>
      <c r="O636" s="5">
        <f>(Cotacoes!O636-Cotacoes!O635)/Cotacoes!O635</f>
        <v>1.6393442622950918E-2</v>
      </c>
      <c r="P636" s="5">
        <f>(Cotacoes!P636-Cotacoes!P635)/Cotacoes!P635</f>
        <v>-5.6594488188977353E-3</v>
      </c>
      <c r="Q636" s="5">
        <f>(Cotacoes!Q636-Cotacoes!Q635)/Cotacoes!Q635</f>
        <v>1.8971732119138702E-4</v>
      </c>
      <c r="R636" s="5">
        <f>(Cotacoes!R636-Cotacoes!R635)/Cotacoes!R635</f>
        <v>1.3457225248317788E-2</v>
      </c>
      <c r="S636" s="5">
        <f>(Cotacoes!S636-Cotacoes!S635)/Cotacoes!S635</f>
        <v>-9.2042755344418723E-3</v>
      </c>
      <c r="T636" s="5">
        <f>(Cotacoes!T636-Cotacoes!T635)/Cotacoes!T635</f>
        <v>1.5841584158415814E-2</v>
      </c>
      <c r="U636" s="5">
        <f>(Cotacoes!U636-Cotacoes!U635)/Cotacoes!U635</f>
        <v>-1.5851137146795261E-2</v>
      </c>
      <c r="V636" s="5">
        <f>(Cotacoes!V636-Cotacoes!V635)/Cotacoes!V635</f>
        <v>-1.0782608695652129E-2</v>
      </c>
      <c r="W636" s="5"/>
    </row>
    <row r="637" spans="1:23" x14ac:dyDescent="0.2">
      <c r="A637" s="4">
        <v>45491</v>
      </c>
      <c r="B637" s="5">
        <f>(Cotacoes!B637-Cotacoes!B636)/Cotacoes!B636</f>
        <v>9.3694368968339783E-5</v>
      </c>
      <c r="C637" s="5">
        <f>(Cotacoes!C637-Cotacoes!C636)/Cotacoes!C636</f>
        <v>-9.3575670325715885E-3</v>
      </c>
      <c r="D637" s="5">
        <f>(Cotacoes!D637-Cotacoes!D636)/Cotacoes!D636</f>
        <v>-1.8220467658670596E-3</v>
      </c>
      <c r="E637" s="5">
        <f>(Cotacoes!E637-Cotacoes!E636)/Cotacoes!E636</f>
        <v>-4.5438657811953517E-3</v>
      </c>
      <c r="F637" s="5">
        <f>(Cotacoes!F637-Cotacoes!F636)/Cotacoes!F636</f>
        <v>1.3947001394699345E-3</v>
      </c>
      <c r="G637" s="5">
        <f>(Cotacoes!G637-Cotacoes!G636)/Cotacoes!G636</f>
        <v>7.3945193562419192E-3</v>
      </c>
      <c r="H637" s="5">
        <f>(Cotacoes!H637-Cotacoes!H636)/Cotacoes!H636</f>
        <v>-4.7524752475247923E-3</v>
      </c>
      <c r="I637" s="5">
        <f>(Cotacoes!I637-Cotacoes!I636)/Cotacoes!I636</f>
        <v>-2.5141242937853123E-2</v>
      </c>
      <c r="J637" s="5">
        <f>(Cotacoes!J637-Cotacoes!J636)/Cotacoes!J636</f>
        <v>-1.4182692307692389E-2</v>
      </c>
      <c r="K637" s="5">
        <f>(Cotacoes!K637-Cotacoes!K636)/Cotacoes!K636</f>
        <v>-1.8041237113402133E-2</v>
      </c>
      <c r="L637" s="5">
        <f>(Cotacoes!L637-Cotacoes!L636)/Cotacoes!L636</f>
        <v>-2.7728085867620798E-2</v>
      </c>
      <c r="M637" s="5">
        <f>(Cotacoes!M637-Cotacoes!M636)/Cotacoes!M636</f>
        <v>-1.2820512820512872E-2</v>
      </c>
      <c r="N637" s="5">
        <f>(Cotacoes!N637-Cotacoes!N636)/Cotacoes!N636</f>
        <v>-1.0089686098654693E-2</v>
      </c>
      <c r="O637" s="5">
        <f>(Cotacoes!O637-Cotacoes!O636)/Cotacoes!O636</f>
        <v>-2.4503722084367328E-2</v>
      </c>
      <c r="P637" s="5">
        <f>(Cotacoes!P637-Cotacoes!P636)/Cotacoes!P636</f>
        <v>1.4847809948032701E-2</v>
      </c>
      <c r="Q637" s="5">
        <f>(Cotacoes!Q637-Cotacoes!Q636)/Cotacoes!Q636</f>
        <v>-5.5007587253414108E-3</v>
      </c>
      <c r="R637" s="5">
        <f>(Cotacoes!R637-Cotacoes!R636)/Cotacoes!R636</f>
        <v>-2.4660132785330306E-2</v>
      </c>
      <c r="S637" s="5">
        <f>(Cotacoes!S637-Cotacoes!S636)/Cotacoes!S636</f>
        <v>-1.7081210668264919E-2</v>
      </c>
      <c r="T637" s="5">
        <f>(Cotacoes!T637-Cotacoes!T636)/Cotacoes!T636</f>
        <v>-1.5161360190600017E-2</v>
      </c>
      <c r="U637" s="5">
        <f>(Cotacoes!U637-Cotacoes!U636)/Cotacoes!U636</f>
        <v>-3.6647992530345473E-2</v>
      </c>
      <c r="V637" s="5">
        <f>(Cotacoes!V637-Cotacoes!V636)/Cotacoes!V636</f>
        <v>-2.8832630098452893E-2</v>
      </c>
      <c r="W637" s="5"/>
    </row>
    <row r="638" spans="1:23" x14ac:dyDescent="0.2">
      <c r="A638" s="4">
        <v>45492</v>
      </c>
      <c r="B638" s="5">
        <f>(Cotacoes!B638-Cotacoes!B637)/Cotacoes!B637</f>
        <v>1.6863406408095076E-3</v>
      </c>
      <c r="C638" s="5">
        <f>(Cotacoes!C638-Cotacoes!C637)/Cotacoes!C637</f>
        <v>-9.0826521344227363E-4</v>
      </c>
      <c r="D638" s="5">
        <f>(Cotacoes!D638-Cotacoes!D637)/Cotacoes!D637</f>
        <v>4.2592029205963059E-3</v>
      </c>
      <c r="E638" s="5">
        <f>(Cotacoes!E638-Cotacoes!E637)/Cotacoes!E637</f>
        <v>7.3735955056180077E-3</v>
      </c>
      <c r="F638" s="5">
        <f>(Cotacoes!F638-Cotacoes!F637)/Cotacoes!F637</f>
        <v>2.5069637883009307E-3</v>
      </c>
      <c r="G638" s="5">
        <f>(Cotacoes!G638-Cotacoes!G637)/Cotacoes!G637</f>
        <v>-2.3747841105353938E-3</v>
      </c>
      <c r="H638" s="5">
        <f>(Cotacoes!H638-Cotacoes!H637)/Cotacoes!H637</f>
        <v>-2.7855153203342731E-3</v>
      </c>
      <c r="I638" s="5">
        <f>(Cotacoes!I638-Cotacoes!I637)/Cotacoes!I637</f>
        <v>-1.3909011880614225E-2</v>
      </c>
      <c r="J638" s="5">
        <f>(Cotacoes!J638-Cotacoes!J637)/Cotacoes!J637</f>
        <v>3.5113386978785785E-2</v>
      </c>
      <c r="K638" s="5">
        <f>(Cotacoes!K638-Cotacoes!K637)/Cotacoes!K637</f>
        <v>-6.1242344706911884E-3</v>
      </c>
      <c r="L638" s="5">
        <f>(Cotacoes!L638-Cotacoes!L637)/Cotacoes!L637</f>
        <v>0</v>
      </c>
      <c r="M638" s="5">
        <f>(Cotacoes!M638-Cotacoes!M637)/Cotacoes!M637</f>
        <v>5.5658627087198983E-3</v>
      </c>
      <c r="N638" s="5">
        <f>(Cotacoes!N638-Cotacoes!N637)/Cotacoes!N637</f>
        <v>1.0192525481313688E-2</v>
      </c>
      <c r="O638" s="5">
        <f>(Cotacoes!O638-Cotacoes!O637)/Cotacoes!O637</f>
        <v>-7.3131955484896797E-3</v>
      </c>
      <c r="P638" s="5">
        <f>(Cotacoes!P638-Cotacoes!P637)/Cotacoes!P637</f>
        <v>1.1460619361131404E-2</v>
      </c>
      <c r="Q638" s="5">
        <f>(Cotacoes!Q638-Cotacoes!Q637)/Cotacoes!Q637</f>
        <v>-5.1497234407782404E-3</v>
      </c>
      <c r="R638" s="5">
        <f>(Cotacoes!R638-Cotacoes!R637)/Cotacoes!R637</f>
        <v>2.2690437601296689E-3</v>
      </c>
      <c r="S638" s="5">
        <f>(Cotacoes!S638-Cotacoes!S637)/Cotacoes!S637</f>
        <v>-9.451219512194976E-3</v>
      </c>
      <c r="T638" s="5">
        <f>(Cotacoes!T638-Cotacoes!T637)/Cotacoes!T637</f>
        <v>-3.9586540576204031E-3</v>
      </c>
      <c r="U638" s="5">
        <f>(Cotacoes!U638-Cotacoes!U637)/Cotacoes!U637</f>
        <v>-1.4538405621517391E-3</v>
      </c>
      <c r="V638" s="5">
        <f>(Cotacoes!V638-Cotacoes!V637)/Cotacoes!V637</f>
        <v>-8.3272990586531655E-3</v>
      </c>
      <c r="W638" s="5"/>
    </row>
    <row r="639" spans="1:23" x14ac:dyDescent="0.2">
      <c r="A639" s="4">
        <v>45495</v>
      </c>
      <c r="B639" s="5">
        <f>(Cotacoes!B639-Cotacoes!B638)/Cotacoes!B638</f>
        <v>-9.8204264870931264E-3</v>
      </c>
      <c r="C639" s="5">
        <f>(Cotacoes!C639-Cotacoes!C638)/Cotacoes!C638</f>
        <v>-1.0909090909091322E-3</v>
      </c>
      <c r="D639" s="5">
        <f>(Cotacoes!D639-Cotacoes!D638)/Cotacoes!D638</f>
        <v>-1.9993941229930222E-2</v>
      </c>
      <c r="E639" s="5">
        <f>(Cotacoes!E639-Cotacoes!E638)/Cotacoes!E638</f>
        <v>-3.4855350296275926E-4</v>
      </c>
      <c r="F639" s="5">
        <f>(Cotacoes!F639-Cotacoes!F638)/Cotacoes!F638</f>
        <v>-1.5282022784106813E-2</v>
      </c>
      <c r="G639" s="5">
        <f>(Cotacoes!G639-Cotacoes!G638)/Cotacoes!G638</f>
        <v>-2.3804371348192907E-3</v>
      </c>
      <c r="H639" s="5">
        <f>(Cotacoes!H639-Cotacoes!H638)/Cotacoes!H638</f>
        <v>1.1971268954509631E-3</v>
      </c>
      <c r="I639" s="5">
        <f>(Cotacoes!I639-Cotacoes!I638)/Cotacoes!I638</f>
        <v>2.0276226858654062E-2</v>
      </c>
      <c r="J639" s="5">
        <f>(Cotacoes!J639-Cotacoes!J638)/Cotacoes!J638</f>
        <v>2.473498233215541E-2</v>
      </c>
      <c r="K639" s="5">
        <f>(Cotacoes!K639-Cotacoes!K638)/Cotacoes!K638</f>
        <v>1.1443661971831056E-2</v>
      </c>
      <c r="L639" s="5">
        <f>(Cotacoes!L639-Cotacoes!L638)/Cotacoes!L638</f>
        <v>1.1039558417663386E-2</v>
      </c>
      <c r="M639" s="5">
        <f>(Cotacoes!M639-Cotacoes!M638)/Cotacoes!M638</f>
        <v>6.4575645756457826E-3</v>
      </c>
      <c r="N639" s="5">
        <f>(Cotacoes!N639-Cotacoes!N638)/Cotacoes!N638</f>
        <v>2.2421524663676653E-3</v>
      </c>
      <c r="O639" s="5">
        <f>(Cotacoes!O639-Cotacoes!O638)/Cotacoes!O638</f>
        <v>4.1639974375401205E-3</v>
      </c>
      <c r="P639" s="5">
        <f>(Cotacoes!P639-Cotacoes!P638)/Cotacoes!P638</f>
        <v>-7.0395371263259274E-2</v>
      </c>
      <c r="Q639" s="5">
        <f>(Cotacoes!Q639-Cotacoes!Q638)/Cotacoes!Q638</f>
        <v>-5.9432515337422389E-3</v>
      </c>
      <c r="R639" s="5">
        <f>(Cotacoes!R639-Cotacoes!R638)/Cotacoes!R638</f>
        <v>1.2613195342820084E-2</v>
      </c>
      <c r="S639" s="5">
        <f>(Cotacoes!S639-Cotacoes!S638)/Cotacoes!S638</f>
        <v>2.0313942751615775E-2</v>
      </c>
      <c r="T639" s="5">
        <f>(Cotacoes!T639-Cotacoes!T638)/Cotacoes!T638</f>
        <v>-1.3247957606535691E-2</v>
      </c>
      <c r="U639" s="5">
        <f>(Cotacoes!U639-Cotacoes!U638)/Cotacoes!U638</f>
        <v>-1.0677020140742483E-2</v>
      </c>
      <c r="V639" s="5">
        <f>(Cotacoes!V639-Cotacoes!V638)/Cotacoes!V638</f>
        <v>2.190580503833469E-3</v>
      </c>
      <c r="W639" s="5"/>
    </row>
    <row r="640" spans="1:23" x14ac:dyDescent="0.2">
      <c r="A640" s="4">
        <v>45496</v>
      </c>
      <c r="B640" s="5">
        <f>(Cotacoes!B640-Cotacoes!B639)/Cotacoes!B639</f>
        <v>-1.2279210352319793E-3</v>
      </c>
      <c r="C640" s="5">
        <f>(Cotacoes!C640-Cotacoes!C639)/Cotacoes!C639</f>
        <v>-1.3469239170003549E-2</v>
      </c>
      <c r="D640" s="5">
        <f>(Cotacoes!D640-Cotacoes!D639)/Cotacoes!D639</f>
        <v>-1.2673879443585785E-2</v>
      </c>
      <c r="E640" s="5">
        <f>(Cotacoes!E640-Cotacoes!E639)/Cotacoes!E639</f>
        <v>-1.3947001394699842E-3</v>
      </c>
      <c r="F640" s="5">
        <f>(Cotacoes!F640-Cotacoes!F639)/Cotacoes!F639</f>
        <v>-1.4108352144469528E-2</v>
      </c>
      <c r="G640" s="5">
        <f>(Cotacoes!G640-Cotacoes!G639)/Cotacoes!G639</f>
        <v>-2.6030368763558468E-3</v>
      </c>
      <c r="H640" s="5">
        <f>(Cotacoes!H640-Cotacoes!H639)/Cotacoes!H639</f>
        <v>-5.978477481068098E-3</v>
      </c>
      <c r="I640" s="5">
        <f>(Cotacoes!I640-Cotacoes!I639)/Cotacoes!I639</f>
        <v>-1.5552995391705045E-2</v>
      </c>
      <c r="J640" s="5">
        <f>(Cotacoes!J640-Cotacoes!J639)/Cotacoes!J639</f>
        <v>1.8850574712643686E-2</v>
      </c>
      <c r="K640" s="5">
        <f>(Cotacoes!K640-Cotacoes!K639)/Cotacoes!K639</f>
        <v>-6.9625761531766812E-3</v>
      </c>
      <c r="L640" s="5">
        <f>(Cotacoes!L640-Cotacoes!L639)/Cotacoes!L639</f>
        <v>-1.0009099181073651E-2</v>
      </c>
      <c r="M640" s="5">
        <f>(Cotacoes!M640-Cotacoes!M639)/Cotacoes!M639</f>
        <v>-2.7497708524289056E-3</v>
      </c>
      <c r="N640" s="5">
        <f>(Cotacoes!N640-Cotacoes!N639)/Cotacoes!N639</f>
        <v>-1.1185682326621885E-2</v>
      </c>
      <c r="O640" s="5">
        <f>(Cotacoes!O640-Cotacoes!O639)/Cotacoes!O639</f>
        <v>-2.4561403508772027E-2</v>
      </c>
      <c r="P640" s="5">
        <f>(Cotacoes!P640-Cotacoes!P639)/Cotacoes!P639</f>
        <v>8.4802904564315246E-2</v>
      </c>
      <c r="Q640" s="5">
        <f>(Cotacoes!Q640-Cotacoes!Q639)/Cotacoes!Q639</f>
        <v>-3.2786885245901969E-3</v>
      </c>
      <c r="R640" s="5">
        <f>(Cotacoes!R640-Cotacoes!R639)/Cotacoes!R639</f>
        <v>1.5969338869371037E-3</v>
      </c>
      <c r="S640" s="5">
        <f>(Cotacoes!S640-Cotacoes!S639)/Cotacoes!S639</f>
        <v>-1.2368024132729912E-2</v>
      </c>
      <c r="T640" s="5">
        <f>(Cotacoes!T640-Cotacoes!T639)/Cotacoes!T639</f>
        <v>-1.9914969791899769E-2</v>
      </c>
      <c r="U640" s="5">
        <f>(Cotacoes!U640-Cotacoes!U639)/Cotacoes!U639</f>
        <v>1.0056414029923879E-2</v>
      </c>
      <c r="V640" s="5">
        <f>(Cotacoes!V640-Cotacoes!V639)/Cotacoes!V639</f>
        <v>-1.2750455373406116E-2</v>
      </c>
      <c r="W640" s="5"/>
    </row>
    <row r="641" spans="1:23" x14ac:dyDescent="0.2">
      <c r="A641" s="4">
        <v>45497</v>
      </c>
      <c r="B641" s="5">
        <f>(Cotacoes!B641-Cotacoes!B640)/Cotacoes!B640</f>
        <v>-3.0262909022129108E-3</v>
      </c>
      <c r="C641" s="5">
        <f>(Cotacoes!C641-Cotacoes!C640)/Cotacoes!C640</f>
        <v>6.0885608856088239E-3</v>
      </c>
      <c r="D641" s="5">
        <f>(Cotacoes!D641-Cotacoes!D640)/Cotacoes!D640</f>
        <v>7.8271759549153556E-3</v>
      </c>
      <c r="E641" s="5">
        <f>(Cotacoes!E641-Cotacoes!E640)/Cotacoes!E640</f>
        <v>-1.7458100558659466E-3</v>
      </c>
      <c r="F641" s="5">
        <f>(Cotacoes!F641-Cotacoes!F640)/Cotacoes!F640</f>
        <v>1.0017172295363521E-2</v>
      </c>
      <c r="G641" s="5">
        <f>(Cotacoes!G641-Cotacoes!G640)/Cotacoes!G640</f>
        <v>-8.4819486733360913E-3</v>
      </c>
      <c r="H641" s="5">
        <f>(Cotacoes!H641-Cotacoes!H640)/Cotacoes!H640</f>
        <v>-4.0096230954290869E-3</v>
      </c>
      <c r="I641" s="5">
        <f>(Cotacoes!I641-Cotacoes!I640)/Cotacoes!I640</f>
        <v>1.1702750146284128E-3</v>
      </c>
      <c r="J641" s="5">
        <f>(Cotacoes!J641-Cotacoes!J640)/Cotacoes!J640</f>
        <v>6.3176895306859462E-3</v>
      </c>
      <c r="K641" s="5">
        <f>(Cotacoes!K641-Cotacoes!K640)/Cotacoes!K640</f>
        <v>8.7642418930760615E-4</v>
      </c>
      <c r="L641" s="5">
        <f>(Cotacoes!L641-Cotacoes!L640)/Cotacoes!L640</f>
        <v>-1.2867647058823581E-2</v>
      </c>
      <c r="M641" s="5">
        <f>(Cotacoes!M641-Cotacoes!M640)/Cotacoes!M640</f>
        <v>9.1911764705880389E-4</v>
      </c>
      <c r="N641" s="5">
        <f>(Cotacoes!N641-Cotacoes!N640)/Cotacoes!N640</f>
        <v>-2.2624434389139788E-3</v>
      </c>
      <c r="O641" s="5">
        <f>(Cotacoes!O641-Cotacoes!O640)/Cotacoes!O640</f>
        <v>9.4833224329628103E-3</v>
      </c>
      <c r="P641" s="5">
        <f>(Cotacoes!P641-Cotacoes!P640)/Cotacoes!P640</f>
        <v>-2.1754721491752251E-2</v>
      </c>
      <c r="Q641" s="5">
        <f>(Cotacoes!Q641-Cotacoes!Q640)/Cotacoes!Q640</f>
        <v>-1.3544891640866928E-3</v>
      </c>
      <c r="R641" s="5">
        <f>(Cotacoes!R641-Cotacoes!R640)/Cotacoes!R640</f>
        <v>-7.3341836734694011E-3</v>
      </c>
      <c r="S641" s="5">
        <f>(Cotacoes!S641-Cotacoes!S640)/Cotacoes!S640</f>
        <v>-1.7715332926084463E-2</v>
      </c>
      <c r="T641" s="5">
        <f>(Cotacoes!T641-Cotacoes!T640)/Cotacoes!T640</f>
        <v>5.0228310502283172E-2</v>
      </c>
      <c r="U641" s="5">
        <f>(Cotacoes!U641-Cotacoes!U640)/Cotacoes!U640</f>
        <v>-1.9426906265176856E-3</v>
      </c>
      <c r="V641" s="5">
        <f>(Cotacoes!V641-Cotacoes!V640)/Cotacoes!V640</f>
        <v>-1.1070110701107036E-2</v>
      </c>
      <c r="W641" s="5"/>
    </row>
    <row r="642" spans="1:23" x14ac:dyDescent="0.2">
      <c r="A642" s="4">
        <v>45498</v>
      </c>
      <c r="B642" s="5">
        <f>(Cotacoes!B642-Cotacoes!B641)/Cotacoes!B641</f>
        <v>1.0813887307911217E-2</v>
      </c>
      <c r="C642" s="5">
        <f>(Cotacoes!C642-Cotacoes!C641)/Cotacoes!C641</f>
        <v>-3.6677058499914042E-4</v>
      </c>
      <c r="D642" s="5">
        <f>(Cotacoes!D642-Cotacoes!D641)/Cotacoes!D641</f>
        <v>-1.2426219322770782E-3</v>
      </c>
      <c r="E642" s="5">
        <f>(Cotacoes!E642-Cotacoes!E641)/Cotacoes!E641</f>
        <v>-4.1972717733473591E-3</v>
      </c>
      <c r="F642" s="5">
        <f>(Cotacoes!F642-Cotacoes!F641)/Cotacoes!F641</f>
        <v>-3.9671294984415014E-3</v>
      </c>
      <c r="G642" s="5">
        <f>(Cotacoes!G642-Cotacoes!G641)/Cotacoes!G641</f>
        <v>-1.5134898003948339E-2</v>
      </c>
      <c r="H642" s="5">
        <f>(Cotacoes!H642-Cotacoes!H641)/Cotacoes!H641</f>
        <v>8.0515297906600541E-4</v>
      </c>
      <c r="I642" s="5">
        <f>(Cotacoes!I642-Cotacoes!I641)/Cotacoes!I641</f>
        <v>8.7668030391585116E-3</v>
      </c>
      <c r="J642" s="5">
        <f>(Cotacoes!J642-Cotacoes!J641)/Cotacoes!J641</f>
        <v>-2.7802690582959685E-2</v>
      </c>
      <c r="K642" s="5">
        <f>(Cotacoes!K642-Cotacoes!K641)/Cotacoes!K641</f>
        <v>-1.5761821366024494E-2</v>
      </c>
      <c r="L642" s="5">
        <f>(Cotacoes!L642-Cotacoes!L641)/Cotacoes!L641</f>
        <v>-1.2104283054003797E-2</v>
      </c>
      <c r="M642" s="5">
        <f>(Cotacoes!M642-Cotacoes!M641)/Cotacoes!M641</f>
        <v>5.5096418732781191E-3</v>
      </c>
      <c r="N642" s="5">
        <f>(Cotacoes!N642-Cotacoes!N641)/Cotacoes!N641</f>
        <v>-7.936507936507969E-3</v>
      </c>
      <c r="O642" s="5">
        <f>(Cotacoes!O642-Cotacoes!O641)/Cotacoes!O641</f>
        <v>2.2675736961451339E-3</v>
      </c>
      <c r="P642" s="5">
        <f>(Cotacoes!P642-Cotacoes!P641)/Cotacoes!P641</f>
        <v>-7.8201368523949238E-3</v>
      </c>
      <c r="Q642" s="5">
        <f>(Cotacoes!Q642-Cotacoes!Q641)/Cotacoes!Q641</f>
        <v>-1.0656849447781383E-2</v>
      </c>
      <c r="R642" s="5">
        <f>(Cotacoes!R642-Cotacoes!R641)/Cotacoes!R641</f>
        <v>2.891101831031155E-3</v>
      </c>
      <c r="S642" s="5">
        <f>(Cotacoes!S642-Cotacoes!S641)/Cotacoes!S641</f>
        <v>4.3532338308457895E-3</v>
      </c>
      <c r="T642" s="5">
        <f>(Cotacoes!T642-Cotacoes!T641)/Cotacoes!T641</f>
        <v>-3.9130434782608638E-3</v>
      </c>
      <c r="U642" s="5">
        <f>(Cotacoes!U642-Cotacoes!U641)/Cotacoes!U641</f>
        <v>-5.3527980535279527E-3</v>
      </c>
      <c r="V642" s="5">
        <f>(Cotacoes!V642-Cotacoes!V641)/Cotacoes!V641</f>
        <v>-1.5671641791044841E-2</v>
      </c>
      <c r="W642" s="5"/>
    </row>
    <row r="643" spans="1:23" x14ac:dyDescent="0.2">
      <c r="A643" s="4">
        <v>45499</v>
      </c>
      <c r="B643" s="5">
        <f>(Cotacoes!B643-Cotacoes!B642)/Cotacoes!B642</f>
        <v>-3.3783783783783729E-3</v>
      </c>
      <c r="C643" s="5">
        <f>(Cotacoes!C643-Cotacoes!C642)/Cotacoes!C642</f>
        <v>1.4859658778205876E-2</v>
      </c>
      <c r="D643" s="5">
        <f>(Cotacoes!D643-Cotacoes!D642)/Cotacoes!D642</f>
        <v>-1.2441679626749346E-3</v>
      </c>
      <c r="E643" s="5">
        <f>(Cotacoes!E643-Cotacoes!E642)/Cotacoes!E642</f>
        <v>7.3761854583772697E-3</v>
      </c>
      <c r="F643" s="5">
        <f>(Cotacoes!F643-Cotacoes!F642)/Cotacoes!F642</f>
        <v>2.8449502133713065E-3</v>
      </c>
      <c r="G643" s="5">
        <f>(Cotacoes!G643-Cotacoes!G642)/Cotacoes!G642</f>
        <v>2.1158129175946613E-2</v>
      </c>
      <c r="H643" s="5">
        <f>(Cotacoes!H643-Cotacoes!H642)/Cotacoes!H642</f>
        <v>8.4473049074819326E-3</v>
      </c>
      <c r="I643" s="5">
        <f>(Cotacoes!I643-Cotacoes!I642)/Cotacoes!I642</f>
        <v>1.9698725376593271E-2</v>
      </c>
      <c r="J643" s="5">
        <f>(Cotacoes!J643-Cotacoes!J642)/Cotacoes!J642</f>
        <v>9.2250922509223127E-4</v>
      </c>
      <c r="K643" s="5">
        <f>(Cotacoes!K643-Cotacoes!K642)/Cotacoes!K642</f>
        <v>8.0071174377224063E-3</v>
      </c>
      <c r="L643" s="5">
        <f>(Cotacoes!L643-Cotacoes!L642)/Cotacoes!L642</f>
        <v>4.7125353440151474E-3</v>
      </c>
      <c r="M643" s="5">
        <f>(Cotacoes!M643-Cotacoes!M642)/Cotacoes!M642</f>
        <v>2.7397260273973644E-3</v>
      </c>
      <c r="N643" s="5">
        <f>(Cotacoes!N643-Cotacoes!N642)/Cotacoes!N642</f>
        <v>1.2571428571428506E-2</v>
      </c>
      <c r="O643" s="5">
        <f>(Cotacoes!O643-Cotacoes!O642)/Cotacoes!O642</f>
        <v>6.7226890756302574E-2</v>
      </c>
      <c r="P643" s="5">
        <f>(Cotacoes!P643-Cotacoes!P642)/Cotacoes!P642</f>
        <v>2.1674876847290529E-2</v>
      </c>
      <c r="Q643" s="5">
        <f>(Cotacoes!Q643-Cotacoes!Q642)/Cotacoes!Q642</f>
        <v>-1.292596944770865E-2</v>
      </c>
      <c r="R643" s="5">
        <f>(Cotacoes!R643-Cotacoes!R642)/Cotacoes!R642</f>
        <v>1.6335682254964817E-2</v>
      </c>
      <c r="S643" s="5">
        <f>(Cotacoes!S643-Cotacoes!S642)/Cotacoes!S642</f>
        <v>1.1455108359133269E-2</v>
      </c>
      <c r="T643" s="5">
        <f>(Cotacoes!T643-Cotacoes!T642)/Cotacoes!T642</f>
        <v>3.6665211697948487E-2</v>
      </c>
      <c r="U643" s="5">
        <f>(Cotacoes!U643-Cotacoes!U642)/Cotacoes!U642</f>
        <v>2.0058708414872804E-2</v>
      </c>
      <c r="V643" s="5">
        <f>(Cotacoes!V643-Cotacoes!V642)/Cotacoes!V642</f>
        <v>3.752843062926467E-2</v>
      </c>
      <c r="W643" s="5"/>
    </row>
    <row r="644" spans="1:23" x14ac:dyDescent="0.2">
      <c r="A644" s="4">
        <v>45502</v>
      </c>
      <c r="B644" s="5">
        <f>(Cotacoes!B644-Cotacoes!B643)/Cotacoes!B643</f>
        <v>-6.5913370998117024E-3</v>
      </c>
      <c r="C644" s="5">
        <f>(Cotacoes!C644-Cotacoes!C643)/Cotacoes!C643</f>
        <v>1.6268980477222759E-3</v>
      </c>
      <c r="D644" s="5">
        <f>(Cotacoes!D644-Cotacoes!D643)/Cotacoes!D643</f>
        <v>-1.9931485518530072E-2</v>
      </c>
      <c r="E644" s="5">
        <f>(Cotacoes!E644-Cotacoes!E643)/Cotacoes!E643</f>
        <v>7.3221757322176027E-3</v>
      </c>
      <c r="F644" s="5">
        <f>(Cotacoes!F644-Cotacoes!F643)/Cotacoes!F643</f>
        <v>-2.5248226950354627E-2</v>
      </c>
      <c r="G644" s="5">
        <f>(Cotacoes!G644-Cotacoes!G643)/Cotacoes!G643</f>
        <v>-9.3784078516902878E-3</v>
      </c>
      <c r="H644" s="5">
        <f>(Cotacoes!H644-Cotacoes!H643)/Cotacoes!H643</f>
        <v>1.5955325089748364E-3</v>
      </c>
      <c r="I644" s="5">
        <f>(Cotacoes!I644-Cotacoes!I643)/Cotacoes!I643</f>
        <v>-4.5454545454546502E-3</v>
      </c>
      <c r="J644" s="5">
        <f>(Cotacoes!J644-Cotacoes!J643)/Cotacoes!J643</f>
        <v>-2.7649769585252866E-3</v>
      </c>
      <c r="K644" s="5">
        <f>(Cotacoes!K644-Cotacoes!K643)/Cotacoes!K643</f>
        <v>3.5304501323918046E-3</v>
      </c>
      <c r="L644" s="5">
        <f>(Cotacoes!L644-Cotacoes!L643)/Cotacoes!L643</f>
        <v>-9.3808630393995909E-3</v>
      </c>
      <c r="M644" s="5">
        <f>(Cotacoes!M644-Cotacoes!M643)/Cotacoes!M643</f>
        <v>-5.464480874316985E-3</v>
      </c>
      <c r="N644" s="5">
        <f>(Cotacoes!N644-Cotacoes!N643)/Cotacoes!N643</f>
        <v>3.386004514672815E-3</v>
      </c>
      <c r="O644" s="5">
        <f>(Cotacoes!O644-Cotacoes!O643)/Cotacoes!O643</f>
        <v>1.6959418534221535E-2</v>
      </c>
      <c r="P644" s="5">
        <f>(Cotacoes!P644-Cotacoes!P643)/Cotacoes!P643</f>
        <v>-1.012536162005773E-2</v>
      </c>
      <c r="Q644" s="5">
        <f>(Cotacoes!Q644-Cotacoes!Q643)/Cotacoes!Q643</f>
        <v>1.9047619047619067E-2</v>
      </c>
      <c r="R644" s="5">
        <f>(Cotacoes!R644-Cotacoes!R643)/Cotacoes!R643</f>
        <v>-8.5092971950835039E-3</v>
      </c>
      <c r="S644" s="5">
        <f>(Cotacoes!S644-Cotacoes!S643)/Cotacoes!S643</f>
        <v>-9.182736455463858E-3</v>
      </c>
      <c r="T644" s="5">
        <f>(Cotacoes!T644-Cotacoes!T643)/Cotacoes!T643</f>
        <v>-6.7368421052631635E-3</v>
      </c>
      <c r="U644" s="5">
        <f>(Cotacoes!U644-Cotacoes!U643)/Cotacoes!U643</f>
        <v>-3.0215827338129619E-2</v>
      </c>
      <c r="V644" s="5">
        <f>(Cotacoes!V644-Cotacoes!V643)/Cotacoes!V643</f>
        <v>6.2111801242235344E-3</v>
      </c>
      <c r="W644" s="5"/>
    </row>
    <row r="645" spans="1:23" x14ac:dyDescent="0.2">
      <c r="A645" s="4">
        <v>45503</v>
      </c>
      <c r="B645" s="5">
        <f>(Cotacoes!B645-Cotacoes!B644)/Cotacoes!B644</f>
        <v>8.90995260663505E-3</v>
      </c>
      <c r="C645" s="5">
        <f>(Cotacoes!C645-Cotacoes!C644)/Cotacoes!C644</f>
        <v>-2.2017686338206079E-2</v>
      </c>
      <c r="D645" s="5">
        <f>(Cotacoes!D645-Cotacoes!D644)/Cotacoes!D644</f>
        <v>-6.3552589768032823E-3</v>
      </c>
      <c r="E645" s="5">
        <f>(Cotacoes!E645-Cotacoes!E644)/Cotacoes!E644</f>
        <v>-3.8075458636206102E-3</v>
      </c>
      <c r="F645" s="5">
        <f>(Cotacoes!F645-Cotacoes!F644)/Cotacoes!F644</f>
        <v>-7.2759022118742724E-3</v>
      </c>
      <c r="G645" s="5">
        <f>(Cotacoes!G645-Cotacoes!G644)/Cotacoes!G644</f>
        <v>-1.321003963011892E-2</v>
      </c>
      <c r="H645" s="5">
        <f>(Cotacoes!H645-Cotacoes!H644)/Cotacoes!H644</f>
        <v>-7.9649542015133128E-3</v>
      </c>
      <c r="I645" s="5">
        <f>(Cotacoes!I645-Cotacoes!I644)/Cotacoes!I644</f>
        <v>-5.1369863013698549E-3</v>
      </c>
      <c r="J645" s="5">
        <f>(Cotacoes!J645-Cotacoes!J644)/Cotacoes!J644</f>
        <v>9.1266173752309609E-3</v>
      </c>
      <c r="K645" s="5">
        <f>(Cotacoes!K645-Cotacoes!K644)/Cotacoes!K644</f>
        <v>-7.9155672823218882E-3</v>
      </c>
      <c r="L645" s="5">
        <f>(Cotacoes!L645-Cotacoes!L644)/Cotacoes!L644</f>
        <v>-8.5227272727272582E-3</v>
      </c>
      <c r="M645" s="5">
        <f>(Cotacoes!M645-Cotacoes!M644)/Cotacoes!M644</f>
        <v>-1.5567765567765561E-2</v>
      </c>
      <c r="N645" s="5">
        <f>(Cotacoes!N645-Cotacoes!N644)/Cotacoes!N644</f>
        <v>-7.8740157480315272E-3</v>
      </c>
      <c r="O645" s="5">
        <f>(Cotacoes!O645-Cotacoes!O644)/Cotacoes!O644</f>
        <v>2.9184038117927458E-2</v>
      </c>
      <c r="P645" s="5">
        <f>(Cotacoes!P645-Cotacoes!P644)/Cotacoes!P644</f>
        <v>4.2620555284948854E-2</v>
      </c>
      <c r="Q645" s="5">
        <f>(Cotacoes!Q645-Cotacoes!Q644)/Cotacoes!Q644</f>
        <v>1.2266355140186966E-2</v>
      </c>
      <c r="R645" s="5">
        <f>(Cotacoes!R645-Cotacoes!R644)/Cotacoes!R644</f>
        <v>-7.9465988556897647E-3</v>
      </c>
      <c r="S645" s="5">
        <f>(Cotacoes!S645-Cotacoes!S644)/Cotacoes!S644</f>
        <v>-1.2357120790855468E-3</v>
      </c>
      <c r="T645" s="5">
        <f>(Cotacoes!T645-Cotacoes!T644)/Cotacoes!T644</f>
        <v>-2.9673590504451161E-3</v>
      </c>
      <c r="U645" s="5">
        <f>(Cotacoes!U645-Cotacoes!U644)/Cotacoes!U644</f>
        <v>-1.310583580613257E-2</v>
      </c>
      <c r="V645" s="5">
        <f>(Cotacoes!V645-Cotacoes!V644)/Cotacoes!V644</f>
        <v>-2.9048656499636272E-3</v>
      </c>
      <c r="W645" s="5"/>
    </row>
    <row r="646" spans="1:23" x14ac:dyDescent="0.2">
      <c r="A646" s="4">
        <v>45504</v>
      </c>
      <c r="B646" s="5">
        <f>(Cotacoes!B646-Cotacoes!B645)/Cotacoes!B645</f>
        <v>9.3949642991404699E-5</v>
      </c>
      <c r="C646" s="5">
        <f>(Cotacoes!C646-Cotacoes!C645)/Cotacoes!C645</f>
        <v>2.3436058313342004E-2</v>
      </c>
      <c r="D646" s="5">
        <f>(Cotacoes!D646-Cotacoes!D645)/Cotacoes!D645</f>
        <v>2.078669651423096E-2</v>
      </c>
      <c r="E646" s="5">
        <f>(Cotacoes!E646-Cotacoes!E645)/Cotacoes!E645</f>
        <v>-1.3898540653231484E-2</v>
      </c>
      <c r="F646" s="5">
        <f>(Cotacoes!F646-Cotacoes!F645)/Cotacoes!F645</f>
        <v>2.6971562591615414E-2</v>
      </c>
      <c r="G646" s="5">
        <f>(Cotacoes!G646-Cotacoes!G645)/Cotacoes!G645</f>
        <v>0.10464078536367688</v>
      </c>
      <c r="H646" s="5">
        <f>(Cotacoes!H646-Cotacoes!H645)/Cotacoes!H645</f>
        <v>-1.4853472501003653E-2</v>
      </c>
      <c r="I646" s="5">
        <f>(Cotacoes!I646-Cotacoes!I645)/Cotacoes!I645</f>
        <v>4.1594951233505532E-2</v>
      </c>
      <c r="J646" s="5">
        <f>(Cotacoes!J646-Cotacoes!J645)/Cotacoes!J645</f>
        <v>1.0188895248998291E-2</v>
      </c>
      <c r="K646" s="5">
        <f>(Cotacoes!K646-Cotacoes!K645)/Cotacoes!K645</f>
        <v>2.6595744680852074E-3</v>
      </c>
      <c r="L646" s="5">
        <f>(Cotacoes!L646-Cotacoes!L645)/Cotacoes!L645</f>
        <v>8.5959885386819347E-3</v>
      </c>
      <c r="M646" s="5">
        <f>(Cotacoes!M646-Cotacoes!M645)/Cotacoes!M645</f>
        <v>-4.6511627906977403E-3</v>
      </c>
      <c r="N646" s="5">
        <f>(Cotacoes!N646-Cotacoes!N645)/Cotacoes!N645</f>
        <v>-6.8027210884354303E-3</v>
      </c>
      <c r="O646" s="5">
        <f>(Cotacoes!O646-Cotacoes!O645)/Cotacoes!O645</f>
        <v>-2.4305555555555653E-2</v>
      </c>
      <c r="P646" s="5">
        <f>(Cotacoes!P646-Cotacoes!P645)/Cotacoes!P645</f>
        <v>2.219107685120289E-2</v>
      </c>
      <c r="Q646" s="5">
        <f>(Cotacoes!Q646-Cotacoes!Q645)/Cotacoes!Q645</f>
        <v>8.0784766301210727E-3</v>
      </c>
      <c r="R646" s="5">
        <f>(Cotacoes!R646-Cotacoes!R645)/Cotacoes!R645</f>
        <v>1.7622556872797204E-2</v>
      </c>
      <c r="S646" s="5">
        <f>(Cotacoes!S646-Cotacoes!S645)/Cotacoes!S645</f>
        <v>9.5886173832354562E-3</v>
      </c>
      <c r="T646" s="5">
        <f>(Cotacoes!T646-Cotacoes!T645)/Cotacoes!T645</f>
        <v>2.1471088435374108E-2</v>
      </c>
      <c r="U646" s="5">
        <f>(Cotacoes!U646-Cotacoes!U645)/Cotacoes!U645</f>
        <v>4.2595840641443325E-2</v>
      </c>
      <c r="V646" s="5">
        <f>(Cotacoes!V646-Cotacoes!V645)/Cotacoes!V645</f>
        <v>-2.0757465404224337E-2</v>
      </c>
      <c r="W646" s="5"/>
    </row>
    <row r="647" spans="1:23" x14ac:dyDescent="0.2">
      <c r="A647" s="4">
        <v>45505</v>
      </c>
      <c r="B647" s="5">
        <f>(Cotacoes!B647-Cotacoes!B646)/Cotacoes!B646</f>
        <v>-1.2963832785345323E-2</v>
      </c>
      <c r="C647" s="5">
        <f>(Cotacoes!C647-Cotacoes!C646)/Cotacoes!C646</f>
        <v>-2.2358456545257879E-2</v>
      </c>
      <c r="D647" s="5">
        <f>(Cotacoes!D647-Cotacoes!D646)/Cotacoes!D646</f>
        <v>-1.5350877192982518E-2</v>
      </c>
      <c r="E647" s="5">
        <f>(Cotacoes!E647-Cotacoes!E646)/Cotacoes!E646</f>
        <v>-1.479915433403799E-2</v>
      </c>
      <c r="F647" s="5">
        <f>(Cotacoes!F647-Cotacoes!F646)/Cotacoes!F646</f>
        <v>-1.8270054239223538E-2</v>
      </c>
      <c r="G647" s="5">
        <f>(Cotacoes!G647-Cotacoes!G646)/Cotacoes!G646</f>
        <v>4.3021611795596902E-2</v>
      </c>
      <c r="H647" s="5">
        <f>(Cotacoes!H647-Cotacoes!H646)/Cotacoes!H646</f>
        <v>-6.5199674001630049E-3</v>
      </c>
      <c r="I647" s="5">
        <f>(Cotacoes!I647-Cotacoes!I646)/Cotacoes!I646</f>
        <v>1.4871936105755965E-2</v>
      </c>
      <c r="J647" s="5">
        <f>(Cotacoes!J647-Cotacoes!J646)/Cotacoes!J646</f>
        <v>1.5752493200362656E-2</v>
      </c>
      <c r="K647" s="5">
        <f>(Cotacoes!K647-Cotacoes!K646)/Cotacoes!K646</f>
        <v>1.2378426171529512E-2</v>
      </c>
      <c r="L647" s="5">
        <f>(Cotacoes!L647-Cotacoes!L646)/Cotacoes!L646</f>
        <v>1.8939393939393534E-3</v>
      </c>
      <c r="M647" s="5">
        <f>(Cotacoes!M647-Cotacoes!M646)/Cotacoes!M646</f>
        <v>1.4018691588785081E-2</v>
      </c>
      <c r="N647" s="5">
        <f>(Cotacoes!N647-Cotacoes!N646)/Cotacoes!N646</f>
        <v>-1.9406392694063919E-2</v>
      </c>
      <c r="O647" s="5">
        <f>(Cotacoes!O647-Cotacoes!O646)/Cotacoes!O646</f>
        <v>2.3131672597864802E-2</v>
      </c>
      <c r="P647" s="5">
        <f>(Cotacoes!P647-Cotacoes!P646)/Cotacoes!P646</f>
        <v>-4.0676416819012823E-2</v>
      </c>
      <c r="Q647" s="5">
        <f>(Cotacoes!Q647-Cotacoes!Q646)/Cotacoes!Q646</f>
        <v>-9.54016409082182E-4</v>
      </c>
      <c r="R647" s="5">
        <f>(Cotacoes!R647-Cotacoes!R646)/Cotacoes!R646</f>
        <v>4.7229219143576379E-3</v>
      </c>
      <c r="S647" s="5">
        <f>(Cotacoes!S647-Cotacoes!S646)/Cotacoes!S646</f>
        <v>7.9656862745097427E-3</v>
      </c>
      <c r="T647" s="5">
        <f>(Cotacoes!T647-Cotacoes!T646)/Cotacoes!T646</f>
        <v>-1.2486992715919911E-3</v>
      </c>
      <c r="U647" s="5">
        <f>(Cotacoes!U647-Cotacoes!U646)/Cotacoes!U646</f>
        <v>-1.6822879115597281E-3</v>
      </c>
      <c r="V647" s="5">
        <f>(Cotacoes!V647-Cotacoes!V646)/Cotacoes!V646</f>
        <v>1.6734845667534373E-2</v>
      </c>
      <c r="W647" s="5"/>
    </row>
    <row r="648" spans="1:23" x14ac:dyDescent="0.2">
      <c r="A648" s="4">
        <v>45506</v>
      </c>
      <c r="B648" s="5">
        <f>(Cotacoes!B648-Cotacoes!B647)/Cotacoes!B647</f>
        <v>-5.3297801465688405E-3</v>
      </c>
      <c r="C648" s="5">
        <f>(Cotacoes!C648-Cotacoes!C647)/Cotacoes!C647</f>
        <v>-1.4016967908520805E-2</v>
      </c>
      <c r="D648" s="5">
        <f>(Cotacoes!D648-Cotacoes!D647)/Cotacoes!D647</f>
        <v>-2.9907731466751554E-2</v>
      </c>
      <c r="E648" s="5">
        <f>(Cotacoes!E648-Cotacoes!E647)/Cotacoes!E647</f>
        <v>-1.251788268955656E-2</v>
      </c>
      <c r="F648" s="5">
        <f>(Cotacoes!F648-Cotacoes!F647)/Cotacoes!F647</f>
        <v>-3.0532131433556185E-2</v>
      </c>
      <c r="G648" s="5">
        <f>(Cotacoes!G648-Cotacoes!G647)/Cotacoes!G647</f>
        <v>-5.7126258714175114E-2</v>
      </c>
      <c r="H648" s="5">
        <f>(Cotacoes!H648-Cotacoes!H647)/Cotacoes!H647</f>
        <v>-8.2034454470877472E-3</v>
      </c>
      <c r="I648" s="5">
        <f>(Cotacoes!I648-Cotacoes!I647)/Cotacoes!I647</f>
        <v>-4.5047489823609323E-2</v>
      </c>
      <c r="J648" s="5">
        <f>(Cotacoes!J648-Cotacoes!J647)/Cotacoes!J647</f>
        <v>-3.5702331808545487E-3</v>
      </c>
      <c r="K648" s="5">
        <f>(Cotacoes!K648-Cotacoes!K647)/Cotacoes!K647</f>
        <v>6.1135371179039553E-3</v>
      </c>
      <c r="L648" s="5">
        <f>(Cotacoes!L648-Cotacoes!L647)/Cotacoes!L647</f>
        <v>-9.4517958412096285E-4</v>
      </c>
      <c r="M648" s="5">
        <f>(Cotacoes!M648-Cotacoes!M647)/Cotacoes!M647</f>
        <v>1.1059907834101474E-2</v>
      </c>
      <c r="N648" s="5">
        <f>(Cotacoes!N648-Cotacoes!N647)/Cotacoes!N647</f>
        <v>-1.3969732246798513E-2</v>
      </c>
      <c r="O648" s="5">
        <f>(Cotacoes!O648-Cotacoes!O647)/Cotacoes!O647</f>
        <v>-3.8840579710145026E-2</v>
      </c>
      <c r="P648" s="5">
        <f>(Cotacoes!P648-Cotacoes!P647)/Cotacoes!P647</f>
        <v>-6.5983801810385809E-2</v>
      </c>
      <c r="Q648" s="5">
        <f>(Cotacoes!Q648-Cotacoes!Q647)/Cotacoes!Q647</f>
        <v>-1.4896867838044331E-2</v>
      </c>
      <c r="R648" s="5">
        <f>(Cotacoes!R648-Cotacoes!R647)/Cotacoes!R647</f>
        <v>-9.4014415543720268E-4</v>
      </c>
      <c r="S648" s="5">
        <f>(Cotacoes!S648-Cotacoes!S647)/Cotacoes!S647</f>
        <v>4.8632218844985925E-3</v>
      </c>
      <c r="T648" s="5">
        <f>(Cotacoes!T648-Cotacoes!T647)/Cotacoes!T647</f>
        <v>-4.1258595540737734E-2</v>
      </c>
      <c r="U648" s="5">
        <f>(Cotacoes!U648-Cotacoes!U647)/Cotacoes!U647</f>
        <v>3.0091478093403949E-2</v>
      </c>
      <c r="V648" s="5">
        <f>(Cotacoes!V648-Cotacoes!V647)/Cotacoes!V647</f>
        <v>-2.5603511338697983E-3</v>
      </c>
      <c r="W648" s="5"/>
    </row>
    <row r="649" spans="1:23" x14ac:dyDescent="0.2">
      <c r="A649" s="4">
        <v>45509</v>
      </c>
      <c r="B649" s="5">
        <f>(Cotacoes!B649-Cotacoes!B648)/Cotacoes!B648</f>
        <v>1.2917424169935837E-2</v>
      </c>
      <c r="C649" s="5">
        <f>(Cotacoes!C649-Cotacoes!C648)/Cotacoes!C648</f>
        <v>-1.047512158623274E-2</v>
      </c>
      <c r="D649" s="5">
        <f>(Cotacoes!D649-Cotacoes!D648)/Cotacoes!D648</f>
        <v>-9.8392915710060957E-4</v>
      </c>
      <c r="E649" s="5">
        <f>(Cotacoes!E649-Cotacoes!E648)/Cotacoes!E648</f>
        <v>0</v>
      </c>
      <c r="F649" s="5">
        <f>(Cotacoes!F649-Cotacoes!F648)/Cotacoes!F648</f>
        <v>-8.0983803239353062E-3</v>
      </c>
      <c r="G649" s="5">
        <f>(Cotacoes!G649-Cotacoes!G648)/Cotacoes!G648</f>
        <v>-1.5608954610803E-2</v>
      </c>
      <c r="H649" s="5">
        <f>(Cotacoes!H649-Cotacoes!H648)/Cotacoes!H648</f>
        <v>1.6542597187758125E-3</v>
      </c>
      <c r="I649" s="5">
        <f>(Cotacoes!I649-Cotacoes!I648)/Cotacoes!I648</f>
        <v>-1.7334470019891999E-2</v>
      </c>
      <c r="J649" s="5">
        <f>(Cotacoes!J649-Cotacoes!J648)/Cotacoes!J648</f>
        <v>-7.7258985555928531E-3</v>
      </c>
      <c r="K649" s="5">
        <f>(Cotacoes!K649-Cotacoes!K648)/Cotacoes!K648</f>
        <v>7.6388888888888964E-2</v>
      </c>
      <c r="L649" s="5">
        <f>(Cotacoes!L649-Cotacoes!L648)/Cotacoes!L648</f>
        <v>0</v>
      </c>
      <c r="M649" s="5">
        <f>(Cotacoes!M649-Cotacoes!M648)/Cotacoes!M648</f>
        <v>-1.8231540565178987E-3</v>
      </c>
      <c r="N649" s="5">
        <f>(Cotacoes!N649-Cotacoes!N648)/Cotacoes!N648</f>
        <v>-2.3612750885479749E-3</v>
      </c>
      <c r="O649" s="5">
        <f>(Cotacoes!O649-Cotacoes!O648)/Cotacoes!O648</f>
        <v>-6.332931242460608E-3</v>
      </c>
      <c r="P649" s="5">
        <f>(Cotacoes!P649-Cotacoes!P648)/Cotacoes!P648</f>
        <v>-1.3261922978832011E-2</v>
      </c>
      <c r="Q649" s="5">
        <f>(Cotacoes!Q649-Cotacoes!Q648)/Cotacoes!Q648</f>
        <v>5.8162078324934345E-4</v>
      </c>
      <c r="R649" s="5">
        <f>(Cotacoes!R649-Cotacoes!R648)/Cotacoes!R648</f>
        <v>-2.8858218318695051E-2</v>
      </c>
      <c r="S649" s="5">
        <f>(Cotacoes!S649-Cotacoes!S648)/Cotacoes!S648</f>
        <v>-1.330913490623124E-2</v>
      </c>
      <c r="T649" s="5">
        <f>(Cotacoes!T649-Cotacoes!T648)/Cotacoes!T648</f>
        <v>-2.9124103455770406E-2</v>
      </c>
      <c r="U649" s="5">
        <f>(Cotacoes!U649-Cotacoes!U648)/Cotacoes!U648</f>
        <v>-2.5239541949053479E-2</v>
      </c>
      <c r="V649" s="5">
        <f>(Cotacoes!V649-Cotacoes!V648)/Cotacoes!V648</f>
        <v>-2.2002200220021924E-2</v>
      </c>
      <c r="W649" s="5"/>
    </row>
    <row r="650" spans="1:23" x14ac:dyDescent="0.2">
      <c r="A650" s="4">
        <v>45510</v>
      </c>
      <c r="B650" s="5">
        <f>(Cotacoes!B650-Cotacoes!B649)/Cotacoes!B649</f>
        <v>4.5342905724542228E-3</v>
      </c>
      <c r="C650" s="5">
        <f>(Cotacoes!C650-Cotacoes!C649)/Cotacoes!C649</f>
        <v>5.1039697542533671E-3</v>
      </c>
      <c r="D650" s="5">
        <f>(Cotacoes!D650-Cotacoes!D649)/Cotacoes!D649</f>
        <v>1.7399868680236297E-2</v>
      </c>
      <c r="E650" s="5">
        <f>(Cotacoes!E650-Cotacoes!E649)/Cotacoes!E649</f>
        <v>2.2093444404201357E-2</v>
      </c>
      <c r="F650" s="5">
        <f>(Cotacoes!F650-Cotacoes!F649)/Cotacoes!F649</f>
        <v>2.086483217417592E-2</v>
      </c>
      <c r="G650" s="5">
        <f>(Cotacoes!G650-Cotacoes!G649)/Cotacoes!G649</f>
        <v>2.2950135614437602E-3</v>
      </c>
      <c r="H650" s="5">
        <f>(Cotacoes!H650-Cotacoes!H649)/Cotacoes!H649</f>
        <v>1.7341040462427817E-2</v>
      </c>
      <c r="I650" s="5">
        <f>(Cotacoes!I650-Cotacoes!I649)/Cotacoes!I649</f>
        <v>-4.0485829959514335E-3</v>
      </c>
      <c r="J650" s="5">
        <f>(Cotacoes!J650-Cotacoes!J649)/Cotacoes!J649</f>
        <v>1.1622658542089834E-2</v>
      </c>
      <c r="K650" s="5">
        <f>(Cotacoes!K650-Cotacoes!K649)/Cotacoes!K649</f>
        <v>3.3064516129032266E-2</v>
      </c>
      <c r="L650" s="5">
        <f>(Cotacoes!L650-Cotacoes!L649)/Cotacoes!L649</f>
        <v>2.8382213812676782E-3</v>
      </c>
      <c r="M650" s="5">
        <f>(Cotacoes!M650-Cotacoes!M649)/Cotacoes!M649</f>
        <v>1.3698630136986335E-2</v>
      </c>
      <c r="N650" s="5">
        <f>(Cotacoes!N650-Cotacoes!N649)/Cotacoes!N649</f>
        <v>2.1301775147929171E-2</v>
      </c>
      <c r="O650" s="5">
        <f>(Cotacoes!O650-Cotacoes!O649)/Cotacoes!O649</f>
        <v>-3.0955993930197361E-2</v>
      </c>
      <c r="P650" s="5">
        <f>(Cotacoes!P650-Cotacoes!P649)/Cotacoes!P649</f>
        <v>-8.5293357456706718E-3</v>
      </c>
      <c r="Q650" s="5">
        <f>(Cotacoes!Q650-Cotacoes!Q649)/Cotacoes!Q649</f>
        <v>-2.1507459794613437E-2</v>
      </c>
      <c r="R650" s="5">
        <f>(Cotacoes!R650-Cotacoes!R649)/Cotacoes!R649</f>
        <v>1.5503875968992262E-2</v>
      </c>
      <c r="S650" s="5">
        <f>(Cotacoes!S650-Cotacoes!S649)/Cotacoes!S649</f>
        <v>-2.1459227467811245E-3</v>
      </c>
      <c r="T650" s="5">
        <f>(Cotacoes!T650-Cotacoes!T649)/Cotacoes!T649</f>
        <v>-3.1788672487127863E-2</v>
      </c>
      <c r="U650" s="5">
        <f>(Cotacoes!U650-Cotacoes!U649)/Cotacoes!U649</f>
        <v>1.3665787580915854E-2</v>
      </c>
      <c r="V650" s="5">
        <f>(Cotacoes!V650-Cotacoes!V649)/Cotacoes!V649</f>
        <v>2.3247094113235747E-2</v>
      </c>
      <c r="W650" s="5"/>
    </row>
    <row r="651" spans="1:23" x14ac:dyDescent="0.2">
      <c r="A651" s="4">
        <v>45511</v>
      </c>
      <c r="B651" s="5">
        <f>(Cotacoes!B651-Cotacoes!B650)/Cotacoes!B650</f>
        <v>1.0156103065638501E-2</v>
      </c>
      <c r="C651" s="5">
        <f>(Cotacoes!C651-Cotacoes!C650)/Cotacoes!C650</f>
        <v>-2.0688358096670949E-3</v>
      </c>
      <c r="D651" s="5">
        <f>(Cotacoes!D651-Cotacoes!D650)/Cotacoes!D650</f>
        <v>-1.29073894804773E-3</v>
      </c>
      <c r="E651" s="5">
        <f>(Cotacoes!E651-Cotacoes!E650)/Cotacoes!E650</f>
        <v>2.8348688873140273E-3</v>
      </c>
      <c r="F651" s="5">
        <f>(Cotacoes!F651-Cotacoes!F650)/Cotacoes!F650</f>
        <v>-1.481042654028352E-3</v>
      </c>
      <c r="G651" s="5">
        <f>(Cotacoes!G651-Cotacoes!G650)/Cotacoes!G650</f>
        <v>-1.3322231473771869E-2</v>
      </c>
      <c r="H651" s="5">
        <f>(Cotacoes!H651-Cotacoes!H650)/Cotacoes!H650</f>
        <v>-1.3392857142857217E-2</v>
      </c>
      <c r="I651" s="5">
        <f>(Cotacoes!I651-Cotacoes!I650)/Cotacoes!I650</f>
        <v>7.549361207897942E-3</v>
      </c>
      <c r="J651" s="5">
        <f>(Cotacoes!J651-Cotacoes!J650)/Cotacoes!J650</f>
        <v>2.4986056887897321E-2</v>
      </c>
      <c r="K651" s="5">
        <f>(Cotacoes!K651-Cotacoes!K650)/Cotacoes!K650</f>
        <v>1.5612802498048066E-3</v>
      </c>
      <c r="L651" s="5">
        <f>(Cotacoes!L651-Cotacoes!L650)/Cotacoes!L650</f>
        <v>2.2641509433962283E-2</v>
      </c>
      <c r="M651" s="5">
        <f>(Cotacoes!M651-Cotacoes!M650)/Cotacoes!M650</f>
        <v>4.1441441441441518E-2</v>
      </c>
      <c r="N651" s="5">
        <f>(Cotacoes!N651-Cotacoes!N650)/Cotacoes!N650</f>
        <v>5.793742757821429E-3</v>
      </c>
      <c r="O651" s="5">
        <f>(Cotacoes!O651-Cotacoes!O650)/Cotacoes!O650</f>
        <v>-4.3845912934544493E-3</v>
      </c>
      <c r="P651" s="5">
        <f>(Cotacoes!P651-Cotacoes!P650)/Cotacoes!P650</f>
        <v>-7.0385818561000003E-3</v>
      </c>
      <c r="Q651" s="5">
        <f>(Cotacoes!Q651-Cotacoes!Q650)/Cotacoes!Q650</f>
        <v>5.9405940594058843E-3</v>
      </c>
      <c r="R651" s="5">
        <f>(Cotacoes!R651-Cotacoes!R650)/Cotacoes!R650</f>
        <v>3.9122137404580162E-2</v>
      </c>
      <c r="S651" s="5">
        <f>(Cotacoes!S651-Cotacoes!S650)/Cotacoes!S650</f>
        <v>1.9047619047619188E-2</v>
      </c>
      <c r="T651" s="5">
        <f>(Cotacoes!T651-Cotacoes!T650)/Cotacoes!T650</f>
        <v>4.2080924855491336E-2</v>
      </c>
      <c r="U651" s="5">
        <f>(Cotacoes!U651-Cotacoes!U650)/Cotacoes!U650</f>
        <v>9.0113528855250757E-2</v>
      </c>
      <c r="V651" s="5">
        <f>(Cotacoes!V651-Cotacoes!V650)/Cotacoes!V650</f>
        <v>3.73763283253939E-2</v>
      </c>
      <c r="W651" s="5"/>
    </row>
    <row r="652" spans="1:23" x14ac:dyDescent="0.2">
      <c r="A652" s="4">
        <v>45512</v>
      </c>
      <c r="B652" s="5">
        <f>(Cotacoes!B652-Cotacoes!B651)/Cotacoes!B651</f>
        <v>1.5080990504561576E-2</v>
      </c>
      <c r="C652" s="5">
        <f>(Cotacoes!C652-Cotacoes!C651)/Cotacoes!C651</f>
        <v>-6.0309084055785956E-3</v>
      </c>
      <c r="D652" s="5">
        <f>(Cotacoes!D652-Cotacoes!D651)/Cotacoes!D651</f>
        <v>1.5831987075928981E-2</v>
      </c>
      <c r="E652" s="5">
        <f>(Cotacoes!E652-Cotacoes!E651)/Cotacoes!E651</f>
        <v>-3.5335689045936898E-3</v>
      </c>
      <c r="F652" s="5">
        <f>(Cotacoes!F652-Cotacoes!F651)/Cotacoes!F651</f>
        <v>1.631563334322151E-2</v>
      </c>
      <c r="G652" s="5">
        <f>(Cotacoes!G652-Cotacoes!G651)/Cotacoes!G651</f>
        <v>2.82700421940929E-2</v>
      </c>
      <c r="H652" s="5">
        <f>(Cotacoes!H652-Cotacoes!H651)/Cotacoes!H651</f>
        <v>-4.1135335252981435E-3</v>
      </c>
      <c r="I652" s="5">
        <f>(Cotacoes!I652-Cotacoes!I651)/Cotacoes!I651</f>
        <v>2.1037463976945153E-2</v>
      </c>
      <c r="J652" s="5">
        <f>(Cotacoes!J652-Cotacoes!J651)/Cotacoes!J651</f>
        <v>8.2707585156165542E-3</v>
      </c>
      <c r="K652" s="5">
        <f>(Cotacoes!K652-Cotacoes!K651)/Cotacoes!K651</f>
        <v>1.1691348402182413E-2</v>
      </c>
      <c r="L652" s="5">
        <f>(Cotacoes!L652-Cotacoes!L651)/Cotacoes!L651</f>
        <v>1.9372693726937347E-2</v>
      </c>
      <c r="M652" s="5">
        <f>(Cotacoes!M652-Cotacoes!M651)/Cotacoes!M651</f>
        <v>-1.2110726643598664E-2</v>
      </c>
      <c r="N652" s="5">
        <f>(Cotacoes!N652-Cotacoes!N651)/Cotacoes!N651</f>
        <v>0</v>
      </c>
      <c r="O652" s="5">
        <f>(Cotacoes!O652-Cotacoes!O651)/Cotacoes!O651</f>
        <v>2.988361119849018E-2</v>
      </c>
      <c r="P652" s="5">
        <f>(Cotacoes!P652-Cotacoes!P651)/Cotacoes!P651</f>
        <v>0.10002625360987122</v>
      </c>
      <c r="Q652" s="5">
        <f>(Cotacoes!Q652-Cotacoes!Q651)/Cotacoes!Q651</f>
        <v>2.6771653543307076E-2</v>
      </c>
      <c r="R652" s="5">
        <f>(Cotacoes!R652-Cotacoes!R651)/Cotacoes!R651</f>
        <v>2.5405570860116262E-2</v>
      </c>
      <c r="S652" s="5">
        <f>(Cotacoes!S652-Cotacoes!S651)/Cotacoes!S651</f>
        <v>8.1398854386492622E-3</v>
      </c>
      <c r="T652" s="5">
        <f>(Cotacoes!T652-Cotacoes!T651)/Cotacoes!T651</f>
        <v>2.8622143332593723E-2</v>
      </c>
      <c r="U652" s="5">
        <f>(Cotacoes!U652-Cotacoes!U651)/Cotacoes!U651</f>
        <v>-1.7357344326319243E-3</v>
      </c>
      <c r="V652" s="5">
        <f>(Cotacoes!V652-Cotacoes!V651)/Cotacoes!V651</f>
        <v>7.4178735429177274E-3</v>
      </c>
      <c r="W652" s="5"/>
    </row>
    <row r="653" spans="1:23" x14ac:dyDescent="0.2">
      <c r="A653" s="4">
        <v>45513</v>
      </c>
      <c r="B653" s="5">
        <f>(Cotacoes!B653-Cotacoes!B652)/Cotacoes!B652</f>
        <v>5.9611151870872289E-3</v>
      </c>
      <c r="C653" s="5">
        <f>(Cotacoes!C653-Cotacoes!C652)/Cotacoes!C652</f>
        <v>3.6025786879028765E-3</v>
      </c>
      <c r="D653" s="5">
        <f>(Cotacoes!D653-Cotacoes!D652)/Cotacoes!D652</f>
        <v>-9.2239185750636991E-3</v>
      </c>
      <c r="E653" s="5">
        <f>(Cotacoes!E653-Cotacoes!E652)/Cotacoes!E652</f>
        <v>2.6950354609929134E-2</v>
      </c>
      <c r="F653" s="5">
        <f>(Cotacoes!F653-Cotacoes!F652)/Cotacoes!F652</f>
        <v>-8.7565674255690937E-3</v>
      </c>
      <c r="G653" s="5">
        <f>(Cotacoes!G653-Cotacoes!G652)/Cotacoes!G652</f>
        <v>2.0517029134177288E-4</v>
      </c>
      <c r="H653" s="5">
        <f>(Cotacoes!H653-Cotacoes!H652)/Cotacoes!H652</f>
        <v>1.3630731102849991E-2</v>
      </c>
      <c r="I653" s="5">
        <f>(Cotacoes!I653-Cotacoes!I652)/Cotacoes!I652</f>
        <v>3.2176121930567333E-2</v>
      </c>
      <c r="J653" s="5">
        <f>(Cotacoes!J653-Cotacoes!J652)/Cotacoes!J652</f>
        <v>5.0512682137074931E-2</v>
      </c>
      <c r="K653" s="5">
        <f>(Cotacoes!K653-Cotacoes!K652)/Cotacoes!K652</f>
        <v>2.4653312788906031E-2</v>
      </c>
      <c r="L653" s="5">
        <f>(Cotacoes!L653-Cotacoes!L652)/Cotacoes!L652</f>
        <v>5.8823529411764573E-2</v>
      </c>
      <c r="M653" s="5">
        <f>(Cotacoes!M653-Cotacoes!M652)/Cotacoes!M652</f>
        <v>7.0052539404553476E-3</v>
      </c>
      <c r="N653" s="5">
        <f>(Cotacoes!N653-Cotacoes!N652)/Cotacoes!N652</f>
        <v>2.6497695852534611E-2</v>
      </c>
      <c r="O653" s="5">
        <f>(Cotacoes!O653-Cotacoes!O652)/Cotacoes!O652</f>
        <v>1.7409896151496646E-2</v>
      </c>
      <c r="P653" s="5">
        <f>(Cotacoes!P653-Cotacoes!P652)/Cotacoes!P652</f>
        <v>3.1264916467780485E-2</v>
      </c>
      <c r="Q653" s="5">
        <f>(Cotacoes!Q653-Cotacoes!Q652)/Cotacoes!Q652</f>
        <v>1.6871165644171831E-2</v>
      </c>
      <c r="R653" s="5">
        <f>(Cotacoes!R653-Cotacoes!R652)/Cotacoes!R652</f>
        <v>3.5820895522387297E-3</v>
      </c>
      <c r="S653" s="5">
        <f>(Cotacoes!S653-Cotacoes!S652)/Cotacoes!S652</f>
        <v>3.6483253588516715E-2</v>
      </c>
      <c r="T653" s="5">
        <f>(Cotacoes!T653-Cotacoes!T652)/Cotacoes!T652</f>
        <v>3.1708369283865376E-2</v>
      </c>
      <c r="U653" s="5">
        <f>(Cotacoes!U653-Cotacoes!U652)/Cotacoes!U652</f>
        <v>7.8243860030428047E-3</v>
      </c>
      <c r="V653" s="5">
        <f>(Cotacoes!V653-Cotacoes!V652)/Cotacoes!V652</f>
        <v>1.4375876577840117E-2</v>
      </c>
      <c r="W653" s="5"/>
    </row>
    <row r="654" spans="1:23" x14ac:dyDescent="0.2">
      <c r="A654" s="4">
        <v>45516</v>
      </c>
      <c r="B654" s="5">
        <f>(Cotacoes!B654-Cotacoes!B653)/Cotacoes!B653</f>
        <v>7.2021150515088547E-3</v>
      </c>
      <c r="C654" s="5">
        <f>(Cotacoes!C654-Cotacoes!C653)/Cotacoes!C653</f>
        <v>-5.1010768940110167E-3</v>
      </c>
      <c r="D654" s="5">
        <f>(Cotacoes!D654-Cotacoes!D653)/Cotacoes!D653</f>
        <v>2.2792937399679001E-2</v>
      </c>
      <c r="E654" s="5">
        <f>(Cotacoes!E654-Cotacoes!E653)/Cotacoes!E653</f>
        <v>1.3812154696132301E-3</v>
      </c>
      <c r="F654" s="5">
        <f>(Cotacoes!F654-Cotacoes!F653)/Cotacoes!F653</f>
        <v>2.7974087161366186E-2</v>
      </c>
      <c r="G654" s="5">
        <f>(Cotacoes!G654-Cotacoes!G653)/Cotacoes!G653</f>
        <v>1.7846153846153793E-2</v>
      </c>
      <c r="H654" s="5">
        <f>(Cotacoes!H654-Cotacoes!H653)/Cotacoes!H653</f>
        <v>2.1597392013039982E-2</v>
      </c>
      <c r="I654" s="5">
        <f>(Cotacoes!I654-Cotacoes!I653)/Cotacoes!I653</f>
        <v>-1.0937927262783663E-2</v>
      </c>
      <c r="J654" s="5">
        <f>(Cotacoes!J654-Cotacoes!J653)/Cotacoes!J653</f>
        <v>-1.7466351587383305E-3</v>
      </c>
      <c r="K654" s="5">
        <f>(Cotacoes!K654-Cotacoes!K653)/Cotacoes!K653</f>
        <v>6.7669172932330714E-3</v>
      </c>
      <c r="L654" s="5">
        <f>(Cotacoes!L654-Cotacoes!L653)/Cotacoes!L653</f>
        <v>1.5384615384615514E-2</v>
      </c>
      <c r="M654" s="5">
        <f>(Cotacoes!M654-Cotacoes!M653)/Cotacoes!M653</f>
        <v>-4.3478260869565834E-3</v>
      </c>
      <c r="N654" s="5">
        <f>(Cotacoes!N654-Cotacoes!N653)/Cotacoes!N653</f>
        <v>4.4893378226710601E-3</v>
      </c>
      <c r="O654" s="5">
        <f>(Cotacoes!O654-Cotacoes!O653)/Cotacoes!O653</f>
        <v>5.4037826478534889E-3</v>
      </c>
      <c r="P654" s="5">
        <f>(Cotacoes!P654-Cotacoes!P653)/Cotacoes!P653</f>
        <v>5.7856977551492706E-3</v>
      </c>
      <c r="Q654" s="5">
        <f>(Cotacoes!Q654-Cotacoes!Q653)/Cotacoes!Q653</f>
        <v>-2.0739064856711807E-3</v>
      </c>
      <c r="R654" s="5">
        <f>(Cotacoes!R654-Cotacoes!R653)/Cotacoes!R653</f>
        <v>1.5466983938132159E-2</v>
      </c>
      <c r="S654" s="5">
        <f>(Cotacoes!S654-Cotacoes!S653)/Cotacoes!S653</f>
        <v>-4.6162723600691458E-3</v>
      </c>
      <c r="T654" s="5">
        <f>(Cotacoes!T654-Cotacoes!T653)/Cotacoes!T653</f>
        <v>1.6098682835040835E-2</v>
      </c>
      <c r="U654" s="5">
        <f>(Cotacoes!U654-Cotacoes!U653)/Cotacoes!U653</f>
        <v>7.5479836100927631E-3</v>
      </c>
      <c r="V654" s="5">
        <f>(Cotacoes!V654-Cotacoes!V653)/Cotacoes!V653</f>
        <v>-1.1061182163843771E-2</v>
      </c>
      <c r="W654" s="5"/>
    </row>
    <row r="655" spans="1:23" x14ac:dyDescent="0.2">
      <c r="A655" s="4">
        <v>45517</v>
      </c>
      <c r="B655" s="5">
        <f>(Cotacoes!B655-Cotacoes!B654)/Cotacoes!B654</f>
        <v>7.8747284576393042E-3</v>
      </c>
      <c r="C655" s="5">
        <f>(Cotacoes!C655-Cotacoes!C654)/Cotacoes!C654</f>
        <v>-4.3676414736041943E-3</v>
      </c>
      <c r="D655" s="5">
        <f>(Cotacoes!D655-Cotacoes!D654)/Cotacoes!D654</f>
        <v>-6.2774639045825266E-3</v>
      </c>
      <c r="E655" s="5">
        <f>(Cotacoes!E655-Cotacoes!E654)/Cotacoes!E654</f>
        <v>2.8275862068965527E-2</v>
      </c>
      <c r="F655" s="5">
        <f>(Cotacoes!F655-Cotacoes!F654)/Cotacoes!F654</f>
        <v>-5.1561157261529574E-3</v>
      </c>
      <c r="G655" s="5">
        <f>(Cotacoes!G655-Cotacoes!G654)/Cotacoes!G654</f>
        <v>1.0882708585247867E-2</v>
      </c>
      <c r="H655" s="5">
        <f>(Cotacoes!H655-Cotacoes!H654)/Cotacoes!H654</f>
        <v>1.2764260071798974E-2</v>
      </c>
      <c r="I655" s="5">
        <f>(Cotacoes!I655-Cotacoes!I654)/Cotacoes!I654</f>
        <v>9.4000552944428061E-3</v>
      </c>
      <c r="J655" s="5">
        <f>(Cotacoes!J655-Cotacoes!J654)/Cotacoes!J654</f>
        <v>9.7776862906546191E-3</v>
      </c>
      <c r="K655" s="5">
        <f>(Cotacoes!K655-Cotacoes!K654)/Cotacoes!K654</f>
        <v>1.1949215832710988E-2</v>
      </c>
      <c r="L655" s="5">
        <f>(Cotacoes!L655-Cotacoes!L654)/Cotacoes!L654</f>
        <v>3.5353535353535345E-2</v>
      </c>
      <c r="M655" s="5">
        <f>(Cotacoes!M655-Cotacoes!M654)/Cotacoes!M654</f>
        <v>1.3973799126637567E-2</v>
      </c>
      <c r="N655" s="5">
        <f>(Cotacoes!N655-Cotacoes!N654)/Cotacoes!N654</f>
        <v>2.3463687150838086E-2</v>
      </c>
      <c r="O655" s="5">
        <f>(Cotacoes!O655-Cotacoes!O654)/Cotacoes!O654</f>
        <v>4.210212003583149E-2</v>
      </c>
      <c r="P655" s="5">
        <f>(Cotacoes!P655-Cotacoes!P654)/Cotacoes!P654</f>
        <v>8.9737689829728611E-3</v>
      </c>
      <c r="Q655" s="5">
        <f>(Cotacoes!Q655-Cotacoes!Q654)/Cotacoes!Q654</f>
        <v>2.8339316077838385E-3</v>
      </c>
      <c r="R655" s="5">
        <f>(Cotacoes!R655-Cotacoes!R654)/Cotacoes!R654</f>
        <v>1.5524311657879354E-2</v>
      </c>
      <c r="S655" s="5">
        <f>(Cotacoes!S655-Cotacoes!S654)/Cotacoes!S654</f>
        <v>1.4492753623188406E-2</v>
      </c>
      <c r="T655" s="5">
        <f>(Cotacoes!T655-Cotacoes!T654)/Cotacoes!T654</f>
        <v>1.0905349794238706E-2</v>
      </c>
      <c r="U655" s="5">
        <f>(Cotacoes!U655-Cotacoes!U654)/Cotacoes!U654</f>
        <v>-2.2688356164383611E-2</v>
      </c>
      <c r="V655" s="5">
        <f>(Cotacoes!V655-Cotacoes!V654)/Cotacoes!V654</f>
        <v>1.6777350576721441E-2</v>
      </c>
      <c r="W655" s="5"/>
    </row>
    <row r="656" spans="1:23" x14ac:dyDescent="0.2">
      <c r="A656" s="4">
        <v>45518</v>
      </c>
      <c r="B656" s="5">
        <f>(Cotacoes!B656-Cotacoes!B655)/Cotacoes!B655</f>
        <v>6.4660978895374841E-3</v>
      </c>
      <c r="C656" s="5">
        <f>(Cotacoes!C656-Cotacoes!C655)/Cotacoes!C655</f>
        <v>-9.155063894716705E-3</v>
      </c>
      <c r="D656" s="5">
        <f>(Cotacoes!D656-Cotacoes!D655)/Cotacoes!D655</f>
        <v>1.7687934301958266E-2</v>
      </c>
      <c r="E656" s="5">
        <f>(Cotacoes!E656-Cotacoes!E655)/Cotacoes!E655</f>
        <v>2.4815560026827579E-2</v>
      </c>
      <c r="F656" s="5">
        <f>(Cotacoes!F656-Cotacoes!F655)/Cotacoes!F655</f>
        <v>1.8139936654189538E-2</v>
      </c>
      <c r="G656" s="5">
        <f>(Cotacoes!G656-Cotacoes!G655)/Cotacoes!G655</f>
        <v>7.9744816586922989E-3</v>
      </c>
      <c r="H656" s="5">
        <f>(Cotacoes!H656-Cotacoes!H655)/Cotacoes!H655</f>
        <v>1.6935801496652213E-2</v>
      </c>
      <c r="I656" s="5">
        <f>(Cotacoes!I656-Cotacoes!I655)/Cotacoes!I655</f>
        <v>9.0386195562860983E-3</v>
      </c>
      <c r="J656" s="5">
        <f>(Cotacoes!J656-Cotacoes!J655)/Cotacoes!J655</f>
        <v>1.3760065232901787E-2</v>
      </c>
      <c r="K656" s="5">
        <f>(Cotacoes!K656-Cotacoes!K655)/Cotacoes!K655</f>
        <v>8.8560885608855514E-3</v>
      </c>
      <c r="L656" s="5">
        <f>(Cotacoes!L656-Cotacoes!L655)/Cotacoes!L655</f>
        <v>4.8780487804877008E-3</v>
      </c>
      <c r="M656" s="5">
        <f>(Cotacoes!M656-Cotacoes!M655)/Cotacoes!M655</f>
        <v>-8.6132644272177324E-4</v>
      </c>
      <c r="N656" s="5">
        <f>(Cotacoes!N656-Cotacoes!N655)/Cotacoes!N655</f>
        <v>2.0742358078602564E-2</v>
      </c>
      <c r="O656" s="5">
        <f>(Cotacoes!O656-Cotacoes!O655)/Cotacoes!O655</f>
        <v>6.9914040114613316E-2</v>
      </c>
      <c r="P656" s="5">
        <f>(Cotacoes!P656-Cotacoes!P655)/Cotacoes!P655</f>
        <v>9.1220068415049369E-4</v>
      </c>
      <c r="Q656" s="5">
        <f>(Cotacoes!Q656-Cotacoes!Q655)/Cotacoes!Q655</f>
        <v>2.8259231348907042E-3</v>
      </c>
      <c r="R656" s="5">
        <f>(Cotacoes!R656-Cotacoes!R655)/Cotacoes!R655</f>
        <v>-1.6729160657629024E-2</v>
      </c>
      <c r="S656" s="5">
        <f>(Cotacoes!S656-Cotacoes!S655)/Cotacoes!S655</f>
        <v>1.3142857142857168E-2</v>
      </c>
      <c r="T656" s="5">
        <f>(Cotacoes!T656-Cotacoes!T655)/Cotacoes!T655</f>
        <v>9.5664563403215722E-3</v>
      </c>
      <c r="U656" s="5">
        <f>(Cotacoes!U656-Cotacoes!U655)/Cotacoes!U655</f>
        <v>-0.16841874726237402</v>
      </c>
      <c r="V656" s="5">
        <f>(Cotacoes!V656-Cotacoes!V655)/Cotacoes!V655</f>
        <v>2.9563423856995511E-2</v>
      </c>
      <c r="W656" s="5"/>
    </row>
    <row r="657" spans="1:23" x14ac:dyDescent="0.2">
      <c r="A657" s="4">
        <v>45519</v>
      </c>
      <c r="B657" s="5">
        <f>(Cotacoes!B657-Cotacoes!B656)/Cotacoes!B656</f>
        <v>-1.516909074685353E-3</v>
      </c>
      <c r="C657" s="5">
        <f>(Cotacoes!C657-Cotacoes!C656)/Cotacoes!C656</f>
        <v>4.0423484119344322E-3</v>
      </c>
      <c r="D657" s="5">
        <f>(Cotacoes!D657-Cotacoes!D656)/Cotacoes!D656</f>
        <v>1.5207945375543203E-2</v>
      </c>
      <c r="E657" s="5">
        <f>(Cotacoes!E657-Cotacoes!E656)/Cotacoes!E656</f>
        <v>1.5706806282722526E-2</v>
      </c>
      <c r="F657" s="5">
        <f>(Cotacoes!F657-Cotacoes!F656)/Cotacoes!F656</f>
        <v>1.0180995475113107E-2</v>
      </c>
      <c r="G657" s="5">
        <f>(Cotacoes!G657-Cotacoes!G656)/Cotacoes!G656</f>
        <v>2.2547468354430389E-2</v>
      </c>
      <c r="H657" s="5">
        <f>(Cotacoes!H657-Cotacoes!H656)/Cotacoes!H656</f>
        <v>7.7459333849728617E-3</v>
      </c>
      <c r="I657" s="5">
        <f>(Cotacoes!I657-Cotacoes!I656)/Cotacoes!I656</f>
        <v>8.6862106406078495E-3</v>
      </c>
      <c r="J657" s="5">
        <f>(Cotacoes!J657-Cotacoes!J656)/Cotacoes!J656</f>
        <v>-8.2445204102150945E-3</v>
      </c>
      <c r="K657" s="5">
        <f>(Cotacoes!K657-Cotacoes!K656)/Cotacoes!K656</f>
        <v>1.0241404535479193E-2</v>
      </c>
      <c r="L657" s="5">
        <f>(Cotacoes!L657-Cotacoes!L656)/Cotacoes!L656</f>
        <v>8.0906148867312196E-4</v>
      </c>
      <c r="M657" s="5">
        <f>(Cotacoes!M657-Cotacoes!M656)/Cotacoes!M656</f>
        <v>3.7931034482758579E-2</v>
      </c>
      <c r="N657" s="5">
        <f>(Cotacoes!N657-Cotacoes!N656)/Cotacoes!N656</f>
        <v>1.2834224598930587E-2</v>
      </c>
      <c r="O657" s="5">
        <f>(Cotacoes!O657-Cotacoes!O656)/Cotacoes!O656</f>
        <v>1.5532940546330965E-2</v>
      </c>
      <c r="P657" s="5">
        <f>(Cotacoes!P657-Cotacoes!P656)/Cotacoes!P656</f>
        <v>1.9822282980177658E-2</v>
      </c>
      <c r="Q657" s="5">
        <f>(Cotacoes!Q657-Cotacoes!Q656)/Cotacoes!Q656</f>
        <v>-2.0477174525643366E-2</v>
      </c>
      <c r="R657" s="5">
        <f>(Cotacoes!R657-Cotacoes!R656)/Cotacoes!R656</f>
        <v>3.3734232912877631E-2</v>
      </c>
      <c r="S657" s="5">
        <f>(Cotacoes!S657-Cotacoes!S656)/Cotacoes!S656</f>
        <v>-1.9740552735476674E-2</v>
      </c>
      <c r="T657" s="5">
        <f>(Cotacoes!T657-Cotacoes!T656)/Cotacoes!T656</f>
        <v>-1.3709677419354832E-2</v>
      </c>
      <c r="U657" s="5">
        <f>(Cotacoes!U657-Cotacoes!U656)/Cotacoes!U656</f>
        <v>-2.0015801948906981E-2</v>
      </c>
      <c r="V657" s="5">
        <f>(Cotacoes!V657-Cotacoes!V656)/Cotacoes!V656</f>
        <v>2.4373956594323887E-2</v>
      </c>
      <c r="W657" s="5"/>
    </row>
    <row r="658" spans="1:23" x14ac:dyDescent="0.2">
      <c r="A658" s="4">
        <v>45520</v>
      </c>
      <c r="B658" s="5">
        <f>(Cotacoes!B658-Cotacoes!B657)/Cotacoes!B657</f>
        <v>1.3672922252010734E-2</v>
      </c>
      <c r="C658" s="5">
        <f>(Cotacoes!C658-Cotacoes!C657)/Cotacoes!C657</f>
        <v>-2.684049079754476E-3</v>
      </c>
      <c r="D658" s="5">
        <f>(Cotacoes!D658-Cotacoes!D657)/Cotacoes!D657</f>
        <v>4.2800366860287547E-3</v>
      </c>
      <c r="E658" s="5">
        <f>(Cotacoes!E658-Cotacoes!E657)/Cotacoes!E657</f>
        <v>-8.37628865979375E-3</v>
      </c>
      <c r="F658" s="5">
        <f>(Cotacoes!F658-Cotacoes!F657)/Cotacoes!F657</f>
        <v>3.919372900335962E-3</v>
      </c>
      <c r="G658" s="5">
        <f>(Cotacoes!G658-Cotacoes!G657)/Cotacoes!G657</f>
        <v>1.0251450676982476E-2</v>
      </c>
      <c r="H658" s="5">
        <f>(Cotacoes!H658-Cotacoes!H657)/Cotacoes!H657</f>
        <v>7.6863950807071211E-3</v>
      </c>
      <c r="I658" s="5">
        <f>(Cotacoes!I658-Cotacoes!I657)/Cotacoes!I657</f>
        <v>-4.0365984930031918E-3</v>
      </c>
      <c r="J658" s="5">
        <f>(Cotacoes!J658-Cotacoes!J657)/Cotacoes!J657</f>
        <v>6.0827250608274806E-4</v>
      </c>
      <c r="K658" s="5">
        <f>(Cotacoes!K658-Cotacoes!K657)/Cotacoes!K657</f>
        <v>-1.2309920347574216E-2</v>
      </c>
      <c r="L658" s="5">
        <f>(Cotacoes!L658-Cotacoes!L657)/Cotacoes!L657</f>
        <v>-1.6976556184316823E-2</v>
      </c>
      <c r="M658" s="5">
        <f>(Cotacoes!M658-Cotacoes!M657)/Cotacoes!M657</f>
        <v>-1.661129568106277E-3</v>
      </c>
      <c r="N658" s="5">
        <f>(Cotacoes!N658-Cotacoes!N657)/Cotacoes!N657</f>
        <v>-5.2798310454066216E-3</v>
      </c>
      <c r="O658" s="5">
        <f>(Cotacoes!O658-Cotacoes!O657)/Cotacoes!O657</f>
        <v>-3.8765822784810097E-2</v>
      </c>
      <c r="P658" s="5">
        <f>(Cotacoes!P658-Cotacoes!P657)/Cotacoes!P657</f>
        <v>-8.2663092046469499E-3</v>
      </c>
      <c r="Q658" s="5">
        <f>(Cotacoes!Q658-Cotacoes!Q657)/Cotacoes!Q657</f>
        <v>1.553509781357887E-2</v>
      </c>
      <c r="R658" s="5">
        <f>(Cotacoes!R658-Cotacoes!R657)/Cotacoes!R657</f>
        <v>-3.1214528944381223E-3</v>
      </c>
      <c r="S658" s="5">
        <f>(Cotacoes!S658-Cotacoes!S657)/Cotacoes!S657</f>
        <v>2.8768699654776013E-3</v>
      </c>
      <c r="T658" s="5">
        <f>(Cotacoes!T658-Cotacoes!T657)/Cotacoes!T657</f>
        <v>5.7236304170073821E-3</v>
      </c>
      <c r="U658" s="5">
        <f>(Cotacoes!U658-Cotacoes!U657)/Cotacoes!U657</f>
        <v>8.680462241332966E-2</v>
      </c>
      <c r="V658" s="5">
        <f>(Cotacoes!V658-Cotacoes!V657)/Cotacoes!V657</f>
        <v>3.9113428943937743E-3</v>
      </c>
      <c r="W658" s="5"/>
    </row>
    <row r="659" spans="1:23" x14ac:dyDescent="0.2">
      <c r="A659" s="4">
        <v>45523</v>
      </c>
      <c r="B659" s="5">
        <f>(Cotacoes!B659-Cotacoes!B658)/Cotacoes!B658</f>
        <v>-1.7632019747871138E-4</v>
      </c>
      <c r="C659" s="5">
        <f>(Cotacoes!C659-Cotacoes!C658)/Cotacoes!C658</f>
        <v>1.6147635524798084E-2</v>
      </c>
      <c r="D659" s="5">
        <f>(Cotacoes!D659-Cotacoes!D658)/Cotacoes!D658</f>
        <v>-1.52207001522083E-3</v>
      </c>
      <c r="E659" s="5">
        <f>(Cotacoes!E659-Cotacoes!E658)/Cotacoes!E658</f>
        <v>6.1728395061727654E-3</v>
      </c>
      <c r="F659" s="5">
        <f>(Cotacoes!F659-Cotacoes!F658)/Cotacoes!F658</f>
        <v>-7.5292805354153936E-3</v>
      </c>
      <c r="G659" s="5">
        <f>(Cotacoes!G659-Cotacoes!G658)/Cotacoes!G658</f>
        <v>-2.7378901014742482E-2</v>
      </c>
      <c r="H659" s="5">
        <f>(Cotacoes!H659-Cotacoes!H658)/Cotacoes!H658</f>
        <v>2.7078565980167845E-2</v>
      </c>
      <c r="I659" s="5">
        <f>(Cotacoes!I659-Cotacoes!I658)/Cotacoes!I658</f>
        <v>2.9451499594704229E-2</v>
      </c>
      <c r="J659" s="5">
        <f>(Cotacoes!J659-Cotacoes!J658)/Cotacoes!J658</f>
        <v>-1.2158054711246228E-2</v>
      </c>
      <c r="K659" s="5">
        <f>(Cotacoes!K659-Cotacoes!K658)/Cotacoes!K658</f>
        <v>4.4721407624633384E-2</v>
      </c>
      <c r="L659" s="5">
        <f>(Cotacoes!L659-Cotacoes!L658)/Cotacoes!L658</f>
        <v>2.3848684210526244E-2</v>
      </c>
      <c r="M659" s="5">
        <f>(Cotacoes!M659-Cotacoes!M658)/Cotacoes!M658</f>
        <v>0</v>
      </c>
      <c r="N659" s="5">
        <f>(Cotacoes!N659-Cotacoes!N658)/Cotacoes!N658</f>
        <v>8.492569002123149E-3</v>
      </c>
      <c r="O659" s="5">
        <f>(Cotacoes!O659-Cotacoes!O658)/Cotacoes!O658</f>
        <v>4.6913580246913403E-2</v>
      </c>
      <c r="P659" s="5">
        <f>(Cotacoes!P659-Cotacoes!P658)/Cotacoes!P658</f>
        <v>-1.0362694300518154E-2</v>
      </c>
      <c r="Q659" s="5">
        <f>(Cotacoes!Q659-Cotacoes!Q658)/Cotacoes!Q658</f>
        <v>1.1520302171860234E-2</v>
      </c>
      <c r="R659" s="5">
        <f>(Cotacoes!R659-Cotacoes!R658)/Cotacoes!R658</f>
        <v>6.5471107315683702E-3</v>
      </c>
      <c r="S659" s="5">
        <f>(Cotacoes!S659-Cotacoes!S658)/Cotacoes!S658</f>
        <v>1.8932874354561209E-2</v>
      </c>
      <c r="T659" s="5">
        <f>(Cotacoes!T659-Cotacoes!T658)/Cotacoes!T658</f>
        <v>-2.6626016260162647E-2</v>
      </c>
      <c r="U659" s="5">
        <f>(Cotacoes!U659-Cotacoes!U658)/Cotacoes!U658</f>
        <v>3.8822947576656781E-2</v>
      </c>
      <c r="V659" s="5">
        <f>(Cotacoes!V659-Cotacoes!V658)/Cotacoes!V658</f>
        <v>1.4285714285714212E-2</v>
      </c>
      <c r="W659" s="5"/>
    </row>
    <row r="660" spans="1:23" x14ac:dyDescent="0.2">
      <c r="A660" s="4">
        <v>45524</v>
      </c>
      <c r="B660" s="5">
        <f>(Cotacoes!B660-Cotacoes!B659)/Cotacoes!B659</f>
        <v>3.6152014813508209E-3</v>
      </c>
      <c r="C660" s="5">
        <f>(Cotacoes!C660-Cotacoes!C659)/Cotacoes!C659</f>
        <v>3.7835792659856762E-3</v>
      </c>
      <c r="D660" s="5">
        <f>(Cotacoes!D660-Cotacoes!D659)/Cotacoes!D659</f>
        <v>-3.9634146341462027E-3</v>
      </c>
      <c r="E660" s="5">
        <f>(Cotacoes!E660-Cotacoes!E659)/Cotacoes!E659</f>
        <v>7.4265418146593617E-3</v>
      </c>
      <c r="F660" s="5">
        <f>(Cotacoes!F660-Cotacoes!F659)/Cotacoes!F659</f>
        <v>-3.6527114357966435E-3</v>
      </c>
      <c r="G660" s="5">
        <f>(Cotacoes!G660-Cotacoes!G659)/Cotacoes!G659</f>
        <v>2.5590551181102449E-2</v>
      </c>
      <c r="H660" s="5">
        <f>(Cotacoes!H660-Cotacoes!H659)/Cotacoes!H659</f>
        <v>4.4559970293353507E-3</v>
      </c>
      <c r="I660" s="5">
        <f>(Cotacoes!I660-Cotacoes!I659)/Cotacoes!I659</f>
        <v>-3.1496062992127176E-3</v>
      </c>
      <c r="J660" s="5">
        <f>(Cotacoes!J660-Cotacoes!J659)/Cotacoes!J659</f>
        <v>2.1333333333333315E-2</v>
      </c>
      <c r="K660" s="5">
        <f>(Cotacoes!K660-Cotacoes!K659)/Cotacoes!K659</f>
        <v>3.5087719298246113E-3</v>
      </c>
      <c r="L660" s="5">
        <f>(Cotacoes!L660-Cotacoes!L659)/Cotacoes!L659</f>
        <v>8.8353413654619455E-3</v>
      </c>
      <c r="M660" s="5">
        <f>(Cotacoes!M660-Cotacoes!M659)/Cotacoes!M659</f>
        <v>-5.8236272878536008E-3</v>
      </c>
      <c r="N660" s="5">
        <f>(Cotacoes!N660-Cotacoes!N659)/Cotacoes!N659</f>
        <v>3.157894736842038E-3</v>
      </c>
      <c r="O660" s="5">
        <f>(Cotacoes!O660-Cotacoes!O659)/Cotacoes!O659</f>
        <v>-5.3197064989517671E-2</v>
      </c>
      <c r="P660" s="5">
        <f>(Cotacoes!P660-Cotacoes!P659)/Cotacoes!P659</f>
        <v>1.3202822672433378E-2</v>
      </c>
      <c r="Q660" s="5">
        <f>(Cotacoes!Q660-Cotacoes!Q659)/Cotacoes!Q659</f>
        <v>1.5123226288274741E-2</v>
      </c>
      <c r="R660" s="5">
        <f>(Cotacoes!R660-Cotacoes!R659)/Cotacoes!R659</f>
        <v>3.9592760180995638E-3</v>
      </c>
      <c r="S660" s="5">
        <f>(Cotacoes!S660-Cotacoes!S659)/Cotacoes!S659</f>
        <v>1.5202702702702678E-2</v>
      </c>
      <c r="T660" s="5">
        <f>(Cotacoes!T660-Cotacoes!T659)/Cotacoes!T659</f>
        <v>-1.2528711630821106E-3</v>
      </c>
      <c r="U660" s="5">
        <f>(Cotacoes!U660-Cotacoes!U659)/Cotacoes!U659</f>
        <v>-2.9040704594144227E-2</v>
      </c>
      <c r="V660" s="5">
        <f>(Cotacoes!V660-Cotacoes!V659)/Cotacoes!V659</f>
        <v>2.8489116517285664E-2</v>
      </c>
      <c r="W660" s="5"/>
    </row>
    <row r="661" spans="1:23" x14ac:dyDescent="0.2">
      <c r="A661" s="4">
        <v>45525</v>
      </c>
      <c r="B661" s="5">
        <f>(Cotacoes!B661-Cotacoes!B660)/Cotacoes!B660</f>
        <v>-1.0367246529608088E-2</v>
      </c>
      <c r="C661" s="5">
        <f>(Cotacoes!C661-Cotacoes!C660)/Cotacoes!C660</f>
        <v>1.9223520542781682E-2</v>
      </c>
      <c r="D661" s="5">
        <f>(Cotacoes!D661-Cotacoes!D660)/Cotacoes!D660</f>
        <v>-6.1218243036425726E-3</v>
      </c>
      <c r="E661" s="5">
        <f>(Cotacoes!E661-Cotacoes!E660)/Cotacoes!E660</f>
        <v>-4.1666666666666345E-3</v>
      </c>
      <c r="F661" s="5">
        <f>(Cotacoes!F661-Cotacoes!F660)/Cotacoes!F660</f>
        <v>-8.7422447828539845E-3</v>
      </c>
      <c r="G661" s="5">
        <f>(Cotacoes!G661-Cotacoes!G660)/Cotacoes!G660</f>
        <v>5.9500959692897343E-3</v>
      </c>
      <c r="H661" s="5">
        <f>(Cotacoes!H661-Cotacoes!H660)/Cotacoes!H660</f>
        <v>-4.4362292051756376E-3</v>
      </c>
      <c r="I661" s="5">
        <f>(Cotacoes!I661-Cotacoes!I660)/Cotacoes!I660</f>
        <v>2.632964718272813E-3</v>
      </c>
      <c r="J661" s="5">
        <f>(Cotacoes!J661-Cotacoes!J660)/Cotacoes!J660</f>
        <v>-1.3054830287205809E-3</v>
      </c>
      <c r="K661" s="5">
        <f>(Cotacoes!K661-Cotacoes!K660)/Cotacoes!K660</f>
        <v>-4.1958041958042305E-3</v>
      </c>
      <c r="L661" s="5">
        <f>(Cotacoes!L661-Cotacoes!L660)/Cotacoes!L660</f>
        <v>4.7770700636941658E-3</v>
      </c>
      <c r="M661" s="5">
        <f>(Cotacoes!M661-Cotacoes!M660)/Cotacoes!M660</f>
        <v>0</v>
      </c>
      <c r="N661" s="5">
        <f>(Cotacoes!N661-Cotacoes!N660)/Cotacoes!N660</f>
        <v>-4.197271773347235E-3</v>
      </c>
      <c r="O661" s="5">
        <f>(Cotacoes!O661-Cotacoes!O660)/Cotacoes!O660</f>
        <v>1.1624688624411695E-2</v>
      </c>
      <c r="P661" s="5">
        <f>(Cotacoes!P661-Cotacoes!P660)/Cotacoes!P660</f>
        <v>1.055942484834866E-2</v>
      </c>
      <c r="Q661" s="5">
        <f>(Cotacoes!Q661-Cotacoes!Q660)/Cotacoes!Q660</f>
        <v>1.0483722641162412E-2</v>
      </c>
      <c r="R661" s="5">
        <f>(Cotacoes!R661-Cotacoes!R660)/Cotacoes!R660</f>
        <v>8.1690140845070182E-3</v>
      </c>
      <c r="S661" s="5">
        <f>(Cotacoes!S661-Cotacoes!S660)/Cotacoes!S660</f>
        <v>-1.1647254575707202E-2</v>
      </c>
      <c r="T661" s="5">
        <f>(Cotacoes!T661-Cotacoes!T660)/Cotacoes!T660</f>
        <v>-2.0489232699142733E-2</v>
      </c>
      <c r="U661" s="5">
        <f>(Cotacoes!U661-Cotacoes!U660)/Cotacoes!U660</f>
        <v>1.691591076244172E-2</v>
      </c>
      <c r="V661" s="5">
        <f>(Cotacoes!V661-Cotacoes!V660)/Cotacoes!V660</f>
        <v>1.5561780267662619E-2</v>
      </c>
      <c r="W661" s="5"/>
    </row>
    <row r="662" spans="1:23" x14ac:dyDescent="0.2">
      <c r="A662" s="4">
        <v>45526</v>
      </c>
      <c r="B662" s="5">
        <f>(Cotacoes!B662-Cotacoes!B661)/Cotacoes!B661</f>
        <v>6.7471590909091361E-3</v>
      </c>
      <c r="C662" s="5">
        <f>(Cotacoes!C662-Cotacoes!C661)/Cotacoes!C661</f>
        <v>1.4792899408283709E-3</v>
      </c>
      <c r="D662" s="5">
        <f>(Cotacoes!D662-Cotacoes!D661)/Cotacoes!D661</f>
        <v>1.5398829688944955E-3</v>
      </c>
      <c r="E662" s="5">
        <f>(Cotacoes!E662-Cotacoes!E661)/Cotacoes!E661</f>
        <v>-9.3337624718377588E-3</v>
      </c>
      <c r="F662" s="5">
        <f>(Cotacoes!F662-Cotacoes!F661)/Cotacoes!F661</f>
        <v>8.5348506401141213E-4</v>
      </c>
      <c r="G662" s="5">
        <f>(Cotacoes!G662-Cotacoes!G661)/Cotacoes!G661</f>
        <v>1.450104941805009E-2</v>
      </c>
      <c r="H662" s="5">
        <f>(Cotacoes!H662-Cotacoes!H661)/Cotacoes!H661</f>
        <v>-2.4136650575566229E-2</v>
      </c>
      <c r="I662" s="5">
        <f>(Cotacoes!I662-Cotacoes!I661)/Cotacoes!I661</f>
        <v>-1.4443277310924296E-2</v>
      </c>
      <c r="J662" s="5">
        <f>(Cotacoes!J662-Cotacoes!J661)/Cotacoes!J661</f>
        <v>-2.0010055304173043E-2</v>
      </c>
      <c r="K662" s="5">
        <f>(Cotacoes!K662-Cotacoes!K661)/Cotacoes!K661</f>
        <v>-7.0224719101123342E-3</v>
      </c>
      <c r="L662" s="5">
        <f>(Cotacoes!L662-Cotacoes!L661)/Cotacoes!L661</f>
        <v>-3.2488114104595754E-2</v>
      </c>
      <c r="M662" s="5">
        <f>(Cotacoes!M662-Cotacoes!M661)/Cotacoes!M661</f>
        <v>5.0209205020920918E-3</v>
      </c>
      <c r="N662" s="5">
        <f>(Cotacoes!N662-Cotacoes!N661)/Cotacoes!N661</f>
        <v>-5.2687038988409596E-3</v>
      </c>
      <c r="O662" s="5">
        <f>(Cotacoes!O662-Cotacoes!O661)/Cotacoes!O661</f>
        <v>-9.3023255813952481E-3</v>
      </c>
      <c r="P662" s="5">
        <f>(Cotacoes!P662-Cotacoes!P661)/Cotacoes!P661</f>
        <v>2.1565140062250025E-2</v>
      </c>
      <c r="Q662" s="5">
        <f>(Cotacoes!Q662-Cotacoes!Q661)/Cotacoes!Q661</f>
        <v>-7.280669821623434E-4</v>
      </c>
      <c r="R662" s="5">
        <f>(Cotacoes!R662-Cotacoes!R661)/Cotacoes!R661</f>
        <v>-1.7323274657725551E-2</v>
      </c>
      <c r="S662" s="5">
        <f>(Cotacoes!S662-Cotacoes!S661)/Cotacoes!S661</f>
        <v>-2.0763187429854151E-2</v>
      </c>
      <c r="T662" s="5">
        <f>(Cotacoes!T662-Cotacoes!T661)/Cotacoes!T661</f>
        <v>2.1344717182493085E-4</v>
      </c>
      <c r="U662" s="5">
        <f>(Cotacoes!U662-Cotacoes!U661)/Cotacoes!U661</f>
        <v>-4.02603664416585E-2</v>
      </c>
      <c r="V662" s="5">
        <f>(Cotacoes!V662-Cotacoes!V661)/Cotacoes!V661</f>
        <v>-3.4937174379405578E-2</v>
      </c>
      <c r="W662" s="5"/>
    </row>
    <row r="663" spans="1:23" x14ac:dyDescent="0.2">
      <c r="A663" s="4">
        <v>45527</v>
      </c>
      <c r="B663" s="5">
        <f>(Cotacoes!B663-Cotacoes!B662)/Cotacoes!B662</f>
        <v>6.9664902998235623E-3</v>
      </c>
      <c r="C663" s="5">
        <f>(Cotacoes!C663-Cotacoes!C662)/Cotacoes!C662</f>
        <v>-1.6802067946824161E-2</v>
      </c>
      <c r="D663" s="5">
        <f>(Cotacoes!D663-Cotacoes!D662)/Cotacoes!D662</f>
        <v>-6.1500615006150929E-3</v>
      </c>
      <c r="E663" s="5">
        <f>(Cotacoes!E663-Cotacoes!E662)/Cotacoes!E662</f>
        <v>-7.472384665367135E-3</v>
      </c>
      <c r="F663" s="5">
        <f>(Cotacoes!F663-Cotacoes!F662)/Cotacoes!F662</f>
        <v>-9.6645821489481608E-3</v>
      </c>
      <c r="G663" s="5">
        <f>(Cotacoes!G663-Cotacoes!G662)/Cotacoes!G662</f>
        <v>-7.3349633251833845E-3</v>
      </c>
      <c r="H663" s="5">
        <f>(Cotacoes!H663-Cotacoes!H662)/Cotacoes!H662</f>
        <v>7.2298325722982386E-3</v>
      </c>
      <c r="I663" s="5">
        <f>(Cotacoes!I663-Cotacoes!I662)/Cotacoes!I662</f>
        <v>2.3980815347721784E-2</v>
      </c>
      <c r="J663" s="5">
        <f>(Cotacoes!J663-Cotacoes!J662)/Cotacoes!J662</f>
        <v>-6.7720090293453376E-3</v>
      </c>
      <c r="K663" s="5">
        <f>(Cotacoes!K663-Cotacoes!K662)/Cotacoes!K662</f>
        <v>8.4865629420084309E-3</v>
      </c>
      <c r="L663" s="5">
        <f>(Cotacoes!L663-Cotacoes!L662)/Cotacoes!L662</f>
        <v>1.556101556101552E-2</v>
      </c>
      <c r="M663" s="5">
        <f>(Cotacoes!M663-Cotacoes!M662)/Cotacoes!M662</f>
        <v>5.8284762697752108E-3</v>
      </c>
      <c r="N663" s="5">
        <f>(Cotacoes!N663-Cotacoes!N662)/Cotacoes!N662</f>
        <v>0</v>
      </c>
      <c r="O663" s="5">
        <f>(Cotacoes!O663-Cotacoes!O662)/Cotacoes!O662</f>
        <v>-3.81110190555096E-2</v>
      </c>
      <c r="P663" s="5">
        <f>(Cotacoes!P663-Cotacoes!P662)/Cotacoes!P662</f>
        <v>6.5288356909671446E-4</v>
      </c>
      <c r="Q663" s="5">
        <f>(Cotacoes!Q663-Cotacoes!Q662)/Cotacoes!Q662</f>
        <v>-6.0109289617486031E-3</v>
      </c>
      <c r="R663" s="5">
        <f>(Cotacoes!R663-Cotacoes!R662)/Cotacoes!R662</f>
        <v>6.539664486778415E-3</v>
      </c>
      <c r="S663" s="5">
        <f>(Cotacoes!S663-Cotacoes!S662)/Cotacoes!S662</f>
        <v>1.1747851002865435E-2</v>
      </c>
      <c r="T663" s="5">
        <f>(Cotacoes!T663-Cotacoes!T662)/Cotacoes!T662</f>
        <v>4.0546308151941466E-3</v>
      </c>
      <c r="U663" s="5">
        <f>(Cotacoes!U663-Cotacoes!U662)/Cotacoes!U662</f>
        <v>8.5405676965585597E-3</v>
      </c>
      <c r="V663" s="5">
        <f>(Cotacoes!V663-Cotacoes!V662)/Cotacoes!V662</f>
        <v>3.9060019053667849E-2</v>
      </c>
      <c r="W663" s="5"/>
    </row>
    <row r="664" spans="1:23" x14ac:dyDescent="0.2">
      <c r="A664" s="4">
        <v>45530</v>
      </c>
      <c r="B664" s="5">
        <f>(Cotacoes!B664-Cotacoes!B663)/Cotacoes!B663</f>
        <v>1.4887468254663431E-3</v>
      </c>
      <c r="C664" s="5">
        <f>(Cotacoes!C664-Cotacoes!C663)/Cotacoes!C663</f>
        <v>1.1267605633802844E-2</v>
      </c>
      <c r="D664" s="5">
        <f>(Cotacoes!D664-Cotacoes!D663)/Cotacoes!D663</f>
        <v>7.2400990099009785E-2</v>
      </c>
      <c r="E664" s="5">
        <f>(Cotacoes!E664-Cotacoes!E663)/Cotacoes!E663</f>
        <v>2.2913256955810241E-3</v>
      </c>
      <c r="F664" s="5">
        <f>(Cotacoes!F664-Cotacoes!F663)/Cotacoes!F663</f>
        <v>8.9552238805970061E-2</v>
      </c>
      <c r="G664" s="5">
        <f>(Cotacoes!G664-Cotacoes!G663)/Cotacoes!G663</f>
        <v>5.1155740810912469E-3</v>
      </c>
      <c r="H664" s="5">
        <f>(Cotacoes!H664-Cotacoes!H663)/Cotacoes!H663</f>
        <v>4.1556479032867182E-3</v>
      </c>
      <c r="I664" s="5">
        <f>(Cotacoes!I664-Cotacoes!I663)/Cotacoes!I663</f>
        <v>0</v>
      </c>
      <c r="J664" s="5">
        <f>(Cotacoes!J664-Cotacoes!J663)/Cotacoes!J663</f>
        <v>-4.1322314049585893E-3</v>
      </c>
      <c r="K664" s="5">
        <f>(Cotacoes!K664-Cotacoes!K663)/Cotacoes!K663</f>
        <v>-2.8050490883589864E-3</v>
      </c>
      <c r="L664" s="5">
        <f>(Cotacoes!L664-Cotacoes!L663)/Cotacoes!L663</f>
        <v>4.8387096774193949E-3</v>
      </c>
      <c r="M664" s="5">
        <f>(Cotacoes!M664-Cotacoes!M663)/Cotacoes!M663</f>
        <v>0</v>
      </c>
      <c r="N664" s="5">
        <f>(Cotacoes!N664-Cotacoes!N663)/Cotacoes!N663</f>
        <v>-1.0593220338982825E-3</v>
      </c>
      <c r="O664" s="5">
        <f>(Cotacoes!O664-Cotacoes!O663)/Cotacoes!O663</f>
        <v>4.880849842090201E-3</v>
      </c>
      <c r="P664" s="5">
        <f>(Cotacoes!P664-Cotacoes!P663)/Cotacoes!P663</f>
        <v>5.2196607220531101E-3</v>
      </c>
      <c r="Q664" s="5">
        <f>(Cotacoes!Q664-Cotacoes!Q663)/Cotacoes!Q663</f>
        <v>-1.5942825728422164E-2</v>
      </c>
      <c r="R664" s="5">
        <f>(Cotacoes!R664-Cotacoes!R663)/Cotacoes!R663</f>
        <v>-1.6949152542371517E-3</v>
      </c>
      <c r="S664" s="5">
        <f>(Cotacoes!S664-Cotacoes!S663)/Cotacoes!S663</f>
        <v>-1.6425941659586673E-2</v>
      </c>
      <c r="T664" s="5">
        <f>(Cotacoes!T664-Cotacoes!T663)/Cotacoes!T663</f>
        <v>4.2507970244421434E-3</v>
      </c>
      <c r="U664" s="5">
        <f>(Cotacoes!U664-Cotacoes!U663)/Cotacoes!U663</f>
        <v>-2.4906600249061046E-4</v>
      </c>
      <c r="V664" s="5">
        <f>(Cotacoes!V664-Cotacoes!V663)/Cotacoes!V663</f>
        <v>-1.2224938875305363E-3</v>
      </c>
      <c r="W664" s="5"/>
    </row>
    <row r="665" spans="1:23" x14ac:dyDescent="0.2">
      <c r="A665" s="4">
        <v>45531</v>
      </c>
      <c r="B665" s="5">
        <f>(Cotacoes!B665-Cotacoes!B664)/Cotacoes!B664</f>
        <v>2.186079048618398E-3</v>
      </c>
      <c r="C665" s="5">
        <f>(Cotacoes!C665-Cotacoes!C664)/Cotacoes!C664</f>
        <v>3.0083565459609978E-2</v>
      </c>
      <c r="D665" s="5">
        <f>(Cotacoes!D665-Cotacoes!D664)/Cotacoes!D664</f>
        <v>-1.3271783035198898E-2</v>
      </c>
      <c r="E665" s="5">
        <f>(Cotacoes!E665-Cotacoes!E664)/Cotacoes!E664</f>
        <v>9.7975179621154749E-4</v>
      </c>
      <c r="F665" s="5">
        <f>(Cotacoes!F665-Cotacoes!F664)/Cotacoes!F664</f>
        <v>-1.3698630136986384E-2</v>
      </c>
      <c r="G665" s="5">
        <f>(Cotacoes!G665-Cotacoes!G664)/Cotacoes!G664</f>
        <v>-1.5080113100847936E-3</v>
      </c>
      <c r="H665" s="5">
        <f>(Cotacoes!H665-Cotacoes!H664)/Cotacoes!H664</f>
        <v>-1.1286681715575515E-2</v>
      </c>
      <c r="I665" s="5">
        <f>(Cotacoes!I665-Cotacoes!I664)/Cotacoes!I664</f>
        <v>-1.1709601873536373E-2</v>
      </c>
      <c r="J665" s="5">
        <f>(Cotacoes!J665-Cotacoes!J664)/Cotacoes!J664</f>
        <v>-2.0746887966805274E-3</v>
      </c>
      <c r="K665" s="5">
        <f>(Cotacoes!K665-Cotacoes!K664)/Cotacoes!K664</f>
        <v>-1.1954992967651189E-2</v>
      </c>
      <c r="L665" s="5">
        <f>(Cotacoes!L665-Cotacoes!L664)/Cotacoes!L664</f>
        <v>-1.2038523274478359E-2</v>
      </c>
      <c r="M665" s="5">
        <f>(Cotacoes!M665-Cotacoes!M664)/Cotacoes!M664</f>
        <v>-3.3112582781457717E-3</v>
      </c>
      <c r="N665" s="5">
        <f>(Cotacoes!N665-Cotacoes!N664)/Cotacoes!N664</f>
        <v>0</v>
      </c>
      <c r="O665" s="5">
        <f>(Cotacoes!O665-Cotacoes!O664)/Cotacoes!O664</f>
        <v>-5.714285714286607E-4</v>
      </c>
      <c r="P665" s="5">
        <f>(Cotacoes!P665-Cotacoes!P664)/Cotacoes!P664</f>
        <v>-1.254868022501078E-2</v>
      </c>
      <c r="Q665" s="5">
        <f>(Cotacoes!Q665-Cotacoes!Q664)/Cotacoes!Q664</f>
        <v>8.0074487895716896E-3</v>
      </c>
      <c r="R665" s="5">
        <f>(Cotacoes!R665-Cotacoes!R664)/Cotacoes!R664</f>
        <v>-7.0741369552914535E-3</v>
      </c>
      <c r="S665" s="5">
        <f>(Cotacoes!S665-Cotacoes!S664)/Cotacoes!S664</f>
        <v>4.3190325367119409E-3</v>
      </c>
      <c r="T665" s="5">
        <f>(Cotacoes!T665-Cotacoes!T664)/Cotacoes!T664</f>
        <v>1.0370370370370412E-2</v>
      </c>
      <c r="U665" s="5">
        <f>(Cotacoes!U665-Cotacoes!U664)/Cotacoes!U664</f>
        <v>1.4449427005480775E-2</v>
      </c>
      <c r="V665" s="5">
        <f>(Cotacoes!V665-Cotacoes!V664)/Cotacoes!V664</f>
        <v>-1.6523867809057503E-2</v>
      </c>
      <c r="W665" s="5"/>
    </row>
    <row r="666" spans="1:23" x14ac:dyDescent="0.2">
      <c r="A666" s="4">
        <v>45532</v>
      </c>
      <c r="B666" s="5">
        <f>(Cotacoes!B666-Cotacoes!B665)/Cotacoes!B665</f>
        <v>-8.6379897042142481E-3</v>
      </c>
      <c r="C666" s="5">
        <f>(Cotacoes!C666-Cotacoes!C665)/Cotacoes!C665</f>
        <v>-7.0308274743104485E-3</v>
      </c>
      <c r="D666" s="5">
        <f>(Cotacoes!D666-Cotacoes!D665)/Cotacoes!D665</f>
        <v>1.4327485380116809E-2</v>
      </c>
      <c r="E666" s="5">
        <f>(Cotacoes!E666-Cotacoes!E665)/Cotacoes!E665</f>
        <v>2.153344208809136E-2</v>
      </c>
      <c r="F666" s="5">
        <f>(Cotacoes!F666-Cotacoes!F665)/Cotacoes!F665</f>
        <v>2.2702991452991494E-2</v>
      </c>
      <c r="G666" s="5">
        <f>(Cotacoes!G666-Cotacoes!G665)/Cotacoes!G665</f>
        <v>0</v>
      </c>
      <c r="H666" s="5">
        <f>(Cotacoes!H666-Cotacoes!H665)/Cotacoes!H665</f>
        <v>6.0882800608828055E-3</v>
      </c>
      <c r="I666" s="5">
        <f>(Cotacoes!I666-Cotacoes!I665)/Cotacoes!I665</f>
        <v>1.5534491837809465E-2</v>
      </c>
      <c r="J666" s="5">
        <f>(Cotacoes!J666-Cotacoes!J665)/Cotacoes!J665</f>
        <v>1.5592515592514707E-3</v>
      </c>
      <c r="K666" s="5">
        <f>(Cotacoes!K666-Cotacoes!K665)/Cotacoes!K665</f>
        <v>1.565836298932376E-2</v>
      </c>
      <c r="L666" s="5">
        <f>(Cotacoes!L666-Cotacoes!L665)/Cotacoes!L665</f>
        <v>4.0617384240454043E-3</v>
      </c>
      <c r="M666" s="5">
        <f>(Cotacoes!M666-Cotacoes!M665)/Cotacoes!M665</f>
        <v>-6.6445182724251079E-3</v>
      </c>
      <c r="N666" s="5">
        <f>(Cotacoes!N666-Cotacoes!N665)/Cotacoes!N665</f>
        <v>1.8027571580063621E-2</v>
      </c>
      <c r="O666" s="5">
        <f>(Cotacoes!O666-Cotacoes!O665)/Cotacoes!O665</f>
        <v>1.7152658662093277E-3</v>
      </c>
      <c r="P666" s="5">
        <f>(Cotacoes!P666-Cotacoes!P665)/Cotacoes!P665</f>
        <v>1.9281332164767802E-2</v>
      </c>
      <c r="Q666" s="5">
        <f>(Cotacoes!Q666-Cotacoes!Q665)/Cotacoes!Q665</f>
        <v>8.1285793460188008E-3</v>
      </c>
      <c r="R666" s="5">
        <f>(Cotacoes!R666-Cotacoes!R665)/Cotacoes!R665</f>
        <v>9.1194072385293E-3</v>
      </c>
      <c r="S666" s="5">
        <f>(Cotacoes!S666-Cotacoes!S665)/Cotacoes!S665</f>
        <v>-4.5871559633028575E-3</v>
      </c>
      <c r="T666" s="5">
        <f>(Cotacoes!T666-Cotacoes!T665)/Cotacoes!T665</f>
        <v>-7.9597821533305933E-3</v>
      </c>
      <c r="U666" s="5">
        <f>(Cotacoes!U666-Cotacoes!U665)/Cotacoes!U665</f>
        <v>-9.3320235756383946E-3</v>
      </c>
      <c r="V666" s="5">
        <f>(Cotacoes!V666-Cotacoes!V665)/Cotacoes!V665</f>
        <v>-3.73366521468567E-3</v>
      </c>
      <c r="W666" s="5"/>
    </row>
    <row r="667" spans="1:23" x14ac:dyDescent="0.2">
      <c r="A667" s="4">
        <v>45533</v>
      </c>
      <c r="B667" s="5">
        <f>(Cotacoes!B667-Cotacoes!B666)/Cotacoes!B666</f>
        <v>-4.224608343601513E-3</v>
      </c>
      <c r="C667" s="5">
        <f>(Cotacoes!C667-Cotacoes!C666)/Cotacoes!C666</f>
        <v>-1.2708787218591192E-3</v>
      </c>
      <c r="D667" s="5">
        <f>(Cotacoes!D667-Cotacoes!D666)/Cotacoes!D666</f>
        <v>-6.9184202940327155E-3</v>
      </c>
      <c r="E667" s="5">
        <f>(Cotacoes!E667-Cotacoes!E666)/Cotacoes!E666</f>
        <v>-1.0859150431172145E-2</v>
      </c>
      <c r="F667" s="5">
        <f>(Cotacoes!F667-Cotacoes!F666)/Cotacoes!F666</f>
        <v>-1.1752415774353505E-2</v>
      </c>
      <c r="G667" s="5">
        <f>(Cotacoes!G667-Cotacoes!G666)/Cotacoes!G666</f>
        <v>-8.4953747404190247E-3</v>
      </c>
      <c r="H667" s="5">
        <f>(Cotacoes!H667-Cotacoes!H666)/Cotacoes!H666</f>
        <v>4.1603630862329585E-3</v>
      </c>
      <c r="I667" s="5">
        <f>(Cotacoes!I667-Cotacoes!I666)/Cotacoes!I666</f>
        <v>-1.7630282603059363E-2</v>
      </c>
      <c r="J667" s="5">
        <f>(Cotacoes!J667-Cotacoes!J666)/Cotacoes!J666</f>
        <v>-9.963674104826091E-3</v>
      </c>
      <c r="K667" s="5">
        <f>(Cotacoes!K667-Cotacoes!K666)/Cotacoes!K666</f>
        <v>-2.1023125437981331E-3</v>
      </c>
      <c r="L667" s="5">
        <f>(Cotacoes!L667-Cotacoes!L666)/Cotacoes!L666</f>
        <v>-1.2135922330096973E-2</v>
      </c>
      <c r="M667" s="5">
        <f>(Cotacoes!M667-Cotacoes!M666)/Cotacoes!M666</f>
        <v>-6.6889632107023462E-3</v>
      </c>
      <c r="N667" s="5">
        <f>(Cotacoes!N667-Cotacoes!N666)/Cotacoes!N666</f>
        <v>-1.2499999999999919E-2</v>
      </c>
      <c r="O667" s="5">
        <f>(Cotacoes!O667-Cotacoes!O666)/Cotacoes!O666</f>
        <v>-2.8538812785388534E-3</v>
      </c>
      <c r="P667" s="5">
        <f>(Cotacoes!P667-Cotacoes!P666)/Cotacoes!P666</f>
        <v>-4.944110060189251E-3</v>
      </c>
      <c r="Q667" s="5">
        <f>(Cotacoes!Q667-Cotacoes!Q666)/Cotacoes!Q666</f>
        <v>-1.026204874473158E-2</v>
      </c>
      <c r="R667" s="5">
        <f>(Cotacoes!R667-Cotacoes!R666)/Cotacoes!R666</f>
        <v>-2.2027675797797065E-2</v>
      </c>
      <c r="S667" s="5">
        <f>(Cotacoes!S667-Cotacoes!S666)/Cotacoes!S666</f>
        <v>-1.2960829493087436E-2</v>
      </c>
      <c r="T667" s="5">
        <f>(Cotacoes!T667-Cotacoes!T666)/Cotacoes!T666</f>
        <v>-1.330236486486492E-2</v>
      </c>
      <c r="U667" s="5">
        <f>(Cotacoes!U667-Cotacoes!U666)/Cotacoes!U666</f>
        <v>-1.760039662865644E-2</v>
      </c>
      <c r="V667" s="5">
        <f>(Cotacoes!V667-Cotacoes!V666)/Cotacoes!V666</f>
        <v>-1.0930668332292361E-2</v>
      </c>
      <c r="W667" s="5"/>
    </row>
    <row r="668" spans="1:23" x14ac:dyDescent="0.2">
      <c r="A668" s="4">
        <v>45534</v>
      </c>
      <c r="B668" s="5">
        <f>(Cotacoes!B668-Cotacoes!B667)/Cotacoes!B667</f>
        <v>-3.9773731659890656E-3</v>
      </c>
      <c r="C668" s="5">
        <f>(Cotacoes!C668-Cotacoes!C667)/Cotacoes!C667</f>
        <v>4.7264133793856597E-3</v>
      </c>
      <c r="D668" s="5">
        <f>(Cotacoes!D668-Cotacoes!D667)/Cotacoes!D667</f>
        <v>1.1611030478954759E-3</v>
      </c>
      <c r="E668" s="5">
        <f>(Cotacoes!E668-Cotacoes!E667)/Cotacoes!E667</f>
        <v>-7.1036486922828176E-3</v>
      </c>
      <c r="F668" s="5">
        <f>(Cotacoes!F668-Cotacoes!F667)/Cotacoes!F667</f>
        <v>3.6997885835093405E-3</v>
      </c>
      <c r="G668" s="5">
        <f>(Cotacoes!G668-Cotacoes!G667)/Cotacoes!G667</f>
        <v>1.1424219345011316E-2</v>
      </c>
      <c r="H668" s="5">
        <f>(Cotacoes!H668-Cotacoes!H667)/Cotacoes!H667</f>
        <v>-6.4030131826742637E-3</v>
      </c>
      <c r="I668" s="5">
        <f>(Cotacoes!I668-Cotacoes!I667)/Cotacoes!I667</f>
        <v>1.1084718923198778E-2</v>
      </c>
      <c r="J668" s="5">
        <f>(Cotacoes!J668-Cotacoes!J667)/Cotacoes!J667</f>
        <v>-6.9189642520179956E-3</v>
      </c>
      <c r="K668" s="5">
        <f>(Cotacoes!K668-Cotacoes!K667)/Cotacoes!K667</f>
        <v>7.0224719101122097E-4</v>
      </c>
      <c r="L668" s="5">
        <f>(Cotacoes!L668-Cotacoes!L667)/Cotacoes!L667</f>
        <v>1.0647010647010565E-2</v>
      </c>
      <c r="M668" s="5">
        <f>(Cotacoes!M668-Cotacoes!M667)/Cotacoes!M667</f>
        <v>0</v>
      </c>
      <c r="N668" s="5">
        <f>(Cotacoes!N668-Cotacoes!N667)/Cotacoes!N667</f>
        <v>-4.2194092827005196E-3</v>
      </c>
      <c r="O668" s="5">
        <f>(Cotacoes!O668-Cotacoes!O667)/Cotacoes!O667</f>
        <v>1.7172295363480903E-3</v>
      </c>
      <c r="P668" s="5">
        <f>(Cotacoes!P668-Cotacoes!P667)/Cotacoes!P667</f>
        <v>1.0585439619788334E-2</v>
      </c>
      <c r="Q668" s="5">
        <f>(Cotacoes!Q668-Cotacoes!Q667)/Cotacoes!Q667</f>
        <v>-9.0723940011108103E-3</v>
      </c>
      <c r="R668" s="5">
        <f>(Cotacoes!R668-Cotacoes!R667)/Cotacoes!R667</f>
        <v>0</v>
      </c>
      <c r="S668" s="5">
        <f>(Cotacoes!S668-Cotacoes!S667)/Cotacoes!S667</f>
        <v>-2.0426028596440115E-3</v>
      </c>
      <c r="T668" s="5">
        <f>(Cotacoes!T668-Cotacoes!T667)/Cotacoes!T667</f>
        <v>2.3539482131394508E-3</v>
      </c>
      <c r="U668" s="5">
        <f>(Cotacoes!U668-Cotacoes!U667)/Cotacoes!U667</f>
        <v>-9.0840272520817406E-3</v>
      </c>
      <c r="V668" s="5">
        <f>(Cotacoes!V668-Cotacoes!V667)/Cotacoes!V667</f>
        <v>-1.736659299021158E-2</v>
      </c>
      <c r="W668" s="5"/>
    </row>
    <row r="669" spans="1:23" x14ac:dyDescent="0.2">
      <c r="A669" s="4">
        <v>45537</v>
      </c>
      <c r="B669" s="5">
        <f>(Cotacoes!B669-Cotacoes!B668)/Cotacoes!B668</f>
        <v>-4.170733871683369E-3</v>
      </c>
      <c r="C669" s="5">
        <f>(Cotacoes!C669-Cotacoes!C668)/Cotacoes!C668</f>
        <v>-1.411253844762079E-2</v>
      </c>
      <c r="D669" s="5">
        <f>(Cotacoes!D669-Cotacoes!D668)/Cotacoes!D668</f>
        <v>-9.5679907219485463E-3</v>
      </c>
      <c r="E669" s="5">
        <f>(Cotacoes!E669-Cotacoes!E668)/Cotacoes!E668</f>
        <v>-8.130081300813009E-3</v>
      </c>
      <c r="F669" s="5">
        <f>(Cotacoes!F669-Cotacoes!F668)/Cotacoes!F668</f>
        <v>-4.2127435492363505E-3</v>
      </c>
      <c r="G669" s="5">
        <f>(Cotacoes!G669-Cotacoes!G668)/Cotacoes!G668</f>
        <v>-3.3320783132530049E-2</v>
      </c>
      <c r="H669" s="5">
        <f>(Cotacoes!H669-Cotacoes!H668)/Cotacoes!H668</f>
        <v>1.0614101592115283E-2</v>
      </c>
      <c r="I669" s="5">
        <f>(Cotacoes!I669-Cotacoes!I668)/Cotacoes!I668</f>
        <v>3.3933698773165087E-3</v>
      </c>
      <c r="J669" s="5">
        <f>(Cotacoes!J669-Cotacoes!J668)/Cotacoes!J668</f>
        <v>-3.9058376438298801E-3</v>
      </c>
      <c r="K669" s="5">
        <f>(Cotacoes!K669-Cotacoes!K668)/Cotacoes!K668</f>
        <v>-2.8070175438595895E-3</v>
      </c>
      <c r="L669" s="5">
        <f>(Cotacoes!L669-Cotacoes!L668)/Cotacoes!L668</f>
        <v>-1.9448946515397102E-2</v>
      </c>
      <c r="M669" s="5">
        <f>(Cotacoes!M669-Cotacoes!M668)/Cotacoes!M668</f>
        <v>8.4175084175082372E-4</v>
      </c>
      <c r="N669" s="5">
        <f>(Cotacoes!N669-Cotacoes!N668)/Cotacoes!N668</f>
        <v>-7.4152542372881661E-3</v>
      </c>
      <c r="O669" s="5">
        <f>(Cotacoes!O669-Cotacoes!O668)/Cotacoes!O668</f>
        <v>-2.0571428571428539E-2</v>
      </c>
      <c r="P669" s="5">
        <f>(Cotacoes!P669-Cotacoes!P668)/Cotacoes!P668</f>
        <v>-2.6079521162890099E-2</v>
      </c>
      <c r="Q669" s="5">
        <f>(Cotacoes!Q669-Cotacoes!Q668)/Cotacoes!Q668</f>
        <v>1.6816143497757157E-3</v>
      </c>
      <c r="R669" s="5">
        <f>(Cotacoes!R669-Cotacoes!R668)/Cotacoes!R668</f>
        <v>-7.2191741264799299E-3</v>
      </c>
      <c r="S669" s="5">
        <f>(Cotacoes!S669-Cotacoes!S668)/Cotacoes!S668</f>
        <v>-2.6315789473685207E-3</v>
      </c>
      <c r="T669" s="5">
        <f>(Cotacoes!T669-Cotacoes!T668)/Cotacoes!T668</f>
        <v>-2.7754056362084235E-3</v>
      </c>
      <c r="U669" s="5">
        <f>(Cotacoes!U669-Cotacoes!U668)/Cotacoes!U668</f>
        <v>-2.8011204481794378E-3</v>
      </c>
      <c r="V669" s="5">
        <f>(Cotacoes!V669-Cotacoes!V668)/Cotacoes!V668</f>
        <v>-8.0334190231362464E-3</v>
      </c>
      <c r="W669" s="5"/>
    </row>
    <row r="670" spans="1:23" x14ac:dyDescent="0.2">
      <c r="A670" s="4">
        <v>45538</v>
      </c>
      <c r="B670" s="5">
        <f>(Cotacoes!B670-Cotacoes!B669)/Cotacoes!B669</f>
        <v>1.6307253608982341E-2</v>
      </c>
      <c r="C670" s="5">
        <f>(Cotacoes!C670-Cotacoes!C669)/Cotacoes!C669</f>
        <v>-3.7254542117819804E-2</v>
      </c>
      <c r="D670" s="5">
        <f>(Cotacoes!D670-Cotacoes!D669)/Cotacoes!D669</f>
        <v>-1.2002341920374608E-2</v>
      </c>
      <c r="E670" s="5">
        <f>(Cotacoes!E670-Cotacoes!E669)/Cotacoes!E669</f>
        <v>1.6393442622950821E-2</v>
      </c>
      <c r="F670" s="5">
        <f>(Cotacoes!F670-Cotacoes!F669)/Cotacoes!F669</f>
        <v>-1.0576414595452104E-2</v>
      </c>
      <c r="G670" s="5">
        <f>(Cotacoes!G670-Cotacoes!G669)/Cotacoes!G669</f>
        <v>8.5686465433300434E-3</v>
      </c>
      <c r="H670" s="5">
        <f>(Cotacoes!H670-Cotacoes!H669)/Cotacoes!H669</f>
        <v>9.377344336084021E-3</v>
      </c>
      <c r="I670" s="5">
        <f>(Cotacoes!I670-Cotacoes!I669)/Cotacoes!I669</f>
        <v>-4.6826222684703362E-3</v>
      </c>
      <c r="J670" s="5">
        <f>(Cotacoes!J670-Cotacoes!J669)/Cotacoes!J669</f>
        <v>3.6032217041119482E-3</v>
      </c>
      <c r="K670" s="5">
        <f>(Cotacoes!K670-Cotacoes!K669)/Cotacoes!K669</f>
        <v>1.0555946516537549E-2</v>
      </c>
      <c r="L670" s="5">
        <f>(Cotacoes!L670-Cotacoes!L669)/Cotacoes!L669</f>
        <v>-2.2314049586776824E-2</v>
      </c>
      <c r="M670" s="5">
        <f>(Cotacoes!M670-Cotacoes!M669)/Cotacoes!M669</f>
        <v>-5.8873002523128918E-3</v>
      </c>
      <c r="N670" s="5">
        <f>(Cotacoes!N670-Cotacoes!N669)/Cotacoes!N669</f>
        <v>1.6008537886873037E-2</v>
      </c>
      <c r="O670" s="5">
        <f>(Cotacoes!O670-Cotacoes!O669)/Cotacoes!O669</f>
        <v>-1.2543757292882138E-2</v>
      </c>
      <c r="P670" s="5">
        <f>(Cotacoes!P670-Cotacoes!P669)/Cotacoes!P669</f>
        <v>1.7778753292361615E-2</v>
      </c>
      <c r="Q670" s="5">
        <f>(Cotacoes!Q670-Cotacoes!Q669)/Cotacoes!Q669</f>
        <v>-9.1400858048871856E-3</v>
      </c>
      <c r="R670" s="5">
        <f>(Cotacoes!R670-Cotacoes!R669)/Cotacoes!R669</f>
        <v>2.617801047120311E-3</v>
      </c>
      <c r="S670" s="5">
        <f>(Cotacoes!S670-Cotacoes!S669)/Cotacoes!S669</f>
        <v>3.2248607446496462E-3</v>
      </c>
      <c r="T670" s="5">
        <f>(Cotacoes!T670-Cotacoes!T669)/Cotacoes!T669</f>
        <v>-5.1594947548704855E-2</v>
      </c>
      <c r="U670" s="5">
        <f>(Cotacoes!U670-Cotacoes!U669)/Cotacoes!U669</f>
        <v>-1.3278855975485088E-2</v>
      </c>
      <c r="V670" s="5">
        <f>(Cotacoes!V670-Cotacoes!V669)/Cotacoes!V669</f>
        <v>2.2675736961451223E-2</v>
      </c>
      <c r="W670" s="5"/>
    </row>
    <row r="671" spans="1:23" x14ac:dyDescent="0.2">
      <c r="A671" s="4">
        <v>45539</v>
      </c>
      <c r="B671" s="5">
        <f>(Cotacoes!B671-Cotacoes!B670)/Cotacoes!B670</f>
        <v>8.7680841736088139E-4</v>
      </c>
      <c r="C671" s="5">
        <f>(Cotacoes!C671-Cotacoes!C670)/Cotacoes!C670</f>
        <v>7.8154784597788147E-3</v>
      </c>
      <c r="D671" s="5">
        <f>(Cotacoes!D671-Cotacoes!D670)/Cotacoes!D670</f>
        <v>2.9629629629623737E-4</v>
      </c>
      <c r="E671" s="5">
        <f>(Cotacoes!E671-Cotacoes!E670)/Cotacoes!E670</f>
        <v>7.0967741935483502E-3</v>
      </c>
      <c r="F671" s="5">
        <f>(Cotacoes!F671-Cotacoes!F670)/Cotacoes!F670</f>
        <v>-3.7413148049171715E-3</v>
      </c>
      <c r="G671" s="5">
        <f>(Cotacoes!G671-Cotacoes!G670)/Cotacoes!G670</f>
        <v>1.1199073180150575E-2</v>
      </c>
      <c r="H671" s="5">
        <f>(Cotacoes!H671-Cotacoes!H670)/Cotacoes!H670</f>
        <v>1.0776662950575963E-2</v>
      </c>
      <c r="I671" s="5">
        <f>(Cotacoes!I671-Cotacoes!I670)/Cotacoes!I670</f>
        <v>2.378463146889712E-2</v>
      </c>
      <c r="J671" s="5">
        <f>(Cotacoes!J671-Cotacoes!J670)/Cotacoes!J670</f>
        <v>9.2925026399154741E-3</v>
      </c>
      <c r="K671" s="5">
        <f>(Cotacoes!K671-Cotacoes!K670)/Cotacoes!K670</f>
        <v>7.6601671309193048E-3</v>
      </c>
      <c r="L671" s="5">
        <f>(Cotacoes!L671-Cotacoes!L670)/Cotacoes!L670</f>
        <v>3.2967032967033016E-2</v>
      </c>
      <c r="M671" s="5">
        <f>(Cotacoes!M671-Cotacoes!M670)/Cotacoes!M670</f>
        <v>1.5228426395939063E-2</v>
      </c>
      <c r="N671" s="5">
        <f>(Cotacoes!N671-Cotacoes!N670)/Cotacoes!N670</f>
        <v>8.4033613445378234E-3</v>
      </c>
      <c r="O671" s="5">
        <f>(Cotacoes!O671-Cotacoes!O670)/Cotacoes!O670</f>
        <v>1.5361890694239173E-2</v>
      </c>
      <c r="P671" s="5">
        <f>(Cotacoes!P671-Cotacoes!P670)/Cotacoes!P670</f>
        <v>5.8011645460427107E-2</v>
      </c>
      <c r="Q671" s="5">
        <f>(Cotacoes!Q671-Cotacoes!Q670)/Cotacoes!Q670</f>
        <v>1.4495481927710902E-2</v>
      </c>
      <c r="R671" s="5">
        <f>(Cotacoes!R671-Cotacoes!R670)/Cotacoes!R670</f>
        <v>2.3208587177255091E-3</v>
      </c>
      <c r="S671" s="5">
        <f>(Cotacoes!S671-Cotacoes!S670)/Cotacoes!S670</f>
        <v>4.2665108123904179E-2</v>
      </c>
      <c r="T671" s="5">
        <f>(Cotacoes!T671-Cotacoes!T670)/Cotacoes!T670</f>
        <v>-1.3092550790067683E-2</v>
      </c>
      <c r="U671" s="5">
        <f>(Cotacoes!U671-Cotacoes!U670)/Cotacoes!U670</f>
        <v>3.0020703933747322E-2</v>
      </c>
      <c r="V671" s="5">
        <f>(Cotacoes!V671-Cotacoes!V670)/Cotacoes!V670</f>
        <v>3.1358885017421664E-2</v>
      </c>
      <c r="W671" s="5"/>
    </row>
    <row r="672" spans="1:23" x14ac:dyDescent="0.2">
      <c r="A672" s="4">
        <v>45540</v>
      </c>
      <c r="B672" s="5">
        <f>(Cotacoes!B672-Cotacoes!B671)/Cotacoes!B671</f>
        <v>-1.4454664914586119E-2</v>
      </c>
      <c r="C672" s="5">
        <f>(Cotacoes!C672-Cotacoes!C671)/Cotacoes!C671</f>
        <v>7.1874408927558647E-3</v>
      </c>
      <c r="D672" s="5">
        <f>(Cotacoes!D672-Cotacoes!D671)/Cotacoes!D671</f>
        <v>-6.2203791469194565E-3</v>
      </c>
      <c r="E672" s="5">
        <f>(Cotacoes!E672-Cotacoes!E671)/Cotacoes!E671</f>
        <v>6.4061499039078425E-3</v>
      </c>
      <c r="F672" s="5">
        <f>(Cotacoes!F672-Cotacoes!F671)/Cotacoes!F671</f>
        <v>-5.9012875536480379E-3</v>
      </c>
      <c r="G672" s="5">
        <f>(Cotacoes!G672-Cotacoes!G671)/Cotacoes!G671</f>
        <v>1.1265991980141369E-2</v>
      </c>
      <c r="H672" s="5">
        <f>(Cotacoes!H672-Cotacoes!H671)/Cotacoes!H671</f>
        <v>8.8235294117647786E-3</v>
      </c>
      <c r="I672" s="5">
        <f>(Cotacoes!I672-Cotacoes!I671)/Cotacoes!I671</f>
        <v>-7.4036252233852214E-3</v>
      </c>
      <c r="J672" s="5">
        <f>(Cotacoes!J672-Cotacoes!J671)/Cotacoes!J671</f>
        <v>-2.0924879681942128E-3</v>
      </c>
      <c r="K672" s="5">
        <f>(Cotacoes!K672-Cotacoes!K671)/Cotacoes!K671</f>
        <v>8.9841050449204554E-3</v>
      </c>
      <c r="L672" s="5">
        <f>(Cotacoes!L672-Cotacoes!L671)/Cotacoes!L671</f>
        <v>3.2733224222585224E-3</v>
      </c>
      <c r="M672" s="5">
        <f>(Cotacoes!M672-Cotacoes!M671)/Cotacoes!M671</f>
        <v>-1.6666666666666312E-3</v>
      </c>
      <c r="N672" s="5">
        <f>(Cotacoes!N672-Cotacoes!N671)/Cotacoes!N671</f>
        <v>9.3749999999999858E-3</v>
      </c>
      <c r="O672" s="5">
        <f>(Cotacoes!O672-Cotacoes!O671)/Cotacoes!O671</f>
        <v>6.6918824556300265E-3</v>
      </c>
      <c r="P672" s="5">
        <f>(Cotacoes!P672-Cotacoes!P671)/Cotacoes!P671</f>
        <v>1.38605788830004E-2</v>
      </c>
      <c r="Q672" s="5">
        <f>(Cotacoes!Q672-Cotacoes!Q671)/Cotacoes!Q671</f>
        <v>-1.6700686583782411E-3</v>
      </c>
      <c r="R672" s="5">
        <f>(Cotacoes!R672-Cotacoes!R671)/Cotacoes!R671</f>
        <v>2.8943560057887534E-3</v>
      </c>
      <c r="S672" s="5">
        <f>(Cotacoes!S672-Cotacoes!S671)/Cotacoes!S671</f>
        <v>-1.7937219730941721E-2</v>
      </c>
      <c r="T672" s="5">
        <f>(Cotacoes!T672-Cotacoes!T671)/Cotacoes!T671</f>
        <v>-4.5745654162853552E-3</v>
      </c>
      <c r="U672" s="5">
        <f>(Cotacoes!U672-Cotacoes!U671)/Cotacoes!U671</f>
        <v>1.3316582914572894E-2</v>
      </c>
      <c r="V672" s="5">
        <f>(Cotacoes!V672-Cotacoes!V671)/Cotacoes!V671</f>
        <v>-7.0638820638821856E-3</v>
      </c>
      <c r="W672" s="5"/>
    </row>
    <row r="673" spans="1:23" x14ac:dyDescent="0.2">
      <c r="A673" s="4">
        <v>45541</v>
      </c>
      <c r="B673" s="5">
        <f>(Cotacoes!B673-Cotacoes!B672)/Cotacoes!B672</f>
        <v>1.777777777777803E-3</v>
      </c>
      <c r="C673" s="5">
        <f>(Cotacoes!C673-Cotacoes!C672)/Cotacoes!C672</f>
        <v>-1.2582159624413178E-2</v>
      </c>
      <c r="D673" s="5">
        <f>(Cotacoes!D673-Cotacoes!D672)/Cotacoes!D672</f>
        <v>-1.9672131147540885E-2</v>
      </c>
      <c r="E673" s="5">
        <f>(Cotacoes!E673-Cotacoes!E672)/Cotacoes!E672</f>
        <v>-1.4322087842138854E-2</v>
      </c>
      <c r="F673" s="5">
        <f>(Cotacoes!F673-Cotacoes!F672)/Cotacoes!F672</f>
        <v>-1.8348623853211E-2</v>
      </c>
      <c r="G673" s="5">
        <f>(Cotacoes!G673-Cotacoes!G672)/Cotacoes!G672</f>
        <v>-2.0581570996978917E-2</v>
      </c>
      <c r="H673" s="5">
        <f>(Cotacoes!H673-Cotacoes!H672)/Cotacoes!H672</f>
        <v>-1.6399416909621094E-2</v>
      </c>
      <c r="I673" s="5">
        <f>(Cotacoes!I673-Cotacoes!I672)/Cotacoes!I672</f>
        <v>-1.46604938271605E-2</v>
      </c>
      <c r="J673" s="5">
        <f>(Cotacoes!J673-Cotacoes!J672)/Cotacoes!J672</f>
        <v>-6.6051583141119256E-3</v>
      </c>
      <c r="K673" s="5">
        <f>(Cotacoes!K673-Cotacoes!K672)/Cotacoes!K672</f>
        <v>-1.9178082191780778E-2</v>
      </c>
      <c r="L673" s="5">
        <f>(Cotacoes!L673-Cotacoes!L672)/Cotacoes!L672</f>
        <v>-2.9363784665579075E-2</v>
      </c>
      <c r="M673" s="5">
        <f>(Cotacoes!M673-Cotacoes!M672)/Cotacoes!M672</f>
        <v>1.6694490818029693E-3</v>
      </c>
      <c r="N673" s="5">
        <f>(Cotacoes!N673-Cotacoes!N672)/Cotacoes!N672</f>
        <v>-1.0319917440660438E-2</v>
      </c>
      <c r="O673" s="5">
        <f>(Cotacoes!O673-Cotacoes!O672)/Cotacoes!O672</f>
        <v>-7.5144508670519656E-3</v>
      </c>
      <c r="P673" s="5">
        <f>(Cotacoes!P673-Cotacoes!P672)/Cotacoes!P672</f>
        <v>-3.940490550864497E-2</v>
      </c>
      <c r="Q673" s="5">
        <f>(Cotacoes!Q673-Cotacoes!Q672)/Cotacoes!Q672</f>
        <v>-1.6542750929368043E-2</v>
      </c>
      <c r="R673" s="5">
        <f>(Cotacoes!R673-Cotacoes!R672)/Cotacoes!R672</f>
        <v>-1.6450216450216458E-2</v>
      </c>
      <c r="S673" s="5">
        <f>(Cotacoes!S673-Cotacoes!S672)/Cotacoes!S672</f>
        <v>-6.8493150684932076E-3</v>
      </c>
      <c r="T673" s="5">
        <f>(Cotacoes!T673-Cotacoes!T672)/Cotacoes!T672</f>
        <v>-2.4356617647058872E-2</v>
      </c>
      <c r="U673" s="5">
        <f>(Cotacoes!U673-Cotacoes!U672)/Cotacoes!U672</f>
        <v>-1.0909992561368652E-2</v>
      </c>
      <c r="V673" s="5">
        <f>(Cotacoes!V673-Cotacoes!V672)/Cotacoes!V672</f>
        <v>5.5675842870398923E-3</v>
      </c>
      <c r="W673" s="5"/>
    </row>
    <row r="674" spans="1:23" x14ac:dyDescent="0.2">
      <c r="A674" s="4">
        <v>45544</v>
      </c>
      <c r="B674" s="5">
        <f>(Cotacoes!B674-Cotacoes!B673)/Cotacoes!B673</f>
        <v>-4.4365572315882874E-3</v>
      </c>
      <c r="C674" s="5">
        <f>(Cotacoes!C674-Cotacoes!C673)/Cotacoes!C673</f>
        <v>0</v>
      </c>
      <c r="D674" s="5">
        <f>(Cotacoes!D674-Cotacoes!D673)/Cotacoes!D673</f>
        <v>1.0945576162967451E-2</v>
      </c>
      <c r="E674" s="5">
        <f>(Cotacoes!E674-Cotacoes!E673)/Cotacoes!E673</f>
        <v>1.0009686793671368E-2</v>
      </c>
      <c r="F674" s="5">
        <f>(Cotacoes!F674-Cotacoes!F673)/Cotacoes!F673</f>
        <v>1.3194062671797605E-2</v>
      </c>
      <c r="G674" s="5">
        <f>(Cotacoes!G674-Cotacoes!G673)/Cotacoes!G673</f>
        <v>-8.09716599190273E-3</v>
      </c>
      <c r="H674" s="5">
        <f>(Cotacoes!H674-Cotacoes!H673)/Cotacoes!H673</f>
        <v>1.2597258243793994E-2</v>
      </c>
      <c r="I674" s="5">
        <f>(Cotacoes!I674-Cotacoes!I673)/Cotacoes!I673</f>
        <v>-2.6102845210141258E-4</v>
      </c>
      <c r="J674" s="5">
        <f>(Cotacoes!J674-Cotacoes!J673)/Cotacoes!J673</f>
        <v>4.2216358839056731E-4</v>
      </c>
      <c r="K674" s="5">
        <f>(Cotacoes!K674-Cotacoes!K673)/Cotacoes!K673</f>
        <v>2.7932960893854151E-3</v>
      </c>
      <c r="L674" s="5">
        <f>(Cotacoes!L674-Cotacoes!L673)/Cotacoes!L673</f>
        <v>5.8823529411764939E-3</v>
      </c>
      <c r="M674" s="5">
        <f>(Cotacoes!M674-Cotacoes!M673)/Cotacoes!M673</f>
        <v>9.1666666666666199E-3</v>
      </c>
      <c r="N674" s="5">
        <f>(Cotacoes!N674-Cotacoes!N673)/Cotacoes!N673</f>
        <v>1.0427528675703821E-2</v>
      </c>
      <c r="O674" s="5">
        <f>(Cotacoes!O674-Cotacoes!O673)/Cotacoes!O673</f>
        <v>-1.2813046010483541E-2</v>
      </c>
      <c r="P674" s="5">
        <f>(Cotacoes!P674-Cotacoes!P673)/Cotacoes!P673</f>
        <v>4.3951444118878373E-3</v>
      </c>
      <c r="Q674" s="5">
        <f>(Cotacoes!Q674-Cotacoes!Q673)/Cotacoes!Q673</f>
        <v>-4.5360045360044393E-3</v>
      </c>
      <c r="R674" s="5">
        <f>(Cotacoes!R674-Cotacoes!R673)/Cotacoes!R673</f>
        <v>1.7018779342722955E-2</v>
      </c>
      <c r="S674" s="5">
        <f>(Cotacoes!S674-Cotacoes!S673)/Cotacoes!S673</f>
        <v>-4.5977011494251901E-3</v>
      </c>
      <c r="T674" s="5">
        <f>(Cotacoes!T674-Cotacoes!T673)/Cotacoes!T673</f>
        <v>-1.1775788977861516E-2</v>
      </c>
      <c r="U674" s="5">
        <f>(Cotacoes!U674-Cotacoes!U673)/Cotacoes!U673</f>
        <v>-1.1281022812735093E-2</v>
      </c>
      <c r="V674" s="5">
        <f>(Cotacoes!V674-Cotacoes!V673)/Cotacoes!V673</f>
        <v>2.7683789603200068E-3</v>
      </c>
      <c r="W674" s="5"/>
    </row>
    <row r="675" spans="1:23" x14ac:dyDescent="0.2">
      <c r="A675" s="4">
        <v>45545</v>
      </c>
      <c r="B675" s="5">
        <f>(Cotacoes!B675-Cotacoes!B674)/Cotacoes!B674</f>
        <v>2.5846702317289844E-3</v>
      </c>
      <c r="C675" s="5">
        <f>(Cotacoes!C675-Cotacoes!C674)/Cotacoes!C674</f>
        <v>-1.1981742107265034E-2</v>
      </c>
      <c r="D675" s="5">
        <f>(Cotacoes!D675-Cotacoes!D674)/Cotacoes!D674</f>
        <v>-1.6541353383458562E-2</v>
      </c>
      <c r="E675" s="5">
        <f>(Cotacoes!E675-Cotacoes!E674)/Cotacoes!E674</f>
        <v>0</v>
      </c>
      <c r="F675" s="5">
        <f>(Cotacoes!F675-Cotacoes!F674)/Cotacoes!F674</f>
        <v>-2.1161150298426509E-2</v>
      </c>
      <c r="G675" s="5">
        <f>(Cotacoes!G675-Cotacoes!G674)/Cotacoes!G674</f>
        <v>8.3576287657920259E-3</v>
      </c>
      <c r="H675" s="5">
        <f>(Cotacoes!H675-Cotacoes!H674)/Cotacoes!H674</f>
        <v>-1.4635931211123257E-2</v>
      </c>
      <c r="I675" s="5">
        <f>(Cotacoes!I675-Cotacoes!I674)/Cotacoes!I674</f>
        <v>-2.610966057441105E-3</v>
      </c>
      <c r="J675" s="5">
        <f>(Cotacoes!J675-Cotacoes!J674)/Cotacoes!J674</f>
        <v>1.5402468614832722E-2</v>
      </c>
      <c r="K675" s="5">
        <f>(Cotacoes!K675-Cotacoes!K674)/Cotacoes!K674</f>
        <v>3.4818941504178771E-3</v>
      </c>
      <c r="L675" s="5">
        <f>(Cotacoes!L675-Cotacoes!L674)/Cotacoes!L674</f>
        <v>1.1695906432748437E-2</v>
      </c>
      <c r="M675" s="5">
        <f>(Cotacoes!M675-Cotacoes!M674)/Cotacoes!M674</f>
        <v>9.9091659785302232E-3</v>
      </c>
      <c r="N675" s="5">
        <f>(Cotacoes!N675-Cotacoes!N674)/Cotacoes!N674</f>
        <v>0</v>
      </c>
      <c r="O675" s="5">
        <f>(Cotacoes!O675-Cotacoes!O674)/Cotacoes!O674</f>
        <v>9.1445427728614245E-3</v>
      </c>
      <c r="P675" s="5">
        <f>(Cotacoes!P675-Cotacoes!P674)/Cotacoes!P674</f>
        <v>1.1669097728693376E-2</v>
      </c>
      <c r="Q675" s="5">
        <f>(Cotacoes!Q675-Cotacoes!Q674)/Cotacoes!Q674</f>
        <v>1.9935447123599719E-2</v>
      </c>
      <c r="R675" s="5">
        <f>(Cotacoes!R675-Cotacoes!R674)/Cotacoes!R674</f>
        <v>-8.0784766301210051E-3</v>
      </c>
      <c r="S675" s="5">
        <f>(Cotacoes!S675-Cotacoes!S674)/Cotacoes!S674</f>
        <v>-4.041570438799093E-3</v>
      </c>
      <c r="T675" s="5">
        <f>(Cotacoes!T675-Cotacoes!T674)/Cotacoes!T674</f>
        <v>5.7197330791230218E-3</v>
      </c>
      <c r="U675" s="5">
        <f>(Cotacoes!U675-Cotacoes!U674)/Cotacoes!U674</f>
        <v>1.0902636916835693E-2</v>
      </c>
      <c r="V675" s="5">
        <f>(Cotacoes!V675-Cotacoes!V674)/Cotacoes!V674</f>
        <v>2.4539877300612974E-3</v>
      </c>
      <c r="W675" s="5"/>
    </row>
    <row r="676" spans="1:23" x14ac:dyDescent="0.2">
      <c r="A676" s="4">
        <v>45546</v>
      </c>
      <c r="B676" s="5">
        <f>(Cotacoes!B676-Cotacoes!B675)/Cotacoes!B675</f>
        <v>-3.2002844697306379E-3</v>
      </c>
      <c r="C676" s="5">
        <f>(Cotacoes!C676-Cotacoes!C675)/Cotacoes!C675</f>
        <v>2.8296438883541844E-2</v>
      </c>
      <c r="D676" s="5">
        <f>(Cotacoes!D676-Cotacoes!D675)/Cotacoes!D675</f>
        <v>-9.174311926605851E-4</v>
      </c>
      <c r="E676" s="5">
        <f>(Cotacoes!E676-Cotacoes!E675)/Cotacoes!E675</f>
        <v>1.5984654731456892E-3</v>
      </c>
      <c r="F676" s="5">
        <f>(Cotacoes!F676-Cotacoes!F675)/Cotacoes!F675</f>
        <v>4.4345898004435613E-3</v>
      </c>
      <c r="G676" s="5">
        <f>(Cotacoes!G676-Cotacoes!G675)/Cotacoes!G675</f>
        <v>1.1565150346954401E-2</v>
      </c>
      <c r="H676" s="5">
        <f>(Cotacoes!H676-Cotacoes!H675)/Cotacoes!H675</f>
        <v>0</v>
      </c>
      <c r="I676" s="5">
        <f>(Cotacoes!I676-Cotacoes!I675)/Cotacoes!I675</f>
        <v>3.9267015706805908E-3</v>
      </c>
      <c r="J676" s="5">
        <f>(Cotacoes!J676-Cotacoes!J675)/Cotacoes!J675</f>
        <v>-1.579220779220775E-2</v>
      </c>
      <c r="K676" s="5">
        <f>(Cotacoes!K676-Cotacoes!K675)/Cotacoes!K675</f>
        <v>-1.1797362942401106E-2</v>
      </c>
      <c r="L676" s="5">
        <f>(Cotacoes!L676-Cotacoes!L675)/Cotacoes!L675</f>
        <v>-2.4772914946325265E-2</v>
      </c>
      <c r="M676" s="5">
        <f>(Cotacoes!M676-Cotacoes!M675)/Cotacoes!M675</f>
        <v>-1.4717906786590329E-2</v>
      </c>
      <c r="N676" s="5">
        <f>(Cotacoes!N676-Cotacoes!N675)/Cotacoes!N675</f>
        <v>0</v>
      </c>
      <c r="O676" s="5">
        <f>(Cotacoes!O676-Cotacoes!O675)/Cotacoes!O675</f>
        <v>-1.8123355743934446E-2</v>
      </c>
      <c r="P676" s="5">
        <f>(Cotacoes!P676-Cotacoes!P675)/Cotacoes!P675</f>
        <v>2.4716786817713759E-2</v>
      </c>
      <c r="Q676" s="5">
        <f>(Cotacoes!Q676-Cotacoes!Q675)/Cotacoes!Q675</f>
        <v>-1.4892032762471761E-3</v>
      </c>
      <c r="R676" s="5">
        <f>(Cotacoes!R676-Cotacoes!R675)/Cotacoes!R675</f>
        <v>-1.9488074461896501E-2</v>
      </c>
      <c r="S676" s="5">
        <f>(Cotacoes!S676-Cotacoes!S675)/Cotacoes!S675</f>
        <v>-5.7971014492754448E-3</v>
      </c>
      <c r="T676" s="5">
        <f>(Cotacoes!T676-Cotacoes!T675)/Cotacoes!T675</f>
        <v>7.8199052132701015E-3</v>
      </c>
      <c r="U676" s="5">
        <f>(Cotacoes!U676-Cotacoes!U675)/Cotacoes!U675</f>
        <v>8.527715073990555E-3</v>
      </c>
      <c r="V676" s="5">
        <f>(Cotacoes!V676-Cotacoes!V675)/Cotacoes!V675</f>
        <v>2.7539779681763589E-3</v>
      </c>
      <c r="W676" s="5"/>
    </row>
    <row r="677" spans="1:23" x14ac:dyDescent="0.2">
      <c r="A677" s="4">
        <v>45547</v>
      </c>
      <c r="B677" s="5">
        <f>(Cotacoes!B677-Cotacoes!B676)/Cotacoes!B676</f>
        <v>6.3319361455454201E-3</v>
      </c>
      <c r="C677" s="5">
        <f>(Cotacoes!C677-Cotacoes!C676)/Cotacoes!C676</f>
        <v>9.1725945338823455E-3</v>
      </c>
      <c r="D677" s="5">
        <f>(Cotacoes!D677-Cotacoes!D676)/Cotacoes!D676</f>
        <v>-1.1325374961738736E-2</v>
      </c>
      <c r="E677" s="5">
        <f>(Cotacoes!E677-Cotacoes!E676)/Cotacoes!E676</f>
        <v>-1.0852218321097985E-2</v>
      </c>
      <c r="F677" s="5">
        <f>(Cotacoes!F677-Cotacoes!F676)/Cotacoes!F676</f>
        <v>-1.18653421633554E-2</v>
      </c>
      <c r="G677" s="5">
        <f>(Cotacoes!G677-Cotacoes!G676)/Cotacoes!G676</f>
        <v>-3.6204268292682495E-3</v>
      </c>
      <c r="H677" s="5">
        <f>(Cotacoes!H677-Cotacoes!H676)/Cotacoes!H676</f>
        <v>-1.113999257333831E-2</v>
      </c>
      <c r="I677" s="5">
        <f>(Cotacoes!I677-Cotacoes!I676)/Cotacoes!I676</f>
        <v>-1.199478487614083E-2</v>
      </c>
      <c r="J677" s="5">
        <f>(Cotacoes!J677-Cotacoes!J676)/Cotacoes!J676</f>
        <v>-3.5891481051409627E-3</v>
      </c>
      <c r="K677" s="5">
        <f>(Cotacoes!K677-Cotacoes!K676)/Cotacoes!K676</f>
        <v>-4.2134831460674503E-3</v>
      </c>
      <c r="L677" s="5">
        <f>(Cotacoes!L677-Cotacoes!L676)/Cotacoes!L676</f>
        <v>-6.7739204064352302E-3</v>
      </c>
      <c r="M677" s="5">
        <f>(Cotacoes!M677-Cotacoes!M676)/Cotacoes!M676</f>
        <v>-9.9585062240664726E-3</v>
      </c>
      <c r="N677" s="5">
        <f>(Cotacoes!N677-Cotacoes!N676)/Cotacoes!N676</f>
        <v>-3.0959752321980767E-3</v>
      </c>
      <c r="O677" s="5">
        <f>(Cotacoes!O677-Cotacoes!O676)/Cotacoes!O676</f>
        <v>-2.9770765108663713E-3</v>
      </c>
      <c r="P677" s="5">
        <f>(Cotacoes!P677-Cotacoes!P676)/Cotacoes!P676</f>
        <v>2.3115577889447209E-2</v>
      </c>
      <c r="Q677" s="5">
        <f>(Cotacoes!Q677-Cotacoes!Q676)/Cotacoes!Q676</f>
        <v>-1.3236390753169293E-2</v>
      </c>
      <c r="R677" s="5">
        <f>(Cotacoes!R677-Cotacoes!R676)/Cotacoes!R676</f>
        <v>-1.6018985464253906E-2</v>
      </c>
      <c r="S677" s="5">
        <f>(Cotacoes!S677-Cotacoes!S676)/Cotacoes!S676</f>
        <v>-1.457725947521866E-2</v>
      </c>
      <c r="T677" s="5">
        <f>(Cotacoes!T677-Cotacoes!T676)/Cotacoes!T676</f>
        <v>-5.87820362097343E-3</v>
      </c>
      <c r="U677" s="5">
        <f>(Cotacoes!U677-Cotacoes!U676)/Cotacoes!U676</f>
        <v>-2.4869435463815326E-3</v>
      </c>
      <c r="V677" s="5">
        <f>(Cotacoes!V677-Cotacoes!V676)/Cotacoes!V676</f>
        <v>4.5773573390295568E-3</v>
      </c>
      <c r="W677" s="5"/>
    </row>
    <row r="678" spans="1:23" x14ac:dyDescent="0.2">
      <c r="A678" s="4">
        <v>45548</v>
      </c>
      <c r="B678" s="5">
        <f>(Cotacoes!B678-Cotacoes!B677)/Cotacoes!B677</f>
        <v>5.3172633817797125E-4</v>
      </c>
      <c r="C678" s="5">
        <f>(Cotacoes!C678-Cotacoes!C677)/Cotacoes!C677</f>
        <v>6.6777963272121417E-3</v>
      </c>
      <c r="D678" s="5">
        <f>(Cotacoes!D678-Cotacoes!D677)/Cotacoes!D677</f>
        <v>-4.6439628482971701E-3</v>
      </c>
      <c r="E678" s="5">
        <f>(Cotacoes!E678-Cotacoes!E677)/Cotacoes!E677</f>
        <v>9.6805421103585479E-4</v>
      </c>
      <c r="F678" s="5">
        <f>(Cotacoes!F678-Cotacoes!F677)/Cotacoes!F677</f>
        <v>-3.0717676626640443E-3</v>
      </c>
      <c r="G678" s="5">
        <f>(Cotacoes!G678-Cotacoes!G677)/Cotacoes!G677</f>
        <v>5.9284758079939243E-3</v>
      </c>
      <c r="H678" s="5">
        <f>(Cotacoes!H678-Cotacoes!H677)/Cotacoes!H677</f>
        <v>6.7592940292902637E-3</v>
      </c>
      <c r="I678" s="5">
        <f>(Cotacoes!I678-Cotacoes!I677)/Cotacoes!I677</f>
        <v>5.2784375824756619E-3</v>
      </c>
      <c r="J678" s="5">
        <f>(Cotacoes!J678-Cotacoes!J677)/Cotacoes!J677</f>
        <v>1.4832079669456571E-3</v>
      </c>
      <c r="K678" s="5">
        <f>(Cotacoes!K678-Cotacoes!K677)/Cotacoes!K677</f>
        <v>0</v>
      </c>
      <c r="L678" s="5">
        <f>(Cotacoes!L678-Cotacoes!L677)/Cotacoes!L677</f>
        <v>6.8201193520886676E-3</v>
      </c>
      <c r="M678" s="5">
        <f>(Cotacoes!M678-Cotacoes!M677)/Cotacoes!M677</f>
        <v>-1.4249790444258167E-2</v>
      </c>
      <c r="N678" s="5">
        <f>(Cotacoes!N678-Cotacoes!N677)/Cotacoes!N677</f>
        <v>0</v>
      </c>
      <c r="O678" s="5">
        <f>(Cotacoes!O678-Cotacoes!O677)/Cotacoes!O677</f>
        <v>-1.2839653627948632E-2</v>
      </c>
      <c r="P678" s="5">
        <f>(Cotacoes!P678-Cotacoes!P677)/Cotacoes!P677</f>
        <v>1.9253438113948997E-2</v>
      </c>
      <c r="Q678" s="5">
        <f>(Cotacoes!Q678-Cotacoes!Q677)/Cotacoes!Q677</f>
        <v>-1.8892877385226039E-3</v>
      </c>
      <c r="R678" s="5">
        <f>(Cotacoes!R678-Cotacoes!R677)/Cotacoes!R677</f>
        <v>2.4721133554416647E-2</v>
      </c>
      <c r="S678" s="5">
        <f>(Cotacoes!S678-Cotacoes!S677)/Cotacoes!S677</f>
        <v>5.9171597633136943E-3</v>
      </c>
      <c r="T678" s="5">
        <f>(Cotacoes!T678-Cotacoes!T677)/Cotacoes!T677</f>
        <v>2.4361400189214785E-2</v>
      </c>
      <c r="U678" s="5">
        <f>(Cotacoes!U678-Cotacoes!U677)/Cotacoes!U677</f>
        <v>4.6123161306407416E-2</v>
      </c>
      <c r="V678" s="5">
        <f>(Cotacoes!V678-Cotacoes!V677)/Cotacoes!V677</f>
        <v>2.9161603888213875E-2</v>
      </c>
      <c r="W678" s="5"/>
    </row>
    <row r="679" spans="1:23" x14ac:dyDescent="0.2">
      <c r="A679" s="4">
        <v>45551</v>
      </c>
      <c r="B679" s="5">
        <f>(Cotacoes!B679-Cotacoes!B678)/Cotacoes!B678</f>
        <v>-3.2772364924712537E-3</v>
      </c>
      <c r="C679" s="5">
        <f>(Cotacoes!C679-Cotacoes!C678)/Cotacoes!C678</f>
        <v>0</v>
      </c>
      <c r="D679" s="5">
        <f>(Cotacoes!D679-Cotacoes!D678)/Cotacoes!D678</f>
        <v>1.3996889580093402E-2</v>
      </c>
      <c r="E679" s="5">
        <f>(Cotacoes!E679-Cotacoes!E678)/Cotacoes!E678</f>
        <v>0</v>
      </c>
      <c r="F679" s="5">
        <f>(Cotacoes!F679-Cotacoes!F678)/Cotacoes!F678</f>
        <v>1.0084033613445361E-2</v>
      </c>
      <c r="G679" s="5">
        <f>(Cotacoes!G679-Cotacoes!G678)/Cotacoes!G678</f>
        <v>-1.1596958174904932E-2</v>
      </c>
      <c r="H679" s="5">
        <f>(Cotacoes!H679-Cotacoes!H678)/Cotacoes!H678</f>
        <v>5.2219321148825283E-3</v>
      </c>
      <c r="I679" s="5">
        <f>(Cotacoes!I679-Cotacoes!I678)/Cotacoes!I678</f>
        <v>1.1814124442110677E-2</v>
      </c>
      <c r="J679" s="5">
        <f>(Cotacoes!J679-Cotacoes!J678)/Cotacoes!J678</f>
        <v>2.0839944991008132E-2</v>
      </c>
      <c r="K679" s="5">
        <f>(Cotacoes!K679-Cotacoes!K678)/Cotacoes!K678</f>
        <v>-7.757404795486561E-3</v>
      </c>
      <c r="L679" s="5">
        <f>(Cotacoes!L679-Cotacoes!L678)/Cotacoes!L678</f>
        <v>2.5402201524131547E-3</v>
      </c>
      <c r="M679" s="5">
        <f>(Cotacoes!M679-Cotacoes!M678)/Cotacoes!M678</f>
        <v>1.0204081632653145E-2</v>
      </c>
      <c r="N679" s="5">
        <f>(Cotacoes!N679-Cotacoes!N678)/Cotacoes!N678</f>
        <v>0</v>
      </c>
      <c r="O679" s="5">
        <f>(Cotacoes!O679-Cotacoes!O678)/Cotacoes!O678</f>
        <v>1.6031457955232944E-2</v>
      </c>
      <c r="P679" s="5">
        <f>(Cotacoes!P679-Cotacoes!P678)/Cotacoes!P678</f>
        <v>-5.300693909020817E-2</v>
      </c>
      <c r="Q679" s="5">
        <f>(Cotacoes!Q679-Cotacoes!Q678)/Cotacoes!Q678</f>
        <v>-2.328222600794997E-2</v>
      </c>
      <c r="R679" s="5">
        <f>(Cotacoes!R679-Cotacoes!R678)/Cotacoes!R678</f>
        <v>1.1179758752574152E-2</v>
      </c>
      <c r="S679" s="5">
        <f>(Cotacoes!S679-Cotacoes!S678)/Cotacoes!S678</f>
        <v>1.764705882353008E-3</v>
      </c>
      <c r="T679" s="5">
        <f>(Cotacoes!T679-Cotacoes!T678)/Cotacoes!T678</f>
        <v>-1.3160932809974608E-2</v>
      </c>
      <c r="U679" s="5">
        <f>(Cotacoes!U679-Cotacoes!U678)/Cotacoes!U678</f>
        <v>-9.2945662535748458E-3</v>
      </c>
      <c r="V679" s="5">
        <f>(Cotacoes!V679-Cotacoes!V678)/Cotacoes!V678</f>
        <v>-9.1499409681228532E-3</v>
      </c>
      <c r="W679" s="5"/>
    </row>
    <row r="680" spans="1:23" x14ac:dyDescent="0.2">
      <c r="A680" s="4">
        <v>45552</v>
      </c>
      <c r="B680" s="5">
        <f>(Cotacoes!B680-Cotacoes!B679)/Cotacoes!B679</f>
        <v>-4.1766640007109114E-3</v>
      </c>
      <c r="C680" s="5">
        <f>(Cotacoes!C680-Cotacoes!C679)/Cotacoes!C679</f>
        <v>-4.7908605122536415E-3</v>
      </c>
      <c r="D680" s="5">
        <f>(Cotacoes!D680-Cotacoes!D679)/Cotacoes!D679</f>
        <v>-4.6012269938649868E-3</v>
      </c>
      <c r="E680" s="5">
        <f>(Cotacoes!E680-Cotacoes!E679)/Cotacoes!E679</f>
        <v>-2.5789813023855026E-3</v>
      </c>
      <c r="F680" s="5">
        <f>(Cotacoes!F680-Cotacoes!F679)/Cotacoes!F679</f>
        <v>-6.1009428729894297E-3</v>
      </c>
      <c r="G680" s="5">
        <f>(Cotacoes!G680-Cotacoes!G679)/Cotacoes!G679</f>
        <v>5.9626851317560138E-3</v>
      </c>
      <c r="H680" s="5">
        <f>(Cotacoes!H680-Cotacoes!H679)/Cotacoes!H679</f>
        <v>-6.3079777365490971E-3</v>
      </c>
      <c r="I680" s="5">
        <f>(Cotacoes!I680-Cotacoes!I679)/Cotacoes!I679</f>
        <v>4.1515308770109938E-3</v>
      </c>
      <c r="J680" s="5">
        <f>(Cotacoes!J680-Cotacoes!J679)/Cotacoes!J679</f>
        <v>-3.2124352331606453E-3</v>
      </c>
      <c r="K680" s="5">
        <f>(Cotacoes!K680-Cotacoes!K679)/Cotacoes!K679</f>
        <v>-6.3965884861407144E-3</v>
      </c>
      <c r="L680" s="5">
        <f>(Cotacoes!L680-Cotacoes!L679)/Cotacoes!L679</f>
        <v>7.6013513513513396E-3</v>
      </c>
      <c r="M680" s="5">
        <f>(Cotacoes!M680-Cotacoes!M679)/Cotacoes!M679</f>
        <v>7.575757575757563E-3</v>
      </c>
      <c r="N680" s="5">
        <f>(Cotacoes!N680-Cotacoes!N679)/Cotacoes!N679</f>
        <v>-4.1407867494824974E-3</v>
      </c>
      <c r="O680" s="5">
        <f>(Cotacoes!O680-Cotacoes!O679)/Cotacoes!O679</f>
        <v>1.6076213158678149E-2</v>
      </c>
      <c r="P680" s="5">
        <f>(Cotacoes!P680-Cotacoes!P679)/Cotacoes!P679</f>
        <v>-1.6079788316710749E-2</v>
      </c>
      <c r="Q680" s="5">
        <f>(Cotacoes!Q680-Cotacoes!Q679)/Cotacoes!Q679</f>
        <v>5.0387596899224415E-3</v>
      </c>
      <c r="R680" s="5">
        <f>(Cotacoes!R680-Cotacoes!R679)/Cotacoes!R679</f>
        <v>-8.7285423334285811E-4</v>
      </c>
      <c r="S680" s="5">
        <f>(Cotacoes!S680-Cotacoes!S679)/Cotacoes!S679</f>
        <v>-9.1015854374633665E-3</v>
      </c>
      <c r="T680" s="5">
        <f>(Cotacoes!T680-Cotacoes!T679)/Cotacoes!T679</f>
        <v>1.4506317267196945E-2</v>
      </c>
      <c r="U680" s="5">
        <f>(Cotacoes!U680-Cotacoes!U679)/Cotacoes!U679</f>
        <v>1.1306230454654771E-2</v>
      </c>
      <c r="V680" s="5">
        <f>(Cotacoes!V680-Cotacoes!V679)/Cotacoes!V679</f>
        <v>-1.0425975573428699E-2</v>
      </c>
      <c r="W680" s="5"/>
    </row>
    <row r="681" spans="1:23" x14ac:dyDescent="0.2">
      <c r="A681" s="4">
        <v>45553</v>
      </c>
      <c r="B681" s="5">
        <f>(Cotacoes!B681-Cotacoes!B680)/Cotacoes!B680</f>
        <v>-5.8897019453863697E-3</v>
      </c>
      <c r="C681" s="5">
        <f>(Cotacoes!C681-Cotacoes!C680)/Cotacoes!C680</f>
        <v>-1.1664506572856795E-2</v>
      </c>
      <c r="D681" s="5">
        <f>(Cotacoes!D681-Cotacoes!D680)/Cotacoes!D680</f>
        <v>-2.4036979969183393E-2</v>
      </c>
      <c r="E681" s="5">
        <f>(Cotacoes!E681-Cotacoes!E680)/Cotacoes!E680</f>
        <v>-5.8177117000646318E-3</v>
      </c>
      <c r="F681" s="5">
        <f>(Cotacoes!F681-Cotacoes!F680)/Cotacoes!F680</f>
        <v>-1.7299107142857269E-2</v>
      </c>
      <c r="G681" s="5">
        <f>(Cotacoes!G681-Cotacoes!G680)/Cotacoes!G680</f>
        <v>7.6481835564065495E-4</v>
      </c>
      <c r="H681" s="5">
        <f>(Cotacoes!H681-Cotacoes!H680)/Cotacoes!H680</f>
        <v>-4.8543689320389299E-3</v>
      </c>
      <c r="I681" s="5">
        <f>(Cotacoes!I681-Cotacoes!I680)/Cotacoes!I680</f>
        <v>-9.3023255813953331E-3</v>
      </c>
      <c r="J681" s="5">
        <f>(Cotacoes!J681-Cotacoes!J680)/Cotacoes!J680</f>
        <v>-1.2475309283709799E-3</v>
      </c>
      <c r="K681" s="5">
        <f>(Cotacoes!K681-Cotacoes!K680)/Cotacoes!K680</f>
        <v>-5.7224606580829809E-3</v>
      </c>
      <c r="L681" s="5">
        <f>(Cotacoes!L681-Cotacoes!L680)/Cotacoes!L680</f>
        <v>-1.0058675607711585E-2</v>
      </c>
      <c r="M681" s="5">
        <f>(Cotacoes!M681-Cotacoes!M680)/Cotacoes!M680</f>
        <v>1.6708437761068983E-3</v>
      </c>
      <c r="N681" s="5">
        <f>(Cotacoes!N681-Cotacoes!N680)/Cotacoes!N680</f>
        <v>-5.1975051975050868E-3</v>
      </c>
      <c r="O681" s="5">
        <f>(Cotacoes!O681-Cotacoes!O680)/Cotacoes!O680</f>
        <v>-4.1898622912393775E-2</v>
      </c>
      <c r="P681" s="5">
        <f>(Cotacoes!P681-Cotacoes!P680)/Cotacoes!P680</f>
        <v>-1.9445593711212347E-2</v>
      </c>
      <c r="Q681" s="5">
        <f>(Cotacoes!Q681-Cotacoes!Q680)/Cotacoes!Q680</f>
        <v>-1.2919398380254564E-2</v>
      </c>
      <c r="R681" s="5">
        <f>(Cotacoes!R681-Cotacoes!R680)/Cotacoes!R680</f>
        <v>-1.4560279557368741E-3</v>
      </c>
      <c r="S681" s="5">
        <f>(Cotacoes!S681-Cotacoes!S680)/Cotacoes!S680</f>
        <v>-1.18518518518516E-3</v>
      </c>
      <c r="T681" s="5">
        <f>(Cotacoes!T681-Cotacoes!T680)/Cotacoes!T680</f>
        <v>-3.9206642066421061E-3</v>
      </c>
      <c r="U681" s="5">
        <f>(Cotacoes!U681-Cotacoes!U680)/Cotacoes!U680</f>
        <v>1.2131303520456662E-2</v>
      </c>
      <c r="V681" s="5">
        <f>(Cotacoes!V681-Cotacoes!V680)/Cotacoes!V680</f>
        <v>9.6327513546056679E-3</v>
      </c>
      <c r="W681" s="5"/>
    </row>
    <row r="682" spans="1:23" x14ac:dyDescent="0.2">
      <c r="A682" s="4">
        <v>45554</v>
      </c>
      <c r="B682" s="5">
        <f>(Cotacoes!B682-Cotacoes!B681)/Cotacoes!B681</f>
        <v>-1.6157989228007284E-2</v>
      </c>
      <c r="C682" s="5">
        <f>(Cotacoes!C682-Cotacoes!C681)/Cotacoes!C681</f>
        <v>1.1989509179467976E-2</v>
      </c>
      <c r="D682" s="5">
        <f>(Cotacoes!D682-Cotacoes!D681)/Cotacoes!D681</f>
        <v>3.157562361856579E-3</v>
      </c>
      <c r="E682" s="5">
        <f>(Cotacoes!E682-Cotacoes!E681)/Cotacoes!E681</f>
        <v>-2.600780234070281E-3</v>
      </c>
      <c r="F682" s="5">
        <f>(Cotacoes!F682-Cotacoes!F681)/Cotacoes!F681</f>
        <v>-3.1232254400908412E-3</v>
      </c>
      <c r="G682" s="5">
        <f>(Cotacoes!G682-Cotacoes!G681)/Cotacoes!G681</f>
        <v>-1.9105846388995302E-3</v>
      </c>
      <c r="H682" s="5">
        <f>(Cotacoes!H682-Cotacoes!H681)/Cotacoes!H681</f>
        <v>-1.2007504690431532E-2</v>
      </c>
      <c r="I682" s="5">
        <f>(Cotacoes!I682-Cotacoes!I681)/Cotacoes!I681</f>
        <v>-1.4084507042253683E-2</v>
      </c>
      <c r="J682" s="5">
        <f>(Cotacoes!J682-Cotacoes!J681)/Cotacoes!J681</f>
        <v>-1.144998438638487E-2</v>
      </c>
      <c r="K682" s="5">
        <f>(Cotacoes!K682-Cotacoes!K681)/Cotacoes!K681</f>
        <v>-1.4388489208633171E-2</v>
      </c>
      <c r="L682" s="5">
        <f>(Cotacoes!L682-Cotacoes!L681)/Cotacoes!L681</f>
        <v>-1.1007620660457306E-2</v>
      </c>
      <c r="M682" s="5">
        <f>(Cotacoes!M682-Cotacoes!M681)/Cotacoes!M681</f>
        <v>-2.5020850708923569E-3</v>
      </c>
      <c r="N682" s="5">
        <f>(Cotacoes!N682-Cotacoes!N681)/Cotacoes!N681</f>
        <v>4.1797283176592632E-3</v>
      </c>
      <c r="O682" s="5">
        <f>(Cotacoes!O682-Cotacoes!O681)/Cotacoes!O681</f>
        <v>4.2813455657492528E-3</v>
      </c>
      <c r="P682" s="5">
        <f>(Cotacoes!P682-Cotacoes!P681)/Cotacoes!P681</f>
        <v>8.4388185654006641E-4</v>
      </c>
      <c r="Q682" s="5">
        <f>(Cotacoes!Q682-Cotacoes!Q681)/Cotacoes!Q681</f>
        <v>-5.8605196327409924E-4</v>
      </c>
      <c r="R682" s="5">
        <f>(Cotacoes!R682-Cotacoes!R681)/Cotacoes!R681</f>
        <v>-1.4289880431612773E-2</v>
      </c>
      <c r="S682" s="5">
        <f>(Cotacoes!S682-Cotacoes!S681)/Cotacoes!S681</f>
        <v>-1.0086027884900723E-2</v>
      </c>
      <c r="T682" s="5">
        <f>(Cotacoes!T682-Cotacoes!T681)/Cotacoes!T681</f>
        <v>1.8985876360268588E-2</v>
      </c>
      <c r="U682" s="5">
        <f>(Cotacoes!U682-Cotacoes!U681)/Cotacoes!U681</f>
        <v>-1.1515863689776614E-2</v>
      </c>
      <c r="V682" s="5">
        <f>(Cotacoes!V682-Cotacoes!V681)/Cotacoes!V681</f>
        <v>-2.7429934406678645E-2</v>
      </c>
      <c r="W682" s="5"/>
    </row>
    <row r="683" spans="1:23" x14ac:dyDescent="0.2">
      <c r="A683" s="4">
        <v>45555</v>
      </c>
      <c r="B683" s="5">
        <f>(Cotacoes!B683-Cotacoes!B682)/Cotacoes!B682</f>
        <v>-2.7372262773722369E-3</v>
      </c>
      <c r="C683" s="5">
        <f>(Cotacoes!C683-Cotacoes!C682)/Cotacoes!C682</f>
        <v>-1.5179563124768609E-2</v>
      </c>
      <c r="D683" s="5">
        <f>(Cotacoes!D683-Cotacoes!D682)/Cotacoes!D682</f>
        <v>-3.1476235442234846E-4</v>
      </c>
      <c r="E683" s="5">
        <f>(Cotacoes!E683-Cotacoes!E682)/Cotacoes!E682</f>
        <v>-1.2059973924380737E-2</v>
      </c>
      <c r="F683" s="5">
        <f>(Cotacoes!F683-Cotacoes!F682)/Cotacoes!F682</f>
        <v>0</v>
      </c>
      <c r="G683" s="5">
        <f>(Cotacoes!G683-Cotacoes!G682)/Cotacoes!G682</f>
        <v>-1.3782542113323101E-2</v>
      </c>
      <c r="H683" s="5">
        <f>(Cotacoes!H683-Cotacoes!H682)/Cotacoes!H682</f>
        <v>-1.4812001519179531E-2</v>
      </c>
      <c r="I683" s="5">
        <f>(Cotacoes!I683-Cotacoes!I682)/Cotacoes!I682</f>
        <v>-3.0687830687830601E-2</v>
      </c>
      <c r="J683" s="5">
        <f>(Cotacoes!J683-Cotacoes!J682)/Cotacoes!J682</f>
        <v>-3.2641886911656554E-3</v>
      </c>
      <c r="K683" s="5">
        <f>(Cotacoes!K683-Cotacoes!K682)/Cotacoes!K682</f>
        <v>-1.8248175182481754E-2</v>
      </c>
      <c r="L683" s="5">
        <f>(Cotacoes!L683-Cotacoes!L682)/Cotacoes!L682</f>
        <v>-3.339041095890416E-2</v>
      </c>
      <c r="M683" s="5">
        <f>(Cotacoes!M683-Cotacoes!M682)/Cotacoes!M682</f>
        <v>-1.4214046822742616E-2</v>
      </c>
      <c r="N683" s="5">
        <f>(Cotacoes!N683-Cotacoes!N682)/Cotacoes!N682</f>
        <v>-1.1446409989594114E-2</v>
      </c>
      <c r="O683" s="5">
        <f>(Cotacoes!O683-Cotacoes!O682)/Cotacoes!O682</f>
        <v>-1.5225334957369061E-2</v>
      </c>
      <c r="P683" s="5">
        <f>(Cotacoes!P683-Cotacoes!P682)/Cotacoes!P682</f>
        <v>1.6020236087689821E-2</v>
      </c>
      <c r="Q683" s="5">
        <f>(Cotacoes!Q683-Cotacoes!Q682)/Cotacoes!Q682</f>
        <v>-4.4956997654416906E-3</v>
      </c>
      <c r="R683" s="5">
        <f>(Cotacoes!R683-Cotacoes!R682)/Cotacoes!R682</f>
        <v>-3.9644970414201078E-2</v>
      </c>
      <c r="S683" s="5">
        <f>(Cotacoes!S683-Cotacoes!S682)/Cotacoes!S682</f>
        <v>-2.1576266107281958E-2</v>
      </c>
      <c r="T683" s="5">
        <f>(Cotacoes!T683-Cotacoes!T682)/Cotacoes!T682</f>
        <v>4.3172006362191514E-3</v>
      </c>
      <c r="U683" s="5">
        <f>(Cotacoes!U683-Cotacoes!U682)/Cotacoes!U682</f>
        <v>-2.9481692819781309E-2</v>
      </c>
      <c r="V683" s="5">
        <f>(Cotacoes!V683-Cotacoes!V682)/Cotacoes!V682</f>
        <v>-2.6364193746167872E-2</v>
      </c>
      <c r="W683" s="5"/>
    </row>
    <row r="684" spans="1:23" x14ac:dyDescent="0.2">
      <c r="A684" s="4">
        <v>45558</v>
      </c>
      <c r="B684" s="5">
        <f>(Cotacoes!B684-Cotacoes!B683)/Cotacoes!B683</f>
        <v>1.1893870082342151E-2</v>
      </c>
      <c r="C684" s="5">
        <f>(Cotacoes!C684-Cotacoes!C683)/Cotacoes!C683</f>
        <v>3.1954887218044094E-3</v>
      </c>
      <c r="D684" s="5">
        <f>(Cotacoes!D684-Cotacoes!D683)/Cotacoes!D683</f>
        <v>1.039042821158696E-2</v>
      </c>
      <c r="E684" s="5">
        <f>(Cotacoes!E684-Cotacoes!E683)/Cotacoes!E683</f>
        <v>-5.9386341141537359E-3</v>
      </c>
      <c r="F684" s="5">
        <f>(Cotacoes!F684-Cotacoes!F683)/Cotacoes!F683</f>
        <v>1.2532042153232633E-2</v>
      </c>
      <c r="G684" s="5">
        <f>(Cotacoes!G684-Cotacoes!G683)/Cotacoes!G683</f>
        <v>3.4161490683229774E-2</v>
      </c>
      <c r="H684" s="5">
        <f>(Cotacoes!H684-Cotacoes!H683)/Cotacoes!H683</f>
        <v>-3.4695451040863473E-3</v>
      </c>
      <c r="I684" s="5">
        <f>(Cotacoes!I684-Cotacoes!I683)/Cotacoes!I683</f>
        <v>-9.5524017467249287E-3</v>
      </c>
      <c r="J684" s="5">
        <f>(Cotacoes!J684-Cotacoes!J683)/Cotacoes!J683</f>
        <v>-1.0986689203464949E-2</v>
      </c>
      <c r="K684" s="5">
        <f>(Cotacoes!K684-Cotacoes!K683)/Cotacoes!K683</f>
        <v>-2.6022304832713731E-2</v>
      </c>
      <c r="L684" s="5">
        <f>(Cotacoes!L684-Cotacoes!L683)/Cotacoes!L683</f>
        <v>-3.4543844109831606E-2</v>
      </c>
      <c r="M684" s="5">
        <f>(Cotacoes!M684-Cotacoes!M683)/Cotacoes!M683</f>
        <v>-8.4817642069548666E-4</v>
      </c>
      <c r="N684" s="5">
        <f>(Cotacoes!N684-Cotacoes!N683)/Cotacoes!N683</f>
        <v>-6.3157894736842633E-3</v>
      </c>
      <c r="O684" s="5">
        <f>(Cotacoes!O684-Cotacoes!O683)/Cotacoes!O683</f>
        <v>-1.6388373531230817E-2</v>
      </c>
      <c r="P684" s="5">
        <f>(Cotacoes!P684-Cotacoes!P683)/Cotacoes!P683</f>
        <v>2.1991701244813176E-2</v>
      </c>
      <c r="Q684" s="5">
        <f>(Cotacoes!Q684-Cotacoes!Q683)/Cotacoes!Q683</f>
        <v>-1.3155311211466753E-2</v>
      </c>
      <c r="R684" s="5">
        <f>(Cotacoes!R684-Cotacoes!R683)/Cotacoes!R683</f>
        <v>-1.6327788046826899E-2</v>
      </c>
      <c r="S684" s="5">
        <f>(Cotacoes!S684-Cotacoes!S683)/Cotacoes!S683</f>
        <v>-4.5941807044409984E-3</v>
      </c>
      <c r="T684" s="5">
        <f>(Cotacoes!T684-Cotacoes!T683)/Cotacoes!T683</f>
        <v>8.5972850678731998E-3</v>
      </c>
      <c r="U684" s="5">
        <f>(Cotacoes!U684-Cotacoes!U683)/Cotacoes!U683</f>
        <v>-6.8593826555610271E-3</v>
      </c>
      <c r="V684" s="5">
        <f>(Cotacoes!V684-Cotacoes!V683)/Cotacoes!V683</f>
        <v>-2.4244332493702867E-2</v>
      </c>
      <c r="W684" s="5"/>
    </row>
    <row r="685" spans="1:23" x14ac:dyDescent="0.2">
      <c r="A685" s="4">
        <v>45559</v>
      </c>
      <c r="B685" s="5">
        <f>(Cotacoes!B685-Cotacoes!B684)/Cotacoes!B684</f>
        <v>-4.3399638336346271E-3</v>
      </c>
      <c r="C685" s="5">
        <f>(Cotacoes!C685-Cotacoes!C684)/Cotacoes!C684</f>
        <v>4.890387858347385E-2</v>
      </c>
      <c r="D685" s="5">
        <f>(Cotacoes!D685-Cotacoes!D684)/Cotacoes!D684</f>
        <v>4.0511062636333882E-3</v>
      </c>
      <c r="E685" s="5">
        <f>(Cotacoes!E685-Cotacoes!E684)/Cotacoes!E684</f>
        <v>-3.3189512114165321E-4</v>
      </c>
      <c r="F685" s="5">
        <f>(Cotacoes!F685-Cotacoes!F684)/Cotacoes!F684</f>
        <v>7.5949367088608477E-3</v>
      </c>
      <c r="G685" s="5">
        <f>(Cotacoes!G685-Cotacoes!G684)/Cotacoes!G684</f>
        <v>1.9707207207207155E-2</v>
      </c>
      <c r="H685" s="5">
        <f>(Cotacoes!H685-Cotacoes!H684)/Cotacoes!H684</f>
        <v>-7.7369439071578818E-4</v>
      </c>
      <c r="I685" s="5">
        <f>(Cotacoes!I685-Cotacoes!I684)/Cotacoes!I684</f>
        <v>2.4800220446404907E-3</v>
      </c>
      <c r="J685" s="5">
        <f>(Cotacoes!J685-Cotacoes!J684)/Cotacoes!J684</f>
        <v>-9.7201452681052198E-3</v>
      </c>
      <c r="K685" s="5">
        <f>(Cotacoes!K685-Cotacoes!K684)/Cotacoes!K684</f>
        <v>-1.5267175572518759E-3</v>
      </c>
      <c r="L685" s="5">
        <f>(Cotacoes!L685-Cotacoes!L684)/Cotacoes!L684</f>
        <v>4.5871559633026545E-3</v>
      </c>
      <c r="M685" s="5">
        <f>(Cotacoes!M685-Cotacoes!M684)/Cotacoes!M684</f>
        <v>8.4889643463495652E-4</v>
      </c>
      <c r="N685" s="5">
        <f>(Cotacoes!N685-Cotacoes!N684)/Cotacoes!N684</f>
        <v>0</v>
      </c>
      <c r="O685" s="5">
        <f>(Cotacoes!O685-Cotacoes!O684)/Cotacoes!O684</f>
        <v>6.6016975793776926E-3</v>
      </c>
      <c r="P685" s="5">
        <f>(Cotacoes!P685-Cotacoes!P684)/Cotacoes!P684</f>
        <v>1.4210312626877849E-2</v>
      </c>
      <c r="Q685" s="5">
        <f>(Cotacoes!Q685-Cotacoes!Q684)/Cotacoes!Q684</f>
        <v>2.6462395543175594E-2</v>
      </c>
      <c r="R685" s="5">
        <f>(Cotacoes!R685-Cotacoes!R684)/Cotacoes!R684</f>
        <v>-2.5054807391167648E-3</v>
      </c>
      <c r="S685" s="5">
        <f>(Cotacoes!S685-Cotacoes!S684)/Cotacoes!S684</f>
        <v>2.4615384615384091E-3</v>
      </c>
      <c r="T685" s="5">
        <f>(Cotacoes!T685-Cotacoes!T684)/Cotacoes!T684</f>
        <v>4.3965903992821916E-2</v>
      </c>
      <c r="U685" s="5">
        <f>(Cotacoes!U685-Cotacoes!U684)/Cotacoes!U684</f>
        <v>8.8801184015786742E-3</v>
      </c>
      <c r="V685" s="5">
        <f>(Cotacoes!V685-Cotacoes!V684)/Cotacoes!V684</f>
        <v>1.1616650532429914E-2</v>
      </c>
      <c r="W685" s="5"/>
    </row>
    <row r="686" spans="1:23" x14ac:dyDescent="0.2">
      <c r="A686" s="4">
        <v>45560</v>
      </c>
      <c r="B686" s="5">
        <f>(Cotacoes!B686-Cotacoes!B685)/Cotacoes!B685</f>
        <v>1.0352342898656016E-2</v>
      </c>
      <c r="C686" s="5">
        <f>(Cotacoes!C686-Cotacoes!C685)/Cotacoes!C685</f>
        <v>4.4658806716684537E-3</v>
      </c>
      <c r="D686" s="5">
        <f>(Cotacoes!D686-Cotacoes!D685)/Cotacoes!D685</f>
        <v>7.448789571694662E-3</v>
      </c>
      <c r="E686" s="5">
        <f>(Cotacoes!E686-Cotacoes!E685)/Cotacoes!E685</f>
        <v>1.2616201859229714E-2</v>
      </c>
      <c r="F686" s="5">
        <f>(Cotacoes!F686-Cotacoes!F685)/Cotacoes!F685</f>
        <v>8.3752093802348237E-4</v>
      </c>
      <c r="G686" s="5">
        <f>(Cotacoes!G686-Cotacoes!G685)/Cotacoes!G685</f>
        <v>5.3377507822565647E-3</v>
      </c>
      <c r="H686" s="5">
        <f>(Cotacoes!H686-Cotacoes!H685)/Cotacoes!H685</f>
        <v>-3.09717382888108E-3</v>
      </c>
      <c r="I686" s="5">
        <f>(Cotacoes!I686-Cotacoes!I685)/Cotacoes!I685</f>
        <v>-1.2369433754810413E-2</v>
      </c>
      <c r="J686" s="5">
        <f>(Cotacoes!J686-Cotacoes!J685)/Cotacoes!J685</f>
        <v>-1.1972818466184872E-2</v>
      </c>
      <c r="K686" s="5">
        <f>(Cotacoes!K686-Cotacoes!K685)/Cotacoes!K685</f>
        <v>6.8807339449541175E-3</v>
      </c>
      <c r="L686" s="5">
        <f>(Cotacoes!L686-Cotacoes!L685)/Cotacoes!L685</f>
        <v>-3.3789954337899476E-2</v>
      </c>
      <c r="M686" s="5">
        <f>(Cotacoes!M686-Cotacoes!M685)/Cotacoes!M685</f>
        <v>-6.7854113655638933E-3</v>
      </c>
      <c r="N686" s="5">
        <f>(Cotacoes!N686-Cotacoes!N685)/Cotacoes!N685</f>
        <v>8.4745762711864493E-3</v>
      </c>
      <c r="O686" s="5">
        <f>(Cotacoes!O686-Cotacoes!O685)/Cotacoes!O685</f>
        <v>-2.4672079950031314E-2</v>
      </c>
      <c r="P686" s="5">
        <f>(Cotacoes!P686-Cotacoes!P685)/Cotacoes!P685</f>
        <v>3.0024019215372012E-3</v>
      </c>
      <c r="Q686" s="5">
        <f>(Cotacoes!Q686-Cotacoes!Q685)/Cotacoes!Q685</f>
        <v>-1.6088389222717686E-2</v>
      </c>
      <c r="R686" s="5">
        <f>(Cotacoes!R686-Cotacoes!R685)/Cotacoes!R685</f>
        <v>4.3956043956043019E-3</v>
      </c>
      <c r="S686" s="5">
        <f>(Cotacoes!S686-Cotacoes!S685)/Cotacoes!S685</f>
        <v>-4.6040515653774892E-3</v>
      </c>
      <c r="T686" s="5">
        <f>(Cotacoes!T686-Cotacoes!T685)/Cotacoes!T685</f>
        <v>-3.7172324881822025E-2</v>
      </c>
      <c r="U686" s="5">
        <f>(Cotacoes!U686-Cotacoes!U685)/Cotacoes!U685</f>
        <v>-2.7872860635696835E-2</v>
      </c>
      <c r="V686" s="5">
        <f>(Cotacoes!V686-Cotacoes!V685)/Cotacoes!V685</f>
        <v>-1.4035087719298286E-2</v>
      </c>
      <c r="W686" s="5"/>
    </row>
    <row r="687" spans="1:23" x14ac:dyDescent="0.2">
      <c r="A687" s="4">
        <v>45561</v>
      </c>
      <c r="B687" s="5">
        <f>(Cotacoes!B687-Cotacoes!B686)/Cotacoes!B686</f>
        <v>-1.078554736652926E-3</v>
      </c>
      <c r="C687" s="5">
        <f>(Cotacoes!C687-Cotacoes!C686)/Cotacoes!C686</f>
        <v>5.9932420416148047E-2</v>
      </c>
      <c r="D687" s="5">
        <f>(Cotacoes!D687-Cotacoes!D686)/Cotacoes!D686</f>
        <v>-2.1565003080714705E-2</v>
      </c>
      <c r="E687" s="5">
        <f>(Cotacoes!E687-Cotacoes!E686)/Cotacoes!E686</f>
        <v>1.2786885245901658E-2</v>
      </c>
      <c r="F687" s="5">
        <f>(Cotacoes!F687-Cotacoes!F686)/Cotacoes!F686</f>
        <v>-2.1199442119944154E-2</v>
      </c>
      <c r="G687" s="5">
        <f>(Cotacoes!G687-Cotacoes!G686)/Cotacoes!G686</f>
        <v>6.5909923105089609E-3</v>
      </c>
      <c r="H687" s="5">
        <f>(Cotacoes!H687-Cotacoes!H686)/Cotacoes!H686</f>
        <v>6.6019417475728821E-3</v>
      </c>
      <c r="I687" s="5">
        <f>(Cotacoes!I687-Cotacoes!I686)/Cotacoes!I686</f>
        <v>1.4472585583078295E-2</v>
      </c>
      <c r="J687" s="5">
        <f>(Cotacoes!J687-Cotacoes!J686)/Cotacoes!J686</f>
        <v>-2.7292576419213977E-3</v>
      </c>
      <c r="K687" s="5">
        <f>(Cotacoes!K687-Cotacoes!K686)/Cotacoes!K686</f>
        <v>2.5056947608200462E-2</v>
      </c>
      <c r="L687" s="5">
        <f>(Cotacoes!L687-Cotacoes!L686)/Cotacoes!L686</f>
        <v>5.6710775047259451E-3</v>
      </c>
      <c r="M687" s="5">
        <f>(Cotacoes!M687-Cotacoes!M686)/Cotacoes!M686</f>
        <v>1.2809564474807734E-2</v>
      </c>
      <c r="N687" s="5">
        <f>(Cotacoes!N687-Cotacoes!N686)/Cotacoes!N686</f>
        <v>1.6806722689075647E-2</v>
      </c>
      <c r="O687" s="5">
        <f>(Cotacoes!O687-Cotacoes!O686)/Cotacoes!O686</f>
        <v>4.8030739673390515E-3</v>
      </c>
      <c r="P687" s="5">
        <f>(Cotacoes!P687-Cotacoes!P686)/Cotacoes!P686</f>
        <v>-5.9868289762524715E-4</v>
      </c>
      <c r="Q687" s="5">
        <f>(Cotacoes!Q687-Cotacoes!Q686)/Cotacoes!Q686</f>
        <v>3.9795114263199434E-2</v>
      </c>
      <c r="R687" s="5">
        <f>(Cotacoes!R687-Cotacoes!R686)/Cotacoes!R686</f>
        <v>9.6905282900906133E-3</v>
      </c>
      <c r="S687" s="5">
        <f>(Cotacoes!S687-Cotacoes!S686)/Cotacoes!S686</f>
        <v>3.7002775208139823E-3</v>
      </c>
      <c r="T687" s="5">
        <f>(Cotacoes!T687-Cotacoes!T686)/Cotacoes!T686</f>
        <v>-4.8426690470877075E-2</v>
      </c>
      <c r="U687" s="5">
        <f>(Cotacoes!U687-Cotacoes!U686)/Cotacoes!U686</f>
        <v>6.0362173038229876E-3</v>
      </c>
      <c r="V687" s="5">
        <f>(Cotacoes!V687-Cotacoes!V686)/Cotacoes!V686</f>
        <v>-4.8527984471044509E-3</v>
      </c>
      <c r="W687" s="5"/>
    </row>
    <row r="688" spans="1:23" x14ac:dyDescent="0.2">
      <c r="A688" s="4">
        <v>45562</v>
      </c>
      <c r="B688" s="5">
        <f>(Cotacoes!B688-Cotacoes!B687)/Cotacoes!B687</f>
        <v>-5.5785495771099921E-3</v>
      </c>
      <c r="C688" s="5">
        <f>(Cotacoes!C688-Cotacoes!C687)/Cotacoes!C687</f>
        <v>-4.5302013422819313E-3</v>
      </c>
      <c r="D688" s="5">
        <f>(Cotacoes!D688-Cotacoes!D687)/Cotacoes!D687</f>
        <v>-4.0931989924434054E-3</v>
      </c>
      <c r="E688" s="5">
        <f>(Cotacoes!E688-Cotacoes!E687)/Cotacoes!E687</f>
        <v>3.8847523470379084E-3</v>
      </c>
      <c r="F688" s="5">
        <f>(Cotacoes!F688-Cotacoes!F687)/Cotacoes!F687</f>
        <v>-3.98974066685667E-3</v>
      </c>
      <c r="G688" s="5">
        <f>(Cotacoes!G688-Cotacoes!G687)/Cotacoes!G687</f>
        <v>-3.6376864314288871E-4</v>
      </c>
      <c r="H688" s="5">
        <f>(Cotacoes!H688-Cotacoes!H687)/Cotacoes!H687</f>
        <v>-8.1018518518518844E-3</v>
      </c>
      <c r="I688" s="5">
        <f>(Cotacoes!I688-Cotacoes!I687)/Cotacoes!I687</f>
        <v>-6.0356652949247174E-3</v>
      </c>
      <c r="J688" s="5">
        <f>(Cotacoes!J688-Cotacoes!J687)/Cotacoes!J687</f>
        <v>-1.3902572523262135E-2</v>
      </c>
      <c r="K688" s="5">
        <f>(Cotacoes!K688-Cotacoes!K687)/Cotacoes!K687</f>
        <v>8.8888888888888316E-3</v>
      </c>
      <c r="L688" s="5">
        <f>(Cotacoes!L688-Cotacoes!L687)/Cotacoes!L687</f>
        <v>-1.0338345864661766E-2</v>
      </c>
      <c r="M688" s="5">
        <f>(Cotacoes!M688-Cotacoes!M687)/Cotacoes!M687</f>
        <v>6.7453625632377806E-3</v>
      </c>
      <c r="N688" s="5">
        <f>(Cotacoes!N688-Cotacoes!N687)/Cotacoes!N687</f>
        <v>-3.0991735537189424E-3</v>
      </c>
      <c r="O688" s="5">
        <f>(Cotacoes!O688-Cotacoes!O687)/Cotacoes!O687</f>
        <v>-8.604206500956009E-3</v>
      </c>
      <c r="P688" s="5">
        <f>(Cotacoes!P688-Cotacoes!P687)/Cotacoes!P687</f>
        <v>-3.7140575079872194E-2</v>
      </c>
      <c r="Q688" s="5">
        <f>(Cotacoes!Q688-Cotacoes!Q687)/Cotacoes!Q687</f>
        <v>2.6525198938992149E-3</v>
      </c>
      <c r="R688" s="5">
        <f>(Cotacoes!R688-Cotacoes!R687)/Cotacoes!R687</f>
        <v>2.8173374613003212E-2</v>
      </c>
      <c r="S688" s="5">
        <f>(Cotacoes!S688-Cotacoes!S687)/Cotacoes!S687</f>
        <v>-3.3794162826420717E-3</v>
      </c>
      <c r="T688" s="5">
        <f>(Cotacoes!T688-Cotacoes!T687)/Cotacoes!T687</f>
        <v>2.2045028142589063E-2</v>
      </c>
      <c r="U688" s="5">
        <f>(Cotacoes!U688-Cotacoes!U687)/Cotacoes!U687</f>
        <v>-1.0249999999999915E-2</v>
      </c>
      <c r="V688" s="5">
        <f>(Cotacoes!V688-Cotacoes!V687)/Cotacoes!V687</f>
        <v>2.6007802340701656E-3</v>
      </c>
      <c r="W688" s="5"/>
    </row>
    <row r="689" spans="1:23" x14ac:dyDescent="0.2">
      <c r="A689" s="4">
        <v>45565</v>
      </c>
      <c r="B689" s="5">
        <f>(Cotacoes!B689-Cotacoes!B688)/Cotacoes!B688</f>
        <v>4.5240680419833517E-3</v>
      </c>
      <c r="C689" s="5">
        <f>(Cotacoes!C689-Cotacoes!C688)/Cotacoes!C688</f>
        <v>-6.9105005899207251E-3</v>
      </c>
      <c r="D689" s="5">
        <f>(Cotacoes!D689-Cotacoes!D688)/Cotacoes!D688</f>
        <v>-2.5292443882389596E-3</v>
      </c>
      <c r="E689" s="5">
        <f>(Cotacoes!E689-Cotacoes!E688)/Cotacoes!E688</f>
        <v>-1.7736214124475999E-2</v>
      </c>
      <c r="F689" s="5">
        <f>(Cotacoes!F689-Cotacoes!F688)/Cotacoes!F688</f>
        <v>-6.2947067238914439E-3</v>
      </c>
      <c r="G689" s="5">
        <f>(Cotacoes!G689-Cotacoes!G688)/Cotacoes!G688</f>
        <v>-2.8202328966521185E-2</v>
      </c>
      <c r="H689" s="5">
        <f>(Cotacoes!H689-Cotacoes!H688)/Cotacoes!H688</f>
        <v>-2.7226760015558256E-3</v>
      </c>
      <c r="I689" s="5">
        <f>(Cotacoes!I689-Cotacoes!I688)/Cotacoes!I688</f>
        <v>-3.5881865857023314E-3</v>
      </c>
      <c r="J689" s="5">
        <f>(Cotacoes!J689-Cotacoes!J688)/Cotacoes!J688</f>
        <v>3.552397868561361E-3</v>
      </c>
      <c r="K689" s="5">
        <f>(Cotacoes!K689-Cotacoes!K688)/Cotacoes!K688</f>
        <v>-1.6152716593245145E-2</v>
      </c>
      <c r="L689" s="5">
        <f>(Cotacoes!L689-Cotacoes!L688)/Cotacoes!L688</f>
        <v>-1.8993352326685255E-3</v>
      </c>
      <c r="M689" s="5">
        <f>(Cotacoes!M689-Cotacoes!M688)/Cotacoes!M688</f>
        <v>1.1725293132328356E-2</v>
      </c>
      <c r="N689" s="5">
        <f>(Cotacoes!N689-Cotacoes!N688)/Cotacoes!N688</f>
        <v>-7.2538860103627239E-3</v>
      </c>
      <c r="O689" s="5">
        <f>(Cotacoes!O689-Cotacoes!O688)/Cotacoes!O688</f>
        <v>1.6714882674381214E-2</v>
      </c>
      <c r="P689" s="5">
        <f>(Cotacoes!P689-Cotacoes!P688)/Cotacoes!P688</f>
        <v>-6.2214848610534458E-3</v>
      </c>
      <c r="Q689" s="5">
        <f>(Cotacoes!Q689-Cotacoes!Q688)/Cotacoes!Q688</f>
        <v>1.1337868480724711E-3</v>
      </c>
      <c r="R689" s="5">
        <f>(Cotacoes!R689-Cotacoes!R688)/Cotacoes!R688</f>
        <v>-2.4390243902439091E-2</v>
      </c>
      <c r="S689" s="5">
        <f>(Cotacoes!S689-Cotacoes!S688)/Cotacoes!S688</f>
        <v>1.8495684340321295E-3</v>
      </c>
      <c r="T689" s="5">
        <f>(Cotacoes!T689-Cotacoes!T688)/Cotacoes!T688</f>
        <v>-5.7365764111977973E-3</v>
      </c>
      <c r="U689" s="5">
        <f>(Cotacoes!U689-Cotacoes!U688)/Cotacoes!U688</f>
        <v>-8.8406163172518662E-3</v>
      </c>
      <c r="V689" s="5">
        <f>(Cotacoes!V689-Cotacoes!V688)/Cotacoes!V688</f>
        <v>-1.8482490272373552E-2</v>
      </c>
      <c r="W689" s="5"/>
    </row>
    <row r="690" spans="1:23" x14ac:dyDescent="0.2">
      <c r="A690" s="4">
        <v>45566</v>
      </c>
      <c r="B690" s="5">
        <f>(Cotacoes!B690-Cotacoes!B689)/Cotacoes!B689</f>
        <v>6.8456134029904981E-3</v>
      </c>
      <c r="C690" s="5">
        <f>(Cotacoes!C690-Cotacoes!C689)/Cotacoes!C689</f>
        <v>4.7522063815343026E-3</v>
      </c>
      <c r="D690" s="5">
        <f>(Cotacoes!D690-Cotacoes!D689)/Cotacoes!D689</f>
        <v>2.6624405705229788E-2</v>
      </c>
      <c r="E690" s="5">
        <f>(Cotacoes!E690-Cotacoes!E689)/Cotacoes!E689</f>
        <v>-1.6414970453053183E-2</v>
      </c>
      <c r="F690" s="5">
        <f>(Cotacoes!F690-Cotacoes!F689)/Cotacoes!F689</f>
        <v>2.6778001727613007E-2</v>
      </c>
      <c r="G690" s="5">
        <f>(Cotacoes!G690-Cotacoes!G689)/Cotacoes!G689</f>
        <v>2.7335704924171523E-2</v>
      </c>
      <c r="H690" s="5">
        <f>(Cotacoes!H690-Cotacoes!H689)/Cotacoes!H689</f>
        <v>-3.5101404056162191E-3</v>
      </c>
      <c r="I690" s="5">
        <f>(Cotacoes!I690-Cotacoes!I689)/Cotacoes!I689</f>
        <v>-1.6620498614959079E-3</v>
      </c>
      <c r="J690" s="5">
        <f>(Cotacoes!J690-Cotacoes!J689)/Cotacoes!J689</f>
        <v>-4.0929203539823511E-3</v>
      </c>
      <c r="K690" s="5">
        <f>(Cotacoes!K690-Cotacoes!K689)/Cotacoes!K689</f>
        <v>1.1194029850746294E-2</v>
      </c>
      <c r="L690" s="5">
        <f>(Cotacoes!L690-Cotacoes!L689)/Cotacoes!L689</f>
        <v>0</v>
      </c>
      <c r="M690" s="5">
        <f>(Cotacoes!M690-Cotacoes!M689)/Cotacoes!M689</f>
        <v>3.9735099337748381E-2</v>
      </c>
      <c r="N690" s="5">
        <f>(Cotacoes!N690-Cotacoes!N689)/Cotacoes!N689</f>
        <v>-1.5657620041753691E-2</v>
      </c>
      <c r="O690" s="5">
        <f>(Cotacoes!O690-Cotacoes!O689)/Cotacoes!O689</f>
        <v>2.4976288333860345E-2</v>
      </c>
      <c r="P690" s="5">
        <f>(Cotacoes!P690-Cotacoes!P689)/Cotacoes!P689</f>
        <v>-1.7529215358931625E-2</v>
      </c>
      <c r="Q690" s="5">
        <f>(Cotacoes!Q690-Cotacoes!Q689)/Cotacoes!Q689</f>
        <v>8.3050207625519987E-3</v>
      </c>
      <c r="R690" s="5">
        <f>(Cotacoes!R690-Cotacoes!R689)/Cotacoes!R689</f>
        <v>-1.0802469135802514E-2</v>
      </c>
      <c r="S690" s="5">
        <f>(Cotacoes!S690-Cotacoes!S689)/Cotacoes!S689</f>
        <v>1.2307692307692046E-3</v>
      </c>
      <c r="T690" s="5">
        <f>(Cotacoes!T690-Cotacoes!T689)/Cotacoes!T689</f>
        <v>2.1463189476113542E-2</v>
      </c>
      <c r="U690" s="5">
        <f>(Cotacoes!U690-Cotacoes!U689)/Cotacoes!U689</f>
        <v>2.2935779816512817E-3</v>
      </c>
      <c r="V690" s="5">
        <f>(Cotacoes!V690-Cotacoes!V689)/Cotacoes!V689</f>
        <v>-1.552692434753878E-2</v>
      </c>
      <c r="W690" s="5"/>
    </row>
    <row r="691" spans="1:23" x14ac:dyDescent="0.2">
      <c r="A691" s="4">
        <v>45567</v>
      </c>
      <c r="B691" s="5">
        <f>(Cotacoes!B691-Cotacoes!B690)/Cotacoes!B690</f>
        <v>-1.3508677759885535E-2</v>
      </c>
      <c r="C691" s="5">
        <f>(Cotacoes!C691-Cotacoes!C690)/Cotacoes!C690</f>
        <v>5.5743243243242951E-3</v>
      </c>
      <c r="D691" s="5">
        <f>(Cotacoes!D691-Cotacoes!D690)/Cotacoes!D690</f>
        <v>1.3584439641864702E-2</v>
      </c>
      <c r="E691" s="5">
        <f>(Cotacoes!E691-Cotacoes!E690)/Cotacoes!E690</f>
        <v>6.3417890520693502E-3</v>
      </c>
      <c r="F691" s="5">
        <f>(Cotacoes!F691-Cotacoes!F690)/Cotacoes!F690</f>
        <v>1.1777902411665781E-2</v>
      </c>
      <c r="G691" s="5">
        <f>(Cotacoes!G691-Cotacoes!G690)/Cotacoes!G690</f>
        <v>-9.4769455075632593E-3</v>
      </c>
      <c r="H691" s="5">
        <f>(Cotacoes!H691-Cotacoes!H690)/Cotacoes!H690</f>
        <v>2.3483365949118875E-3</v>
      </c>
      <c r="I691" s="5">
        <f>(Cotacoes!I691-Cotacoes!I690)/Cotacoes!I690</f>
        <v>8.3240843507217358E-4</v>
      </c>
      <c r="J691" s="5">
        <f>(Cotacoes!J691-Cotacoes!J690)/Cotacoes!J690</f>
        <v>8.8859269132509494E-4</v>
      </c>
      <c r="K691" s="5">
        <f>(Cotacoes!K691-Cotacoes!K690)/Cotacoes!K690</f>
        <v>3.6162361623616121E-2</v>
      </c>
      <c r="L691" s="5">
        <f>(Cotacoes!L691-Cotacoes!L690)/Cotacoes!L690</f>
        <v>2.0932445290199872E-2</v>
      </c>
      <c r="M691" s="5">
        <f>(Cotacoes!M691-Cotacoes!M690)/Cotacoes!M690</f>
        <v>8.7579617834394451E-3</v>
      </c>
      <c r="N691" s="5">
        <f>(Cotacoes!N691-Cotacoes!N690)/Cotacoes!N690</f>
        <v>3.1813361611878195E-3</v>
      </c>
      <c r="O691" s="5">
        <f>(Cotacoes!O691-Cotacoes!O690)/Cotacoes!O690</f>
        <v>1.9432449105490298E-2</v>
      </c>
      <c r="P691" s="5">
        <f>(Cotacoes!P691-Cotacoes!P690)/Cotacoes!P690</f>
        <v>-1.6992353440951513E-2</v>
      </c>
      <c r="Q691" s="5">
        <f>(Cotacoes!Q691-Cotacoes!Q690)/Cotacoes!Q690</f>
        <v>3.7439161362784676E-3</v>
      </c>
      <c r="R691" s="5">
        <f>(Cotacoes!R691-Cotacoes!R690)/Cotacoes!R690</f>
        <v>-1.4040561622464767E-2</v>
      </c>
      <c r="S691" s="5">
        <f>(Cotacoes!S691-Cotacoes!S690)/Cotacoes!S690</f>
        <v>-6.1462814996914635E-4</v>
      </c>
      <c r="T691" s="5">
        <f>(Cotacoes!T691-Cotacoes!T690)/Cotacoes!T690</f>
        <v>-3.1631269769543738E-3</v>
      </c>
      <c r="U691" s="5">
        <f>(Cotacoes!U691-Cotacoes!U690)/Cotacoes!U690</f>
        <v>1.6781083142639302E-2</v>
      </c>
      <c r="V691" s="5">
        <f>(Cotacoes!V691-Cotacoes!V690)/Cotacoes!V690</f>
        <v>-3.3557046979871018E-4</v>
      </c>
      <c r="W691" s="5"/>
    </row>
    <row r="692" spans="1:23" x14ac:dyDescent="0.2">
      <c r="A692" s="4">
        <v>45568</v>
      </c>
      <c r="B692" s="5">
        <f>(Cotacoes!B692-Cotacoes!B691)/Cotacoes!B691</f>
        <v>1.7230434388319374E-3</v>
      </c>
      <c r="C692" s="5">
        <f>(Cotacoes!C692-Cotacoes!C691)/Cotacoes!C691</f>
        <v>-1.9150008399126499E-2</v>
      </c>
      <c r="D692" s="5">
        <f>(Cotacoes!D692-Cotacoes!D691)/Cotacoes!D691</f>
        <v>1.2488577520560576E-2</v>
      </c>
      <c r="E692" s="5">
        <f>(Cotacoes!E692-Cotacoes!E691)/Cotacoes!E691</f>
        <v>-2.4875621890547265E-2</v>
      </c>
      <c r="F692" s="5">
        <f>(Cotacoes!F692-Cotacoes!F691)/Cotacoes!F691</f>
        <v>1.3303769401330488E-2</v>
      </c>
      <c r="G692" s="5">
        <f>(Cotacoes!G692-Cotacoes!G691)/Cotacoes!G691</f>
        <v>-1.3431462741490412E-2</v>
      </c>
      <c r="H692" s="5">
        <f>(Cotacoes!H692-Cotacoes!H691)/Cotacoes!H691</f>
        <v>-8.9808668488871694E-3</v>
      </c>
      <c r="I692" s="5">
        <f>(Cotacoes!I692-Cotacoes!I691)/Cotacoes!I691</f>
        <v>-2.3842528416966994E-2</v>
      </c>
      <c r="J692" s="5">
        <f>(Cotacoes!J692-Cotacoes!J691)/Cotacoes!J691</f>
        <v>-1.5425590944401294E-2</v>
      </c>
      <c r="K692" s="5">
        <f>(Cotacoes!K692-Cotacoes!K691)/Cotacoes!K691</f>
        <v>-1.0683760683760583E-2</v>
      </c>
      <c r="L692" s="5">
        <f>(Cotacoes!L692-Cotacoes!L691)/Cotacoes!L691</f>
        <v>-1.9571295433364479E-2</v>
      </c>
      <c r="M692" s="5">
        <f>(Cotacoes!M692-Cotacoes!M691)/Cotacoes!M691</f>
        <v>-2.2888713496448235E-2</v>
      </c>
      <c r="N692" s="5">
        <f>(Cotacoes!N692-Cotacoes!N691)/Cotacoes!N691</f>
        <v>-2.9598308668076227E-2</v>
      </c>
      <c r="O692" s="5">
        <f>(Cotacoes!O692-Cotacoes!O691)/Cotacoes!O691</f>
        <v>-1.9667170953101321E-2</v>
      </c>
      <c r="P692" s="5">
        <f>(Cotacoes!P692-Cotacoes!P691)/Cotacoes!P691</f>
        <v>-2.4848746758859088E-2</v>
      </c>
      <c r="Q692" s="5">
        <f>(Cotacoes!Q692-Cotacoes!Q691)/Cotacoes!Q691</f>
        <v>-4.4759418127563386E-3</v>
      </c>
      <c r="R692" s="5">
        <f>(Cotacoes!R692-Cotacoes!R691)/Cotacoes!R691</f>
        <v>-4.7468354430380416E-3</v>
      </c>
      <c r="S692" s="5">
        <f>(Cotacoes!S692-Cotacoes!S691)/Cotacoes!S691</f>
        <v>-6.1500615006150929E-3</v>
      </c>
      <c r="T692" s="5">
        <f>(Cotacoes!T692-Cotacoes!T691)/Cotacoes!T691</f>
        <v>1.1106074342701769E-2</v>
      </c>
      <c r="U692" s="5">
        <f>(Cotacoes!U692-Cotacoes!U691)/Cotacoes!U691</f>
        <v>-3.0757689422355686E-2</v>
      </c>
      <c r="V692" s="5">
        <f>(Cotacoes!V692-Cotacoes!V691)/Cotacoes!V691</f>
        <v>-2.014098690835808E-3</v>
      </c>
      <c r="W692" s="5"/>
    </row>
    <row r="693" spans="1:23" x14ac:dyDescent="0.2">
      <c r="A693" s="4">
        <v>45569</v>
      </c>
      <c r="B693" s="5">
        <f>(Cotacoes!B693-Cotacoes!B692)/Cotacoes!B692</f>
        <v>3.6212203512589404E-4</v>
      </c>
      <c r="C693" s="5">
        <f>(Cotacoes!C693-Cotacoes!C692)/Cotacoes!C692</f>
        <v>-7.3642747045726958E-3</v>
      </c>
      <c r="D693" s="5">
        <f>(Cotacoes!D693-Cotacoes!D692)/Cotacoes!D692</f>
        <v>-2.7075812274369253E-3</v>
      </c>
      <c r="E693" s="5">
        <f>(Cotacoes!E693-Cotacoes!E692)/Cotacoes!E692</f>
        <v>2.0408163265306896E-3</v>
      </c>
      <c r="F693" s="5">
        <f>(Cotacoes!F693-Cotacoes!F692)/Cotacoes!F692</f>
        <v>5.4704595185984736E-4</v>
      </c>
      <c r="G693" s="5">
        <f>(Cotacoes!G693-Cotacoes!G692)/Cotacoes!G692</f>
        <v>-1.8649757553150751E-3</v>
      </c>
      <c r="H693" s="5">
        <f>(Cotacoes!H693-Cotacoes!H692)/Cotacoes!H692</f>
        <v>-1.5760441292355851E-3</v>
      </c>
      <c r="I693" s="5">
        <f>(Cotacoes!I693-Cotacoes!I692)/Cotacoes!I692</f>
        <v>-5.6802044873616253E-3</v>
      </c>
      <c r="J693" s="5">
        <f>(Cotacoes!J693-Cotacoes!J692)/Cotacoes!J692</f>
        <v>-6.7628494138863198E-3</v>
      </c>
      <c r="K693" s="5">
        <f>(Cotacoes!K693-Cotacoes!K692)/Cotacoes!K692</f>
        <v>1.4398848092152319E-3</v>
      </c>
      <c r="L693" s="5">
        <f>(Cotacoes!L693-Cotacoes!L692)/Cotacoes!L692</f>
        <v>2.8517110266160777E-3</v>
      </c>
      <c r="M693" s="5">
        <f>(Cotacoes!M693-Cotacoes!M692)/Cotacoes!M692</f>
        <v>-8.8852988691438765E-3</v>
      </c>
      <c r="N693" s="5">
        <f>(Cotacoes!N693-Cotacoes!N692)/Cotacoes!N692</f>
        <v>1.0893246187363603E-3</v>
      </c>
      <c r="O693" s="5">
        <f>(Cotacoes!O693-Cotacoes!O692)/Cotacoes!O692</f>
        <v>1.2345679012345416E-3</v>
      </c>
      <c r="P693" s="5">
        <f>(Cotacoes!P693-Cotacoes!P692)/Cotacoes!P692</f>
        <v>1.6840239308663817E-2</v>
      </c>
      <c r="Q693" s="5">
        <f>(Cotacoes!Q693-Cotacoes!Q692)/Cotacoes!Q692</f>
        <v>1.6298239040839217E-2</v>
      </c>
      <c r="R693" s="5">
        <f>(Cotacoes!R693-Cotacoes!R692)/Cotacoes!R692</f>
        <v>6.3593004769475136E-3</v>
      </c>
      <c r="S693" s="5">
        <f>(Cotacoes!S693-Cotacoes!S692)/Cotacoes!S692</f>
        <v>5.5693069306930604E-3</v>
      </c>
      <c r="T693" s="5">
        <f>(Cotacoes!T693-Cotacoes!T692)/Cotacoes!T692</f>
        <v>4.4832997085855831E-3</v>
      </c>
      <c r="U693" s="5">
        <f>(Cotacoes!U693-Cotacoes!U692)/Cotacoes!U692</f>
        <v>3.4571723426212682E-2</v>
      </c>
      <c r="V693" s="5">
        <f>(Cotacoes!V693-Cotacoes!V692)/Cotacoes!V692</f>
        <v>6.0544904137235017E-3</v>
      </c>
      <c r="W693" s="5"/>
    </row>
    <row r="694" spans="1:23" x14ac:dyDescent="0.2">
      <c r="A694" s="4">
        <v>45572</v>
      </c>
      <c r="B694" s="5">
        <f>(Cotacoes!B694-Cotacoes!B693)/Cotacoes!B693</f>
        <v>-2.6244343891403282E-3</v>
      </c>
      <c r="C694" s="5">
        <f>(Cotacoes!C694-Cotacoes!C693)/Cotacoes!C693</f>
        <v>8.7991718426500692E-3</v>
      </c>
      <c r="D694" s="5">
        <f>(Cotacoes!D694-Cotacoes!D693)/Cotacoes!D693</f>
        <v>1.3876319758672727E-2</v>
      </c>
      <c r="E694" s="5">
        <f>(Cotacoes!E694-Cotacoes!E693)/Cotacoes!E693</f>
        <v>6.7888662593346668E-3</v>
      </c>
      <c r="F694" s="5">
        <f>(Cotacoes!F694-Cotacoes!F693)/Cotacoes!F693</f>
        <v>1.6949152542373006E-2</v>
      </c>
      <c r="G694" s="5">
        <f>(Cotacoes!G694-Cotacoes!G693)/Cotacoes!G693</f>
        <v>-2.0179372197309517E-2</v>
      </c>
      <c r="H694" s="5">
        <f>(Cotacoes!H694-Cotacoes!H693)/Cotacoes!H693</f>
        <v>4.7355958958169297E-3</v>
      </c>
      <c r="I694" s="5">
        <f>(Cotacoes!I694-Cotacoes!I693)/Cotacoes!I693</f>
        <v>-2.8563267637812085E-4</v>
      </c>
      <c r="J694" s="5">
        <f>(Cotacoes!J694-Cotacoes!J693)/Cotacoes!J693</f>
        <v>1.5546981389014869E-2</v>
      </c>
      <c r="K694" s="5">
        <f>(Cotacoes!K694-Cotacoes!K693)/Cotacoes!K693</f>
        <v>9.3457943925232927E-3</v>
      </c>
      <c r="L694" s="5">
        <f>(Cotacoes!L694-Cotacoes!L693)/Cotacoes!L693</f>
        <v>-1.895734597156408E-2</v>
      </c>
      <c r="M694" s="5">
        <f>(Cotacoes!M694-Cotacoes!M693)/Cotacoes!M693</f>
        <v>-8.1499592502037206E-3</v>
      </c>
      <c r="N694" s="5">
        <f>(Cotacoes!N694-Cotacoes!N693)/Cotacoes!N693</f>
        <v>4.3525571273123967E-3</v>
      </c>
      <c r="O694" s="5">
        <f>(Cotacoes!O694-Cotacoes!O693)/Cotacoes!O693</f>
        <v>-6.1652281134400664E-3</v>
      </c>
      <c r="P694" s="5">
        <f>(Cotacoes!P694-Cotacoes!P693)/Cotacoes!P693</f>
        <v>-1.7432991937240856E-3</v>
      </c>
      <c r="Q694" s="5">
        <f>(Cotacoes!Q694-Cotacoes!Q693)/Cotacoes!Q693</f>
        <v>7.3732718894007644E-4</v>
      </c>
      <c r="R694" s="5">
        <f>(Cotacoes!R694-Cotacoes!R693)/Cotacoes!R693</f>
        <v>-3.7914691943127157E-3</v>
      </c>
      <c r="S694" s="5">
        <f>(Cotacoes!S694-Cotacoes!S693)/Cotacoes!S693</f>
        <v>-8.9230769230768964E-3</v>
      </c>
      <c r="T694" s="5">
        <f>(Cotacoes!T694-Cotacoes!T693)/Cotacoes!T693</f>
        <v>1.6067841999553644E-2</v>
      </c>
      <c r="U694" s="5">
        <f>(Cotacoes!U694-Cotacoes!U693)/Cotacoes!U693</f>
        <v>-1.1471321695760619E-2</v>
      </c>
      <c r="V694" s="5">
        <f>(Cotacoes!V694-Cotacoes!V693)/Cotacoes!V693</f>
        <v>-6.3523905048479198E-3</v>
      </c>
      <c r="W694" s="5"/>
    </row>
    <row r="695" spans="1:23" x14ac:dyDescent="0.2">
      <c r="A695" s="4">
        <v>45573</v>
      </c>
      <c r="B695" s="5">
        <f>(Cotacoes!B695-Cotacoes!B694)/Cotacoes!B694</f>
        <v>-1.1795662825514901E-2</v>
      </c>
      <c r="C695" s="5">
        <f>(Cotacoes!C695-Cotacoes!C694)/Cotacoes!C694</f>
        <v>-3.0271934325294955E-2</v>
      </c>
      <c r="D695" s="5">
        <f>(Cotacoes!D695-Cotacoes!D694)/Cotacoes!D694</f>
        <v>-1.9934543290687348E-2</v>
      </c>
      <c r="E695" s="5">
        <f>(Cotacoes!E695-Cotacoes!E694)/Cotacoes!E694</f>
        <v>5.731625084288542E-3</v>
      </c>
      <c r="F695" s="5">
        <f>(Cotacoes!F695-Cotacoes!F694)/Cotacoes!F694</f>
        <v>-2.1774193548387156E-2</v>
      </c>
      <c r="G695" s="5">
        <f>(Cotacoes!G695-Cotacoes!G694)/Cotacoes!G694</f>
        <v>1.6971777269260118E-2</v>
      </c>
      <c r="H695" s="5">
        <f>(Cotacoes!H695-Cotacoes!H694)/Cotacoes!H694</f>
        <v>-3.9277297721922871E-4</v>
      </c>
      <c r="I695" s="5">
        <f>(Cotacoes!I695-Cotacoes!I694)/Cotacoes!I694</f>
        <v>1.4571428571428515E-2</v>
      </c>
      <c r="J695" s="5">
        <f>(Cotacoes!J695-Cotacoes!J694)/Cotacoes!J694</f>
        <v>9.2747793049502546E-3</v>
      </c>
      <c r="K695" s="5">
        <f>(Cotacoes!K695-Cotacoes!K694)/Cotacoes!K694</f>
        <v>7.1225071225082363E-4</v>
      </c>
      <c r="L695" s="5">
        <f>(Cotacoes!L695-Cotacoes!L694)/Cotacoes!L694</f>
        <v>1.4492753623188441E-2</v>
      </c>
      <c r="M695" s="5">
        <f>(Cotacoes!M695-Cotacoes!M694)/Cotacoes!M694</f>
        <v>-7.3952341824157644E-3</v>
      </c>
      <c r="N695" s="5">
        <f>(Cotacoes!N695-Cotacoes!N694)/Cotacoes!N694</f>
        <v>0</v>
      </c>
      <c r="O695" s="5">
        <f>(Cotacoes!O695-Cotacoes!O694)/Cotacoes!O694</f>
        <v>3.4119106699751684E-3</v>
      </c>
      <c r="P695" s="5">
        <f>(Cotacoes!P695-Cotacoes!P694)/Cotacoes!P694</f>
        <v>1.5280506439642062E-3</v>
      </c>
      <c r="Q695" s="5">
        <f>(Cotacoes!Q695-Cotacoes!Q694)/Cotacoes!Q694</f>
        <v>-1.6577638607477676E-3</v>
      </c>
      <c r="R695" s="5">
        <f>(Cotacoes!R695-Cotacoes!R694)/Cotacoes!R694</f>
        <v>7.2946400253726743E-3</v>
      </c>
      <c r="S695" s="5">
        <f>(Cotacoes!S695-Cotacoes!S694)/Cotacoes!S694</f>
        <v>1.8317292766221554E-2</v>
      </c>
      <c r="T695" s="5">
        <f>(Cotacoes!T695-Cotacoes!T694)/Cotacoes!T694</f>
        <v>-3.1188227542279852E-2</v>
      </c>
      <c r="U695" s="5">
        <f>(Cotacoes!U695-Cotacoes!U694)/Cotacoes!U694</f>
        <v>3.4813319878910252E-2</v>
      </c>
      <c r="V695" s="5">
        <f>(Cotacoes!V695-Cotacoes!V694)/Cotacoes!V694</f>
        <v>8.0753701211306195E-3</v>
      </c>
      <c r="W695" s="5"/>
    </row>
    <row r="696" spans="1:23" x14ac:dyDescent="0.2">
      <c r="A696" s="4">
        <v>45574</v>
      </c>
      <c r="B696" s="5">
        <f>(Cotacoes!B696-Cotacoes!B695)/Cotacoes!B695</f>
        <v>3.0300247911119117E-3</v>
      </c>
      <c r="C696" s="5">
        <f>(Cotacoes!C696-Cotacoes!C695)/Cotacoes!C695</f>
        <v>-2.6455026455027455E-3</v>
      </c>
      <c r="D696" s="5">
        <f>(Cotacoes!D696-Cotacoes!D695)/Cotacoes!D695</f>
        <v>-1.0018214936247672E-2</v>
      </c>
      <c r="E696" s="5">
        <f>(Cotacoes!E696-Cotacoes!E695)/Cotacoes!E695</f>
        <v>-1.8102581293999304E-2</v>
      </c>
      <c r="F696" s="5">
        <f>(Cotacoes!F696-Cotacoes!F695)/Cotacoes!F695</f>
        <v>-7.6944215443803558E-3</v>
      </c>
      <c r="G696" s="5">
        <f>(Cotacoes!G696-Cotacoes!G695)/Cotacoes!G695</f>
        <v>-5.6253515844739768E-3</v>
      </c>
      <c r="H696" s="5">
        <f>(Cotacoes!H696-Cotacoes!H695)/Cotacoes!H695</f>
        <v>-2.0432220039292716E-2</v>
      </c>
      <c r="I696" s="5">
        <f>(Cotacoes!I696-Cotacoes!I695)/Cotacoes!I695</f>
        <v>-1.3235708251196814E-2</v>
      </c>
      <c r="J696" s="5">
        <f>(Cotacoes!J696-Cotacoes!J695)/Cotacoes!J695</f>
        <v>-1.5168290522586253E-2</v>
      </c>
      <c r="K696" s="5">
        <f>(Cotacoes!K696-Cotacoes!K695)/Cotacoes!K695</f>
        <v>-1.9217081850533904E-2</v>
      </c>
      <c r="L696" s="5">
        <f>(Cotacoes!L696-Cotacoes!L695)/Cotacoes!L695</f>
        <v>-1.9047619047618642E-3</v>
      </c>
      <c r="M696" s="5">
        <f>(Cotacoes!M696-Cotacoes!M695)/Cotacoes!M695</f>
        <v>0</v>
      </c>
      <c r="N696" s="5">
        <f>(Cotacoes!N696-Cotacoes!N695)/Cotacoes!N695</f>
        <v>-1.8418201516793058E-2</v>
      </c>
      <c r="O696" s="5">
        <f>(Cotacoes!O696-Cotacoes!O695)/Cotacoes!O695</f>
        <v>7.4188562596600302E-3</v>
      </c>
      <c r="P696" s="5">
        <f>(Cotacoes!P696-Cotacoes!P695)/Cotacoes!P695</f>
        <v>1.089799476896189E-3</v>
      </c>
      <c r="Q696" s="5">
        <f>(Cotacoes!Q696-Cotacoes!Q695)/Cotacoes!Q695</f>
        <v>-2.3616236162361644E-2</v>
      </c>
      <c r="R696" s="5">
        <f>(Cotacoes!R696-Cotacoes!R695)/Cotacoes!R695</f>
        <v>-5.9823677581864378E-3</v>
      </c>
      <c r="S696" s="5">
        <f>(Cotacoes!S696-Cotacoes!S695)/Cotacoes!S695</f>
        <v>-1.0670731707316901E-2</v>
      </c>
      <c r="T696" s="5">
        <f>(Cotacoes!T696-Cotacoes!T695)/Cotacoes!T695</f>
        <v>-9.2949444570391421E-3</v>
      </c>
      <c r="U696" s="5">
        <f>(Cotacoes!U696-Cotacoes!U695)/Cotacoes!U695</f>
        <v>-3.217942467089225E-2</v>
      </c>
      <c r="V696" s="5">
        <f>(Cotacoes!V696-Cotacoes!V695)/Cotacoes!V695</f>
        <v>-1.8024032042723601E-2</v>
      </c>
      <c r="W696" s="5"/>
    </row>
    <row r="697" spans="1:23" x14ac:dyDescent="0.2">
      <c r="A697" s="4">
        <v>45575</v>
      </c>
      <c r="B697" s="5">
        <f>(Cotacoes!B697-Cotacoes!B696)/Cotacoes!B696</f>
        <v>-2.2885389967045038E-3</v>
      </c>
      <c r="C697" s="5">
        <f>(Cotacoes!C697-Cotacoes!C696)/Cotacoes!C696</f>
        <v>4.7745358090186228E-3</v>
      </c>
      <c r="D697" s="5">
        <f>(Cotacoes!D697-Cotacoes!D696)/Cotacoes!D696</f>
        <v>1.1346212818153862E-2</v>
      </c>
      <c r="E697" s="5">
        <f>(Cotacoes!E697-Cotacoes!E696)/Cotacoes!E696</f>
        <v>5.4626152270399507E-3</v>
      </c>
      <c r="F697" s="5">
        <f>(Cotacoes!F697-Cotacoes!F696)/Cotacoes!F696</f>
        <v>1.6615895873719231E-2</v>
      </c>
      <c r="G697" s="5">
        <f>(Cotacoes!G697-Cotacoes!G696)/Cotacoes!G696</f>
        <v>3.2057326041863418E-3</v>
      </c>
      <c r="H697" s="5">
        <f>(Cotacoes!H697-Cotacoes!H696)/Cotacoes!H696</f>
        <v>-8.4235860409145949E-3</v>
      </c>
      <c r="I697" s="5">
        <f>(Cotacoes!I697-Cotacoes!I696)/Cotacoes!I696</f>
        <v>-1.4269406392693252E-3</v>
      </c>
      <c r="J697" s="5">
        <f>(Cotacoes!J697-Cotacoes!J696)/Cotacoes!J696</f>
        <v>-3.1478358628443072E-3</v>
      </c>
      <c r="K697" s="5">
        <f>(Cotacoes!K697-Cotacoes!K696)/Cotacoes!K696</f>
        <v>5.0798258345428364E-3</v>
      </c>
      <c r="L697" s="5">
        <f>(Cotacoes!L697-Cotacoes!L696)/Cotacoes!L696</f>
        <v>6.679389312977126E-3</v>
      </c>
      <c r="M697" s="5">
        <f>(Cotacoes!M697-Cotacoes!M696)/Cotacoes!M696</f>
        <v>2.4834437086092187E-3</v>
      </c>
      <c r="N697" s="5">
        <f>(Cotacoes!N697-Cotacoes!N696)/Cotacoes!N696</f>
        <v>5.5187637969093747E-3</v>
      </c>
      <c r="O697" s="5">
        <f>(Cotacoes!O697-Cotacoes!O696)/Cotacoes!O696</f>
        <v>-6.4436943847806334E-3</v>
      </c>
      <c r="P697" s="5">
        <f>(Cotacoes!P697-Cotacoes!P696)/Cotacoes!P696</f>
        <v>1.6764641846287898E-2</v>
      </c>
      <c r="Q697" s="5">
        <f>(Cotacoes!Q697-Cotacoes!Q696)/Cotacoes!Q696</f>
        <v>-4.5351473922902868E-3</v>
      </c>
      <c r="R697" s="5">
        <f>(Cotacoes!R697-Cotacoes!R696)/Cotacoes!R696</f>
        <v>-1.3303769401330431E-2</v>
      </c>
      <c r="S697" s="5">
        <f>(Cotacoes!S697-Cotacoes!S696)/Cotacoes!S696</f>
        <v>-1.2326656394453179E-2</v>
      </c>
      <c r="T697" s="5">
        <f>(Cotacoes!T697-Cotacoes!T696)/Cotacoes!T696</f>
        <v>2.7002288329519442E-2</v>
      </c>
      <c r="U697" s="5">
        <f>(Cotacoes!U697-Cotacoes!U696)/Cotacoes!U696</f>
        <v>-8.8161209068010424E-3</v>
      </c>
      <c r="V697" s="5">
        <f>(Cotacoes!V697-Cotacoes!V696)/Cotacoes!V696</f>
        <v>6.1182868796736817E-3</v>
      </c>
      <c r="W697" s="5"/>
    </row>
    <row r="698" spans="1:23" x14ac:dyDescent="0.2">
      <c r="A698" s="4">
        <v>45576</v>
      </c>
      <c r="B698" s="5">
        <f>(Cotacoes!B698-Cotacoes!B697)/Cotacoes!B697</f>
        <v>6.9731167997064422E-3</v>
      </c>
      <c r="C698" s="5">
        <f>(Cotacoes!C698-Cotacoes!C697)/Cotacoes!C697</f>
        <v>1.4431538190777899E-2</v>
      </c>
      <c r="D698" s="5">
        <f>(Cotacoes!D698-Cotacoes!D697)/Cotacoes!D697</f>
        <v>-6.0642813826549498E-4</v>
      </c>
      <c r="E698" s="5">
        <f>(Cotacoes!E698-Cotacoes!E697)/Cotacoes!E697</f>
        <v>-7.4702886247877374E-3</v>
      </c>
      <c r="F698" s="5">
        <f>(Cotacoes!F698-Cotacoes!F697)/Cotacoes!F697</f>
        <v>-1.6344320348679452E-3</v>
      </c>
      <c r="G698" s="5">
        <f>(Cotacoes!G698-Cotacoes!G697)/Cotacoes!G697</f>
        <v>-1.8796992481212623E-4</v>
      </c>
      <c r="H698" s="5">
        <f>(Cotacoes!H698-Cotacoes!H697)/Cotacoes!H697</f>
        <v>4.8543689320388753E-3</v>
      </c>
      <c r="I698" s="5">
        <f>(Cotacoes!I698-Cotacoes!I697)/Cotacoes!I697</f>
        <v>-2.857959416977741E-4</v>
      </c>
      <c r="J698" s="5">
        <f>(Cotacoes!J698-Cotacoes!J697)/Cotacoes!J697</f>
        <v>-6.4283297620391045E-3</v>
      </c>
      <c r="K698" s="5">
        <f>(Cotacoes!K698-Cotacoes!K697)/Cotacoes!K697</f>
        <v>-1.2996389891696731E-2</v>
      </c>
      <c r="L698" s="5">
        <f>(Cotacoes!L698-Cotacoes!L697)/Cotacoes!L697</f>
        <v>-5.6872037914692409E-3</v>
      </c>
      <c r="M698" s="5">
        <f>(Cotacoes!M698-Cotacoes!M697)/Cotacoes!M697</f>
        <v>-1.7341040462427671E-2</v>
      </c>
      <c r="N698" s="5">
        <f>(Cotacoes!N698-Cotacoes!N697)/Cotacoes!N697</f>
        <v>-5.4884742041711237E-3</v>
      </c>
      <c r="O698" s="5">
        <f>(Cotacoes!O698-Cotacoes!O697)/Cotacoes!O697</f>
        <v>-1.5750463248919135E-2</v>
      </c>
      <c r="P698" s="5">
        <f>(Cotacoes!P698-Cotacoes!P697)/Cotacoes!P697</f>
        <v>-2.9550321199143522E-2</v>
      </c>
      <c r="Q698" s="5">
        <f>(Cotacoes!Q698-Cotacoes!Q697)/Cotacoes!Q697</f>
        <v>1.1389521640091547E-3</v>
      </c>
      <c r="R698" s="5">
        <f>(Cotacoes!R698-Cotacoes!R697)/Cotacoes!R697</f>
        <v>5.1364365971107596E-3</v>
      </c>
      <c r="S698" s="5">
        <f>(Cotacoes!S698-Cotacoes!S697)/Cotacoes!S697</f>
        <v>-6.5522620904835353E-3</v>
      </c>
      <c r="T698" s="5">
        <f>(Cotacoes!T698-Cotacoes!T697)/Cotacoes!T697</f>
        <v>-1.3814616755793327E-2</v>
      </c>
      <c r="U698" s="5">
        <f>(Cotacoes!U698-Cotacoes!U697)/Cotacoes!U697</f>
        <v>1.1181702668360806E-2</v>
      </c>
      <c r="V698" s="5">
        <f>(Cotacoes!V698-Cotacoes!V697)/Cotacoes!V697</f>
        <v>-9.1216216216217262E-3</v>
      </c>
      <c r="W698" s="5"/>
    </row>
    <row r="699" spans="1:23" x14ac:dyDescent="0.2">
      <c r="A699" s="4">
        <v>45579</v>
      </c>
      <c r="B699" s="5">
        <f>(Cotacoes!B699-Cotacoes!B698)/Cotacoes!B698</f>
        <v>1.3667425968109858E-3</v>
      </c>
      <c r="C699" s="5">
        <f>(Cotacoes!C699-Cotacoes!C698)/Cotacoes!C698</f>
        <v>-3.2963219986120356E-3</v>
      </c>
      <c r="D699" s="5">
        <f>(Cotacoes!D699-Cotacoes!D698)/Cotacoes!D698</f>
        <v>2.1237864077669989E-3</v>
      </c>
      <c r="E699" s="5">
        <f>(Cotacoes!E699-Cotacoes!E698)/Cotacoes!E698</f>
        <v>6.1580567909681732E-3</v>
      </c>
      <c r="F699" s="5">
        <f>(Cotacoes!F699-Cotacoes!F698)/Cotacoes!F698</f>
        <v>-1.6371077762618055E-3</v>
      </c>
      <c r="G699" s="5">
        <f>(Cotacoes!G699-Cotacoes!G698)/Cotacoes!G698</f>
        <v>1.6168452716676059E-2</v>
      </c>
      <c r="H699" s="5">
        <f>(Cotacoes!H699-Cotacoes!H698)/Cotacoes!H698</f>
        <v>7.2463768115941917E-3</v>
      </c>
      <c r="I699" s="5">
        <f>(Cotacoes!I699-Cotacoes!I698)/Cotacoes!I698</f>
        <v>2.0869068038879474E-2</v>
      </c>
      <c r="J699" s="5">
        <f>(Cotacoes!J699-Cotacoes!J698)/Cotacoes!J698</f>
        <v>2.1679909194097742E-2</v>
      </c>
      <c r="K699" s="5">
        <f>(Cotacoes!K699-Cotacoes!K698)/Cotacoes!K698</f>
        <v>1.4630577907827307E-2</v>
      </c>
      <c r="L699" s="5">
        <f>(Cotacoes!L699-Cotacoes!L698)/Cotacoes!L698</f>
        <v>1.7159199237368895E-2</v>
      </c>
      <c r="M699" s="5">
        <f>(Cotacoes!M699-Cotacoes!M698)/Cotacoes!M698</f>
        <v>3.3613445378150543E-3</v>
      </c>
      <c r="N699" s="5">
        <f>(Cotacoes!N699-Cotacoes!N698)/Cotacoes!N698</f>
        <v>8.8300220750551946E-3</v>
      </c>
      <c r="O699" s="5">
        <f>(Cotacoes!O699-Cotacoes!O698)/Cotacoes!O698</f>
        <v>2.7298399748980264E-2</v>
      </c>
      <c r="P699" s="5">
        <f>(Cotacoes!P699-Cotacoes!P698)/Cotacoes!P698</f>
        <v>1.8976169461606341E-2</v>
      </c>
      <c r="Q699" s="5">
        <f>(Cotacoes!Q699-Cotacoes!Q698)/Cotacoes!Q698</f>
        <v>9.1012514220704752E-3</v>
      </c>
      <c r="R699" s="5">
        <f>(Cotacoes!R699-Cotacoes!R698)/Cotacoes!R698</f>
        <v>1.469179175982117E-2</v>
      </c>
      <c r="S699" s="5">
        <f>(Cotacoes!S699-Cotacoes!S698)/Cotacoes!S698</f>
        <v>2.6695979899497419E-2</v>
      </c>
      <c r="T699" s="5">
        <f>(Cotacoes!T699-Cotacoes!T698)/Cotacoes!T698</f>
        <v>-1.8752824220515101E-2</v>
      </c>
      <c r="U699" s="5">
        <f>(Cotacoes!U699-Cotacoes!U698)/Cotacoes!U698</f>
        <v>2.1362151294295084E-2</v>
      </c>
      <c r="V699" s="5">
        <f>(Cotacoes!V699-Cotacoes!V698)/Cotacoes!V698</f>
        <v>3.409478349813012E-4</v>
      </c>
      <c r="W699" s="5"/>
    </row>
    <row r="700" spans="1:23" x14ac:dyDescent="0.2">
      <c r="A700" s="4">
        <v>45580</v>
      </c>
      <c r="B700" s="5">
        <f>(Cotacoes!B700-Cotacoes!B699)/Cotacoes!B699</f>
        <v>5.4595086442219684E-3</v>
      </c>
      <c r="C700" s="5">
        <f>(Cotacoes!C700-Cotacoes!C699)/Cotacoes!C699</f>
        <v>-1.2184508268059231E-2</v>
      </c>
      <c r="D700" s="5">
        <f>(Cotacoes!D700-Cotacoes!D699)/Cotacoes!D699</f>
        <v>-8.1743869209810211E-3</v>
      </c>
      <c r="E700" s="5">
        <f>(Cotacoes!E700-Cotacoes!E699)/Cotacoes!E699</f>
        <v>1.1560693641618493E-2</v>
      </c>
      <c r="F700" s="5">
        <f>(Cotacoes!F700-Cotacoes!F699)/Cotacoes!F699</f>
        <v>-1.1478546050833607E-2</v>
      </c>
      <c r="G700" s="5">
        <f>(Cotacoes!G700-Cotacoes!G699)/Cotacoes!G699</f>
        <v>2.7012025901942661E-2</v>
      </c>
      <c r="H700" s="5">
        <f>(Cotacoes!H700-Cotacoes!H699)/Cotacoes!H699</f>
        <v>-1.9984012789768472E-3</v>
      </c>
      <c r="I700" s="5">
        <f>(Cotacoes!I700-Cotacoes!I699)/Cotacoes!I699</f>
        <v>-5.6006720806497578E-3</v>
      </c>
      <c r="J700" s="5">
        <f>(Cotacoes!J700-Cotacoes!J699)/Cotacoes!J699</f>
        <v>1.2109765581601924E-2</v>
      </c>
      <c r="K700" s="5">
        <f>(Cotacoes!K700-Cotacoes!K699)/Cotacoes!K699</f>
        <v>8.6517664023072101E-3</v>
      </c>
      <c r="L700" s="5">
        <f>(Cotacoes!L700-Cotacoes!L699)/Cotacoes!L699</f>
        <v>-3.7488284910964526E-3</v>
      </c>
      <c r="M700" s="5">
        <f>(Cotacoes!M700-Cotacoes!M699)/Cotacoes!M699</f>
        <v>-3.3500837520937313E-3</v>
      </c>
      <c r="N700" s="5">
        <f>(Cotacoes!N700-Cotacoes!N699)/Cotacoes!N699</f>
        <v>4.3763676148795561E-3</v>
      </c>
      <c r="O700" s="5">
        <f>(Cotacoes!O700-Cotacoes!O699)/Cotacoes!O699</f>
        <v>2.5351252290775755E-2</v>
      </c>
      <c r="P700" s="5">
        <f>(Cotacoes!P700-Cotacoes!P699)/Cotacoes!P699</f>
        <v>-1.169337375487222E-2</v>
      </c>
      <c r="Q700" s="5">
        <f>(Cotacoes!Q700-Cotacoes!Q699)/Cotacoes!Q699</f>
        <v>5.6369785794816113E-4</v>
      </c>
      <c r="R700" s="5">
        <f>(Cotacoes!R700-Cotacoes!R699)/Cotacoes!R699</f>
        <v>1.4479068303430825E-2</v>
      </c>
      <c r="S700" s="5">
        <f>(Cotacoes!S700-Cotacoes!S699)/Cotacoes!S699</f>
        <v>-3.0590394616084466E-4</v>
      </c>
      <c r="T700" s="5">
        <f>(Cotacoes!T700-Cotacoes!T699)/Cotacoes!T699</f>
        <v>-2.9933225880728197E-3</v>
      </c>
      <c r="U700" s="5">
        <f>(Cotacoes!U700-Cotacoes!U699)/Cotacoes!U699</f>
        <v>3.6909448818897286E-3</v>
      </c>
      <c r="V700" s="5">
        <f>(Cotacoes!V700-Cotacoes!V699)/Cotacoes!V699</f>
        <v>5.1124744376277636E-3</v>
      </c>
      <c r="W700" s="5"/>
    </row>
    <row r="701" spans="1:23" x14ac:dyDescent="0.2">
      <c r="A701" s="4">
        <v>45581</v>
      </c>
      <c r="B701" s="5">
        <f>(Cotacoes!B701-Cotacoes!B700)/Cotacoes!B700</f>
        <v>-7.9638009049773344E-3</v>
      </c>
      <c r="C701" s="5">
        <f>(Cotacoes!C701-Cotacoes!C700)/Cotacoes!C700</f>
        <v>1.9030837004405256E-2</v>
      </c>
      <c r="D701" s="5">
        <f>(Cotacoes!D701-Cotacoes!D700)/Cotacoes!D700</f>
        <v>-4.8840048840047799E-3</v>
      </c>
      <c r="E701" s="5">
        <f>(Cotacoes!E701-Cotacoes!E700)/Cotacoes!E700</f>
        <v>-6.0504201680672172E-3</v>
      </c>
      <c r="F701" s="5">
        <f>(Cotacoes!F701-Cotacoes!F700)/Cotacoes!F700</f>
        <v>-2.7647221454244241E-3</v>
      </c>
      <c r="G701" s="5">
        <f>(Cotacoes!G701-Cotacoes!G700)/Cotacoes!G700</f>
        <v>1.1709601873536275E-2</v>
      </c>
      <c r="H701" s="5">
        <f>(Cotacoes!H701-Cotacoes!H700)/Cotacoes!H700</f>
        <v>1.0812975570684806E-2</v>
      </c>
      <c r="I701" s="5">
        <f>(Cotacoes!I701-Cotacoes!I700)/Cotacoes!I700</f>
        <v>-1.4925373134328391E-2</v>
      </c>
      <c r="J701" s="5">
        <f>(Cotacoes!J701-Cotacoes!J700)/Cotacoes!J700</f>
        <v>9.8792535675082949E-3</v>
      </c>
      <c r="K701" s="5">
        <f>(Cotacoes!K701-Cotacoes!K700)/Cotacoes!K700</f>
        <v>-3.5739814152966911E-3</v>
      </c>
      <c r="L701" s="5">
        <f>(Cotacoes!L701-Cotacoes!L700)/Cotacoes!L700</f>
        <v>1.3170272812793865E-2</v>
      </c>
      <c r="M701" s="5">
        <f>(Cotacoes!M701-Cotacoes!M700)/Cotacoes!M700</f>
        <v>4.201680672268818E-3</v>
      </c>
      <c r="N701" s="5">
        <f>(Cotacoes!N701-Cotacoes!N700)/Cotacoes!N700</f>
        <v>-2.1786492374727207E-3</v>
      </c>
      <c r="O701" s="5">
        <f>(Cotacoes!O701-Cotacoes!O700)/Cotacoes!O700</f>
        <v>1.5490020851951241E-2</v>
      </c>
      <c r="P701" s="5">
        <f>(Cotacoes!P701-Cotacoes!P700)/Cotacoes!P700</f>
        <v>6.7484662576687074E-2</v>
      </c>
      <c r="Q701" s="5">
        <f>(Cotacoes!Q701-Cotacoes!Q700)/Cotacoes!Q700</f>
        <v>-4.6948356807511738E-3</v>
      </c>
      <c r="R701" s="5">
        <f>(Cotacoes!R701-Cotacoes!R700)/Cotacoes!R700</f>
        <v>3.7232392181199055E-3</v>
      </c>
      <c r="S701" s="5">
        <f>(Cotacoes!S701-Cotacoes!S700)/Cotacoes!S700</f>
        <v>4.2839657282741916E-3</v>
      </c>
      <c r="T701" s="5">
        <f>(Cotacoes!T701-Cotacoes!T700)/Cotacoes!T700</f>
        <v>-1.2240184757505636E-2</v>
      </c>
      <c r="U701" s="5">
        <f>(Cotacoes!U701-Cotacoes!U700)/Cotacoes!U700</f>
        <v>1.2503064476587351E-2</v>
      </c>
      <c r="V701" s="5">
        <f>(Cotacoes!V701-Cotacoes!V700)/Cotacoes!V700</f>
        <v>1.3563919972872233E-2</v>
      </c>
      <c r="W701" s="5"/>
    </row>
    <row r="702" spans="1:23" x14ac:dyDescent="0.2">
      <c r="A702" s="4">
        <v>45582</v>
      </c>
      <c r="B702" s="5">
        <f>(Cotacoes!B702-Cotacoes!B701)/Cotacoes!B701</f>
        <v>-3.3752964787447958E-3</v>
      </c>
      <c r="C702" s="5">
        <f>(Cotacoes!C702-Cotacoes!C701)/Cotacoes!C701</f>
        <v>-2.5246411896939321E-2</v>
      </c>
      <c r="D702" s="5">
        <f>(Cotacoes!D702-Cotacoes!D701)/Cotacoes!D701</f>
        <v>-7.6687116564417178E-3</v>
      </c>
      <c r="E702" s="5">
        <f>(Cotacoes!E702-Cotacoes!E701)/Cotacoes!E701</f>
        <v>2.0290835306052998E-3</v>
      </c>
      <c r="F702" s="5">
        <f>(Cotacoes!F702-Cotacoes!F701)/Cotacoes!F701</f>
        <v>-4.7130579428888743E-3</v>
      </c>
      <c r="G702" s="5">
        <f>(Cotacoes!G702-Cotacoes!G701)/Cotacoes!G701</f>
        <v>-1.6915954415954341E-2</v>
      </c>
      <c r="H702" s="5">
        <f>(Cotacoes!H702-Cotacoes!H701)/Cotacoes!H701</f>
        <v>-1.1885895404119488E-3</v>
      </c>
      <c r="I702" s="5">
        <f>(Cotacoes!I702-Cotacoes!I701)/Cotacoes!I701</f>
        <v>0</v>
      </c>
      <c r="J702" s="5">
        <f>(Cotacoes!J702-Cotacoes!J701)/Cotacoes!J701</f>
        <v>6.4130434782609068E-3</v>
      </c>
      <c r="K702" s="5">
        <f>(Cotacoes!K702-Cotacoes!K701)/Cotacoes!K701</f>
        <v>7.1736011477761584E-3</v>
      </c>
      <c r="L702" s="5">
        <f>(Cotacoes!L702-Cotacoes!L701)/Cotacoes!L701</f>
        <v>-2.3212627669452184E-2</v>
      </c>
      <c r="M702" s="5">
        <f>(Cotacoes!M702-Cotacoes!M701)/Cotacoes!M701</f>
        <v>-5.8577405857739339E-3</v>
      </c>
      <c r="N702" s="5">
        <f>(Cotacoes!N702-Cotacoes!N701)/Cotacoes!N701</f>
        <v>0</v>
      </c>
      <c r="O702" s="5">
        <f>(Cotacoes!O702-Cotacoes!O701)/Cotacoes!O701</f>
        <v>1.5253740099735874E-2</v>
      </c>
      <c r="P702" s="5">
        <f>(Cotacoes!P702-Cotacoes!P701)/Cotacoes!P701</f>
        <v>-1.3752052545156029E-2</v>
      </c>
      <c r="Q702" s="5">
        <f>(Cotacoes!Q702-Cotacoes!Q701)/Cotacoes!Q701</f>
        <v>1.0000000000000021E-2</v>
      </c>
      <c r="R702" s="5">
        <f>(Cotacoes!R702-Cotacoes!R701)/Cotacoes!R701</f>
        <v>-9.273570324575312E-4</v>
      </c>
      <c r="S702" s="5">
        <f>(Cotacoes!S702-Cotacoes!S701)/Cotacoes!S701</f>
        <v>-3.9609993906155562E-3</v>
      </c>
      <c r="T702" s="5">
        <f>(Cotacoes!T702-Cotacoes!T701)/Cotacoes!T701</f>
        <v>-1.6366612111293028E-3</v>
      </c>
      <c r="U702" s="5">
        <f>(Cotacoes!U702-Cotacoes!U701)/Cotacoes!U701</f>
        <v>-1.1622276029055615E-2</v>
      </c>
      <c r="V702" s="5">
        <f>(Cotacoes!V702-Cotacoes!V701)/Cotacoes!V701</f>
        <v>-1.4720642355302819E-2</v>
      </c>
      <c r="W702" s="5"/>
    </row>
    <row r="703" spans="1:23" x14ac:dyDescent="0.2">
      <c r="A703" s="4">
        <v>45583</v>
      </c>
      <c r="B703" s="5">
        <f>(Cotacoes!B703-Cotacoes!B702)/Cotacoes!B702</f>
        <v>-9.153318077807886E-5</v>
      </c>
      <c r="C703" s="5">
        <f>(Cotacoes!C703-Cotacoes!C702)/Cotacoes!C702</f>
        <v>-3.5479865176511576E-3</v>
      </c>
      <c r="D703" s="5">
        <f>(Cotacoes!D703-Cotacoes!D702)/Cotacoes!D702</f>
        <v>-2.7820710973725936E-3</v>
      </c>
      <c r="E703" s="5">
        <f>(Cotacoes!E703-Cotacoes!E702)/Cotacoes!E702</f>
        <v>4.7249409382382913E-3</v>
      </c>
      <c r="F703" s="5">
        <f>(Cotacoes!F703-Cotacoes!F702)/Cotacoes!F702</f>
        <v>-5.5710306406684049E-3</v>
      </c>
      <c r="G703" s="5">
        <f>(Cotacoes!G703-Cotacoes!G702)/Cotacoes!G702</f>
        <v>-1.7750407534866945E-2</v>
      </c>
      <c r="H703" s="5">
        <f>(Cotacoes!H703-Cotacoes!H702)/Cotacoes!H702</f>
        <v>-1.190003966679934E-3</v>
      </c>
      <c r="I703" s="5">
        <f>(Cotacoes!I703-Cotacoes!I702)/Cotacoes!I702</f>
        <v>-9.4339622641508962E-3</v>
      </c>
      <c r="J703" s="5">
        <f>(Cotacoes!J703-Cotacoes!J702)/Cotacoes!J702</f>
        <v>-1.6200453612701154E-2</v>
      </c>
      <c r="K703" s="5">
        <f>(Cotacoes!K703-Cotacoes!K702)/Cotacoes!K702</f>
        <v>7.834757834757922E-3</v>
      </c>
      <c r="L703" s="5">
        <f>(Cotacoes!L703-Cotacoes!L702)/Cotacoes!L702</f>
        <v>-6.6539923954372898E-3</v>
      </c>
      <c r="M703" s="5">
        <f>(Cotacoes!M703-Cotacoes!M702)/Cotacoes!M702</f>
        <v>1.6835016835016474E-3</v>
      </c>
      <c r="N703" s="5">
        <f>(Cotacoes!N703-Cotacoes!N702)/Cotacoes!N702</f>
        <v>2.1834061135370714E-3</v>
      </c>
      <c r="O703" s="5">
        <f>(Cotacoes!O703-Cotacoes!O702)/Cotacoes!O702</f>
        <v>2.8893383415198332E-3</v>
      </c>
      <c r="P703" s="5">
        <f>(Cotacoes!P703-Cotacoes!P702)/Cotacoes!P702</f>
        <v>-2.4973985431841301E-3</v>
      </c>
      <c r="Q703" s="5">
        <f>(Cotacoes!Q703-Cotacoes!Q702)/Cotacoes!Q702</f>
        <v>1.3824023911825181E-2</v>
      </c>
      <c r="R703" s="5">
        <f>(Cotacoes!R703-Cotacoes!R702)/Cotacoes!R702</f>
        <v>-1.8564356435644268E-3</v>
      </c>
      <c r="S703" s="5">
        <f>(Cotacoes!S703-Cotacoes!S702)/Cotacoes!S702</f>
        <v>-6.4239828693790418E-3</v>
      </c>
      <c r="T703" s="5">
        <f>(Cotacoes!T703-Cotacoes!T702)/Cotacoes!T702</f>
        <v>-1.2177985948477825E-2</v>
      </c>
      <c r="U703" s="5">
        <f>(Cotacoes!U703-Cotacoes!U702)/Cotacoes!U702</f>
        <v>-9.3091621754042755E-3</v>
      </c>
      <c r="V703" s="5">
        <f>(Cotacoes!V703-Cotacoes!V702)/Cotacoes!V702</f>
        <v>-4.7538200339558769E-3</v>
      </c>
      <c r="W703" s="5"/>
    </row>
    <row r="704" spans="1:23" x14ac:dyDescent="0.2">
      <c r="A704" s="4">
        <v>45586</v>
      </c>
      <c r="B704" s="5">
        <f>(Cotacoes!B704-Cotacoes!B703)/Cotacoes!B703</f>
        <v>-2.6547052361771519E-3</v>
      </c>
      <c r="C704" s="5">
        <f>(Cotacoes!C704-Cotacoes!C703)/Cotacoes!C703</f>
        <v>-3.5606195478013677E-3</v>
      </c>
      <c r="D704" s="5">
        <f>(Cotacoes!D704-Cotacoes!D703)/Cotacoes!D703</f>
        <v>-1.5499070055796543E-2</v>
      </c>
      <c r="E704" s="5">
        <f>(Cotacoes!E704-Cotacoes!E703)/Cotacoes!E703</f>
        <v>-5.0386294927779168E-3</v>
      </c>
      <c r="F704" s="5">
        <f>(Cotacoes!F704-Cotacoes!F703)/Cotacoes!F703</f>
        <v>-1.8207282913165423E-2</v>
      </c>
      <c r="G704" s="5">
        <f>(Cotacoes!G704-Cotacoes!G703)/Cotacoes!G703</f>
        <v>-3.3191960169647746E-3</v>
      </c>
      <c r="H704" s="5">
        <f>(Cotacoes!H704-Cotacoes!H703)/Cotacoes!H703</f>
        <v>-2.7799841143765006E-3</v>
      </c>
      <c r="I704" s="5">
        <f>(Cotacoes!I704-Cotacoes!I703)/Cotacoes!I703</f>
        <v>1.0966810966811041E-2</v>
      </c>
      <c r="J704" s="5">
        <f>(Cotacoes!J704-Cotacoes!J703)/Cotacoes!J703</f>
        <v>1.1527061148314822E-2</v>
      </c>
      <c r="K704" s="5">
        <f>(Cotacoes!K704-Cotacoes!K703)/Cotacoes!K703</f>
        <v>-2.826855123674977E-3</v>
      </c>
      <c r="L704" s="5">
        <f>(Cotacoes!L704-Cotacoes!L703)/Cotacoes!L703</f>
        <v>1.8181818181818306E-2</v>
      </c>
      <c r="M704" s="5">
        <f>(Cotacoes!M704-Cotacoes!M703)/Cotacoes!M703</f>
        <v>-4.2016806722689672E-3</v>
      </c>
      <c r="N704" s="5">
        <f>(Cotacoes!N704-Cotacoes!N703)/Cotacoes!N703</f>
        <v>1.0893246187363603E-3</v>
      </c>
      <c r="O704" s="5">
        <f>(Cotacoes!O704-Cotacoes!O703)/Cotacoes!O703</f>
        <v>3.7453183520599989E-3</v>
      </c>
      <c r="P704" s="5">
        <f>(Cotacoes!P704-Cotacoes!P703)/Cotacoes!P703</f>
        <v>4.1727519298977674E-2</v>
      </c>
      <c r="Q704" s="5">
        <f>(Cotacoes!Q704-Cotacoes!Q703)/Cotacoes!Q703</f>
        <v>9.0289294269392823E-3</v>
      </c>
      <c r="R704" s="5">
        <f>(Cotacoes!R704-Cotacoes!R703)/Cotacoes!R703</f>
        <v>-1.1469311841289444E-2</v>
      </c>
      <c r="S704" s="5">
        <f>(Cotacoes!S704-Cotacoes!S703)/Cotacoes!S703</f>
        <v>3.386699507389364E-3</v>
      </c>
      <c r="T704" s="5">
        <f>(Cotacoes!T704-Cotacoes!T703)/Cotacoes!T703</f>
        <v>-6.1640587956376955E-3</v>
      </c>
      <c r="U704" s="5">
        <f>(Cotacoes!U704-Cotacoes!U703)/Cotacoes!U703</f>
        <v>6.1819980217606334E-3</v>
      </c>
      <c r="V704" s="5">
        <f>(Cotacoes!V704-Cotacoes!V703)/Cotacoes!V703</f>
        <v>-1.1600136472193786E-2</v>
      </c>
      <c r="W704" s="5"/>
    </row>
    <row r="705" spans="1:23" x14ac:dyDescent="0.2">
      <c r="A705" s="4">
        <v>45587</v>
      </c>
      <c r="B705" s="5">
        <f>(Cotacoes!B705-Cotacoes!B704)/Cotacoes!B704</f>
        <v>-7.0674621385956498E-3</v>
      </c>
      <c r="C705" s="5">
        <f>(Cotacoes!C705-Cotacoes!C704)/Cotacoes!C704</f>
        <v>1.2506700017866764E-3</v>
      </c>
      <c r="D705" s="5">
        <f>(Cotacoes!D705-Cotacoes!D704)/Cotacoes!D704</f>
        <v>-4.0931989924434054E-3</v>
      </c>
      <c r="E705" s="5">
        <f>(Cotacoes!E705-Cotacoes!E704)/Cotacoes!E704</f>
        <v>1.6880486158001591E-3</v>
      </c>
      <c r="F705" s="5">
        <f>(Cotacoes!F705-Cotacoes!F704)/Cotacoes!F704</f>
        <v>-4.8502139800283769E-3</v>
      </c>
      <c r="G705" s="5">
        <f>(Cotacoes!G705-Cotacoes!G704)/Cotacoes!G704</f>
        <v>1.6466234967622582E-2</v>
      </c>
      <c r="H705" s="5">
        <f>(Cotacoes!H705-Cotacoes!H704)/Cotacoes!H704</f>
        <v>-1.194743130227004E-2</v>
      </c>
      <c r="I705" s="5">
        <f>(Cotacoes!I705-Cotacoes!I704)/Cotacoes!I704</f>
        <v>8.2786183271481347E-3</v>
      </c>
      <c r="J705" s="5">
        <f>(Cotacoes!J705-Cotacoes!J704)/Cotacoes!J704</f>
        <v>-1.1612763186455474E-2</v>
      </c>
      <c r="K705" s="5">
        <f>(Cotacoes!K705-Cotacoes!K704)/Cotacoes!K704</f>
        <v>-6.3784549964564039E-3</v>
      </c>
      <c r="L705" s="5">
        <f>(Cotacoes!L705-Cotacoes!L704)/Cotacoes!L704</f>
        <v>-2.1616541353383499E-2</v>
      </c>
      <c r="M705" s="5">
        <f>(Cotacoes!M705-Cotacoes!M704)/Cotacoes!M704</f>
        <v>-8.4388185654006641E-4</v>
      </c>
      <c r="N705" s="5">
        <f>(Cotacoes!N705-Cotacoes!N704)/Cotacoes!N704</f>
        <v>1.0881392818280508E-3</v>
      </c>
      <c r="O705" s="5">
        <f>(Cotacoes!O705-Cotacoes!O704)/Cotacoes!O704</f>
        <v>1.0332950631458077E-2</v>
      </c>
      <c r="P705" s="5">
        <f>(Cotacoes!P705-Cotacoes!P704)/Cotacoes!P704</f>
        <v>-7.0098137392349573E-3</v>
      </c>
      <c r="Q705" s="5">
        <f>(Cotacoes!Q705-Cotacoes!Q704)/Cotacoes!Q704</f>
        <v>2.3192111029948927E-2</v>
      </c>
      <c r="R705" s="5">
        <f>(Cotacoes!R705-Cotacoes!R704)/Cotacoes!R704</f>
        <v>-1.2543116964565761E-2</v>
      </c>
      <c r="S705" s="5">
        <f>(Cotacoes!S705-Cotacoes!S704)/Cotacoes!S704</f>
        <v>-8.2847499232894476E-3</v>
      </c>
      <c r="T705" s="5">
        <f>(Cotacoes!T705-Cotacoes!T704)/Cotacoes!T704</f>
        <v>-7.3950381679389852E-3</v>
      </c>
      <c r="U705" s="5">
        <f>(Cotacoes!U705-Cotacoes!U704)/Cotacoes!U704</f>
        <v>7.3728188744165988E-4</v>
      </c>
      <c r="V705" s="5">
        <f>(Cotacoes!V705-Cotacoes!V704)/Cotacoes!V704</f>
        <v>7.9392474974111296E-3</v>
      </c>
      <c r="W705" s="5"/>
    </row>
    <row r="706" spans="1:23" x14ac:dyDescent="0.2">
      <c r="A706" s="4">
        <v>45588</v>
      </c>
      <c r="B706" s="5">
        <f>(Cotacoes!B706-Cotacoes!B705)/Cotacoes!B705</f>
        <v>5.9160658162320792E-3</v>
      </c>
      <c r="C706" s="5">
        <f>(Cotacoes!C706-Cotacoes!C705)/Cotacoes!C705</f>
        <v>-1.7487508922198376E-2</v>
      </c>
      <c r="D706" s="5">
        <f>(Cotacoes!D706-Cotacoes!D705)/Cotacoes!D705</f>
        <v>-1.233006639266521E-2</v>
      </c>
      <c r="E706" s="5">
        <f>(Cotacoes!E706-Cotacoes!E705)/Cotacoes!E705</f>
        <v>6.4037748567575903E-3</v>
      </c>
      <c r="F706" s="5">
        <f>(Cotacoes!F706-Cotacoes!F705)/Cotacoes!F705</f>
        <v>-1.4048165137614735E-2</v>
      </c>
      <c r="G706" s="5">
        <f>(Cotacoes!G706-Cotacoes!G705)/Cotacoes!G705</f>
        <v>4.5504186385147433E-3</v>
      </c>
      <c r="H706" s="5">
        <f>(Cotacoes!H706-Cotacoes!H705)/Cotacoes!H705</f>
        <v>1.2091898428053663E-3</v>
      </c>
      <c r="I706" s="5">
        <f>(Cotacoes!I706-Cotacoes!I705)/Cotacoes!I705</f>
        <v>-1.1891279728199368E-2</v>
      </c>
      <c r="J706" s="5">
        <f>(Cotacoes!J706-Cotacoes!J705)/Cotacoes!J705</f>
        <v>-1.0211924892939418E-2</v>
      </c>
      <c r="K706" s="5">
        <f>(Cotacoes!K706-Cotacoes!K705)/Cotacoes!K705</f>
        <v>-4.2796005706133185E-3</v>
      </c>
      <c r="L706" s="5">
        <f>(Cotacoes!L706-Cotacoes!L705)/Cotacoes!L705</f>
        <v>9.6061479346779889E-4</v>
      </c>
      <c r="M706" s="5">
        <f>(Cotacoes!M706-Cotacoes!M705)/Cotacoes!M705</f>
        <v>-5.0675675675676095E-3</v>
      </c>
      <c r="N706" s="5">
        <f>(Cotacoes!N706-Cotacoes!N705)/Cotacoes!N705</f>
        <v>4.3478260869566224E-3</v>
      </c>
      <c r="O706" s="5">
        <f>(Cotacoes!O706-Cotacoes!O705)/Cotacoes!O705</f>
        <v>-1.4204545454546665E-3</v>
      </c>
      <c r="P706" s="5">
        <f>(Cotacoes!P706-Cotacoes!P705)/Cotacoes!P705</f>
        <v>-9.681323114158872E-3</v>
      </c>
      <c r="Q706" s="5">
        <f>(Cotacoes!Q706-Cotacoes!Q705)/Cotacoes!Q705</f>
        <v>-5.3542744958060213E-4</v>
      </c>
      <c r="R706" s="5">
        <f>(Cotacoes!R706-Cotacoes!R705)/Cotacoes!R705</f>
        <v>-1.9053667831057074E-3</v>
      </c>
      <c r="S706" s="5">
        <f>(Cotacoes!S706-Cotacoes!S705)/Cotacoes!S705</f>
        <v>-1.1138613861386121E-2</v>
      </c>
      <c r="T706" s="5">
        <f>(Cotacoes!T706-Cotacoes!T705)/Cotacoes!T705</f>
        <v>-9.8534006248497136E-3</v>
      </c>
      <c r="U706" s="5">
        <f>(Cotacoes!U706-Cotacoes!U705)/Cotacoes!U705</f>
        <v>-4.1748526522593738E-3</v>
      </c>
      <c r="V706" s="5">
        <f>(Cotacoes!V706-Cotacoes!V705)/Cotacoes!V705</f>
        <v>-1.5753424657534276E-2</v>
      </c>
      <c r="W706" s="5"/>
    </row>
    <row r="707" spans="1:23" x14ac:dyDescent="0.2">
      <c r="A707" s="4">
        <v>45589</v>
      </c>
      <c r="B707" s="5">
        <f>(Cotacoes!B707-Cotacoes!B706)/Cotacoes!B706</f>
        <v>1.8378974453234914E-4</v>
      </c>
      <c r="C707" s="5">
        <f>(Cotacoes!C707-Cotacoes!C706)/Cotacoes!C706</f>
        <v>5.8118416273156602E-3</v>
      </c>
      <c r="D707" s="5">
        <f>(Cotacoes!D707-Cotacoes!D706)/Cotacoes!D706</f>
        <v>6.7221510883482992E-3</v>
      </c>
      <c r="E707" s="5">
        <f>(Cotacoes!E707-Cotacoes!E706)/Cotacoes!E706</f>
        <v>9.0421969189551105E-3</v>
      </c>
      <c r="F707" s="5">
        <f>(Cotacoes!F707-Cotacoes!F706)/Cotacoes!F706</f>
        <v>3.1986042454201636E-3</v>
      </c>
      <c r="G707" s="5">
        <f>(Cotacoes!G707-Cotacoes!G706)/Cotacoes!G706</f>
        <v>1.2683457148034117E-3</v>
      </c>
      <c r="H707" s="5">
        <f>(Cotacoes!H707-Cotacoes!H706)/Cotacoes!H706</f>
        <v>1.2077294685990795E-3</v>
      </c>
      <c r="I707" s="5">
        <f>(Cotacoes!I707-Cotacoes!I706)/Cotacoes!I706</f>
        <v>6.8767908309456159E-3</v>
      </c>
      <c r="J707" s="5">
        <f>(Cotacoes!J707-Cotacoes!J706)/Cotacoes!J706</f>
        <v>6.3234967827822631E-3</v>
      </c>
      <c r="K707" s="5">
        <f>(Cotacoes!K707-Cotacoes!K706)/Cotacoes!K706</f>
        <v>2.1489971346704412E-3</v>
      </c>
      <c r="L707" s="5">
        <f>(Cotacoes!L707-Cotacoes!L706)/Cotacoes!L706</f>
        <v>1.4395393474088325E-2</v>
      </c>
      <c r="M707" s="5">
        <f>(Cotacoes!M707-Cotacoes!M706)/Cotacoes!M706</f>
        <v>5.9422750424448466E-3</v>
      </c>
      <c r="N707" s="5">
        <f>(Cotacoes!N707-Cotacoes!N706)/Cotacoes!N706</f>
        <v>7.5757575757576063E-3</v>
      </c>
      <c r="O707" s="5">
        <f>(Cotacoes!O707-Cotacoes!O706)/Cotacoes!O706</f>
        <v>-1.1379800853485025E-2</v>
      </c>
      <c r="P707" s="5">
        <f>(Cotacoes!P707-Cotacoes!P706)/Cotacoes!P706</f>
        <v>7.535641547861455E-3</v>
      </c>
      <c r="Q707" s="5">
        <f>(Cotacoes!Q707-Cotacoes!Q706)/Cotacoes!Q706</f>
        <v>-2.50000000000001E-3</v>
      </c>
      <c r="R707" s="5">
        <f>(Cotacoes!R707-Cotacoes!R706)/Cotacoes!R706</f>
        <v>1.0499522748966015E-2</v>
      </c>
      <c r="S707" s="5">
        <f>(Cotacoes!S707-Cotacoes!S706)/Cotacoes!S706</f>
        <v>8.7609511889862688E-3</v>
      </c>
      <c r="T707" s="5">
        <f>(Cotacoes!T707-Cotacoes!T706)/Cotacoes!T706</f>
        <v>1.8446601941747524E-2</v>
      </c>
      <c r="U707" s="5">
        <f>(Cotacoes!U707-Cotacoes!U706)/Cotacoes!U706</f>
        <v>2.6633785450061787E-2</v>
      </c>
      <c r="V707" s="5">
        <f>(Cotacoes!V707-Cotacoes!V706)/Cotacoes!V706</f>
        <v>2.0528879610299231E-2</v>
      </c>
      <c r="W707" s="5"/>
    </row>
    <row r="708" spans="1:23" x14ac:dyDescent="0.2">
      <c r="A708" s="4">
        <v>45590</v>
      </c>
      <c r="B708" s="5">
        <f>(Cotacoes!B708-Cotacoes!B707)/Cotacoes!B707</f>
        <v>8.3608967291436652E-3</v>
      </c>
      <c r="C708" s="5">
        <f>(Cotacoes!C708-Cotacoes!C707)/Cotacoes!C707</f>
        <v>3.4127843986998925E-2</v>
      </c>
      <c r="D708" s="5">
        <f>(Cotacoes!D708-Cotacoes!D707)/Cotacoes!D707</f>
        <v>6.9952305246423667E-3</v>
      </c>
      <c r="E708" s="5">
        <f>(Cotacoes!E708-Cotacoes!E707)/Cotacoes!E707</f>
        <v>-1.1284434118818449E-2</v>
      </c>
      <c r="F708" s="5">
        <f>(Cotacoes!F708-Cotacoes!F707)/Cotacoes!F707</f>
        <v>1.0144927536231925E-2</v>
      </c>
      <c r="G708" s="5">
        <f>(Cotacoes!G708-Cotacoes!G707)/Cotacoes!G707</f>
        <v>-1.4296055012667376E-2</v>
      </c>
      <c r="H708" s="5">
        <f>(Cotacoes!H708-Cotacoes!H707)/Cotacoes!H707</f>
        <v>4.0209087253711338E-4</v>
      </c>
      <c r="I708" s="5">
        <f>(Cotacoes!I708-Cotacoes!I707)/Cotacoes!I707</f>
        <v>-9.1064314171883966E-3</v>
      </c>
      <c r="J708" s="5">
        <f>(Cotacoes!J708-Cotacoes!J707)/Cotacoes!J707</f>
        <v>6.5042442950061013E-3</v>
      </c>
      <c r="K708" s="5">
        <f>(Cotacoes!K708-Cotacoes!K707)/Cotacoes!K707</f>
        <v>-1.4295925661186638E-2</v>
      </c>
      <c r="L708" s="5">
        <f>(Cotacoes!L708-Cotacoes!L707)/Cotacoes!L707</f>
        <v>-5.6764427625355246E-3</v>
      </c>
      <c r="M708" s="5">
        <f>(Cotacoes!M708-Cotacoes!M707)/Cotacoes!M707</f>
        <v>-5.9071729957806147E-3</v>
      </c>
      <c r="N708" s="5">
        <f>(Cotacoes!N708-Cotacoes!N707)/Cotacoes!N707</f>
        <v>-9.6670247046186739E-3</v>
      </c>
      <c r="O708" s="5">
        <f>(Cotacoes!O708-Cotacoes!O707)/Cotacoes!O707</f>
        <v>-3.7410071942446778E-3</v>
      </c>
      <c r="P708" s="5">
        <f>(Cotacoes!P708-Cotacoes!P707)/Cotacoes!P707</f>
        <v>8.0857085102080352E-4</v>
      </c>
      <c r="Q708" s="5">
        <f>(Cotacoes!Q708-Cotacoes!Q707)/Cotacoes!Q707</f>
        <v>2.7926960257787365E-2</v>
      </c>
      <c r="R708" s="5">
        <f>(Cotacoes!R708-Cotacoes!R707)/Cotacoes!R707</f>
        <v>-1.2594458438288003E-3</v>
      </c>
      <c r="S708" s="5">
        <f>(Cotacoes!S708-Cotacoes!S707)/Cotacoes!S707</f>
        <v>-1.3957816377171302E-2</v>
      </c>
      <c r="T708" s="5">
        <f>(Cotacoes!T708-Cotacoes!T707)/Cotacoes!T707</f>
        <v>-7.3879885605338961E-3</v>
      </c>
      <c r="U708" s="5">
        <f>(Cotacoes!U708-Cotacoes!U707)/Cotacoes!U707</f>
        <v>-3.1467691568580404E-2</v>
      </c>
      <c r="V708" s="5">
        <f>(Cotacoes!V708-Cotacoes!V707)/Cotacoes!V707</f>
        <v>-2.8298670303443518E-2</v>
      </c>
      <c r="W708" s="5"/>
    </row>
    <row r="709" spans="1:23" x14ac:dyDescent="0.2">
      <c r="A709" s="4">
        <v>45593</v>
      </c>
      <c r="B709" s="5">
        <f>(Cotacoes!B709-Cotacoes!B708)/Cotacoes!B708</f>
        <v>-2.733485193621842E-3</v>
      </c>
      <c r="C709" s="5">
        <f>(Cotacoes!C709-Cotacoes!C708)/Cotacoes!C708</f>
        <v>1.8508817880216431E-2</v>
      </c>
      <c r="D709" s="5">
        <f>(Cotacoes!D709-Cotacoes!D708)/Cotacoes!D708</f>
        <v>-1.5787811809283457E-3</v>
      </c>
      <c r="E709" s="5">
        <f>(Cotacoes!E709-Cotacoes!E708)/Cotacoes!E708</f>
        <v>1.2084592145015087E-2</v>
      </c>
      <c r="F709" s="5">
        <f>(Cotacoes!F709-Cotacoes!F708)/Cotacoes!F708</f>
        <v>-2.0086083213773395E-3</v>
      </c>
      <c r="G709" s="5">
        <f>(Cotacoes!G709-Cotacoes!G708)/Cotacoes!G708</f>
        <v>1.4319809069212432E-2</v>
      </c>
      <c r="H709" s="5">
        <f>(Cotacoes!H709-Cotacoes!H708)/Cotacoes!H708</f>
        <v>-2.0096463022508324E-3</v>
      </c>
      <c r="I709" s="5">
        <f>(Cotacoes!I709-Cotacoes!I708)/Cotacoes!I708</f>
        <v>1.0913268236645679E-2</v>
      </c>
      <c r="J709" s="5">
        <f>(Cotacoes!J709-Cotacoes!J708)/Cotacoes!J708</f>
        <v>4.7097480832421343E-3</v>
      </c>
      <c r="K709" s="5">
        <f>(Cotacoes!K709-Cotacoes!K708)/Cotacoes!K708</f>
        <v>1.8129079042784629E-2</v>
      </c>
      <c r="L709" s="5">
        <f>(Cotacoes!L709-Cotacoes!L708)/Cotacoes!L708</f>
        <v>1.6175071360608938E-2</v>
      </c>
      <c r="M709" s="5">
        <f>(Cotacoes!M709-Cotacoes!M708)/Cotacoes!M708</f>
        <v>1.1035653650254737E-2</v>
      </c>
      <c r="N709" s="5">
        <f>(Cotacoes!N709-Cotacoes!N708)/Cotacoes!N708</f>
        <v>1.0845986984815578E-2</v>
      </c>
      <c r="O709" s="5">
        <f>(Cotacoes!O709-Cotacoes!O708)/Cotacoes!O708</f>
        <v>4.1883304448295869E-2</v>
      </c>
      <c r="P709" s="5">
        <f>(Cotacoes!P709-Cotacoes!P708)/Cotacoes!P708</f>
        <v>-1.2522722682286356E-2</v>
      </c>
      <c r="Q709" s="5">
        <f>(Cotacoes!Q709-Cotacoes!Q708)/Cotacoes!Q708</f>
        <v>8.3594566353186496E-3</v>
      </c>
      <c r="R709" s="5">
        <f>(Cotacoes!R709-Cotacoes!R708)/Cotacoes!R708</f>
        <v>2.1752837326607748E-2</v>
      </c>
      <c r="S709" s="5">
        <f>(Cotacoes!S709-Cotacoes!S708)/Cotacoes!S708</f>
        <v>-3.4602076124567297E-3</v>
      </c>
      <c r="T709" s="5">
        <f>(Cotacoes!T709-Cotacoes!T708)/Cotacoes!T708</f>
        <v>-1.6806722689075529E-2</v>
      </c>
      <c r="U709" s="5">
        <f>(Cotacoes!U709-Cotacoes!U708)/Cotacoes!U708</f>
        <v>5.9523809523810015E-3</v>
      </c>
      <c r="V709" s="5">
        <f>(Cotacoes!V709-Cotacoes!V708)/Cotacoes!V708</f>
        <v>2.91228070175438E-2</v>
      </c>
      <c r="W709" s="5"/>
    </row>
    <row r="710" spans="1:23" x14ac:dyDescent="0.2">
      <c r="A710" s="4">
        <v>45594</v>
      </c>
      <c r="B710" s="5">
        <f>(Cotacoes!B710-Cotacoes!B709)/Cotacoes!B709</f>
        <v>-2.7409776153495787E-4</v>
      </c>
      <c r="C710" s="5">
        <f>(Cotacoes!C710-Cotacoes!C709)/Cotacoes!C709</f>
        <v>-3.4287673581346774E-3</v>
      </c>
      <c r="D710" s="5">
        <f>(Cotacoes!D710-Cotacoes!D709)/Cotacoes!D709</f>
        <v>-2.2137887413029816E-3</v>
      </c>
      <c r="E710" s="5">
        <f>(Cotacoes!E710-Cotacoes!E709)/Cotacoes!E709</f>
        <v>-1.0613598673300176E-2</v>
      </c>
      <c r="F710" s="5">
        <f>(Cotacoes!F710-Cotacoes!F709)/Cotacoes!F709</f>
        <v>-2.5876940770558771E-3</v>
      </c>
      <c r="G710" s="5">
        <f>(Cotacoes!G710-Cotacoes!G709)/Cotacoes!G709</f>
        <v>1.1945701357466001E-2</v>
      </c>
      <c r="H710" s="5">
        <f>(Cotacoes!H710-Cotacoes!H709)/Cotacoes!H709</f>
        <v>-5.6383407168746286E-3</v>
      </c>
      <c r="I710" s="5">
        <f>(Cotacoes!I710-Cotacoes!I709)/Cotacoes!I709</f>
        <v>-8.2386363636365399E-3</v>
      </c>
      <c r="J710" s="5">
        <f>(Cotacoes!J710-Cotacoes!J709)/Cotacoes!J709</f>
        <v>3.8155456230240304E-3</v>
      </c>
      <c r="K710" s="5">
        <f>(Cotacoes!K710-Cotacoes!K709)/Cotacoes!K709</f>
        <v>-1.4957264957264892E-2</v>
      </c>
      <c r="L710" s="5">
        <f>(Cotacoes!L710-Cotacoes!L709)/Cotacoes!L709</f>
        <v>-5.6179775280899343E-3</v>
      </c>
      <c r="M710" s="5">
        <f>(Cotacoes!M710-Cotacoes!M709)/Cotacoes!M709</f>
        <v>6.7170445004198212E-3</v>
      </c>
      <c r="N710" s="5">
        <f>(Cotacoes!N710-Cotacoes!N709)/Cotacoes!N709</f>
        <v>-6.4377682403434005E-3</v>
      </c>
      <c r="O710" s="5">
        <f>(Cotacoes!O710-Cotacoes!O709)/Cotacoes!O709</f>
        <v>9.1488771832547357E-3</v>
      </c>
      <c r="P710" s="5">
        <f>(Cotacoes!P710-Cotacoes!P709)/Cotacoes!P709</f>
        <v>2.4135815095111469E-2</v>
      </c>
      <c r="Q710" s="5">
        <f>(Cotacoes!Q710-Cotacoes!Q709)/Cotacoes!Q709</f>
        <v>1.0362694300518527E-3</v>
      </c>
      <c r="R710" s="5">
        <f>(Cotacoes!R710-Cotacoes!R709)/Cotacoes!R709</f>
        <v>-9.5649490897869553E-3</v>
      </c>
      <c r="S710" s="5">
        <f>(Cotacoes!S710-Cotacoes!S709)/Cotacoes!S709</f>
        <v>1.1363636363636347E-2</v>
      </c>
      <c r="T710" s="5">
        <f>(Cotacoes!T710-Cotacoes!T709)/Cotacoes!T709</f>
        <v>-1.0989010989011058E-2</v>
      </c>
      <c r="U710" s="5">
        <f>(Cotacoes!U710-Cotacoes!U709)/Cotacoes!U709</f>
        <v>-5.42406311637078E-3</v>
      </c>
      <c r="V710" s="5">
        <f>(Cotacoes!V710-Cotacoes!V709)/Cotacoes!V709</f>
        <v>5.4551653596999709E-3</v>
      </c>
      <c r="W710" s="5"/>
    </row>
    <row r="711" spans="1:23" x14ac:dyDescent="0.2">
      <c r="A711" s="4">
        <v>45595</v>
      </c>
      <c r="B711" s="5">
        <f>(Cotacoes!B711-Cotacoes!B710)/Cotacoes!B710</f>
        <v>-7.5854505574849051E-3</v>
      </c>
      <c r="C711" s="5">
        <f>(Cotacoes!C711-Cotacoes!C710)/Cotacoes!C710</f>
        <v>-3.0965078272836696E-3</v>
      </c>
      <c r="D711" s="5">
        <f>(Cotacoes!D711-Cotacoes!D710)/Cotacoes!D710</f>
        <v>-4.4374009508716498E-3</v>
      </c>
      <c r="E711" s="5">
        <f>(Cotacoes!E711-Cotacoes!E710)/Cotacoes!E710</f>
        <v>-2.681863895407251E-3</v>
      </c>
      <c r="F711" s="5">
        <f>(Cotacoes!F711-Cotacoes!F710)/Cotacoes!F710</f>
        <v>-8.6480253675409961E-3</v>
      </c>
      <c r="G711" s="5">
        <f>(Cotacoes!G711-Cotacoes!G710)/Cotacoes!G710</f>
        <v>-5.1511357538901729E-2</v>
      </c>
      <c r="H711" s="5">
        <f>(Cotacoes!H711-Cotacoes!H710)/Cotacoes!H710</f>
        <v>7.6954232482785625E-3</v>
      </c>
      <c r="I711" s="5">
        <f>(Cotacoes!I711-Cotacoes!I710)/Cotacoes!I710</f>
        <v>4.583213978802742E-3</v>
      </c>
      <c r="J711" s="5">
        <f>(Cotacoes!J711-Cotacoes!J710)/Cotacoes!J710</f>
        <v>6.7332754126846715E-3</v>
      </c>
      <c r="K711" s="5">
        <f>(Cotacoes!K711-Cotacoes!K710)/Cotacoes!K710</f>
        <v>3.6153289949385908E-3</v>
      </c>
      <c r="L711" s="5">
        <f>(Cotacoes!L711-Cotacoes!L710)/Cotacoes!L710</f>
        <v>-4.7080979284368114E-3</v>
      </c>
      <c r="M711" s="5">
        <f>(Cotacoes!M711-Cotacoes!M710)/Cotacoes!M710</f>
        <v>-3.3361134278566242E-3</v>
      </c>
      <c r="N711" s="5">
        <f>(Cotacoes!N711-Cotacoes!N710)/Cotacoes!N710</f>
        <v>-2.1598272138228483E-3</v>
      </c>
      <c r="O711" s="5">
        <f>(Cotacoes!O711-Cotacoes!O710)/Cotacoes!O710</f>
        <v>8.2417582417583599E-3</v>
      </c>
      <c r="P711" s="5">
        <f>(Cotacoes!P711-Cotacoes!P710)/Cotacoes!P710</f>
        <v>-2.0770920711004576E-2</v>
      </c>
      <c r="Q711" s="5">
        <f>(Cotacoes!Q711-Cotacoes!Q710)/Cotacoes!Q710</f>
        <v>1.3975155279503144E-2</v>
      </c>
      <c r="R711" s="5">
        <f>(Cotacoes!R711-Cotacoes!R710)/Cotacoes!R710</f>
        <v>-9.3457943925233863E-3</v>
      </c>
      <c r="S711" s="5">
        <f>(Cotacoes!S711-Cotacoes!S710)/Cotacoes!S710</f>
        <v>8.4269662921349301E-3</v>
      </c>
      <c r="T711" s="5">
        <f>(Cotacoes!T711-Cotacoes!T710)/Cotacoes!T710</f>
        <v>1.7530864197530884E-2</v>
      </c>
      <c r="U711" s="5">
        <f>(Cotacoes!U711-Cotacoes!U710)/Cotacoes!U710</f>
        <v>1.1403073872087102E-2</v>
      </c>
      <c r="V711" s="5">
        <f>(Cotacoes!V711-Cotacoes!V710)/Cotacoes!V710</f>
        <v>-1.69548999660902E-2</v>
      </c>
      <c r="W711" s="5"/>
    </row>
    <row r="712" spans="1:23" x14ac:dyDescent="0.2">
      <c r="A712" s="4">
        <v>45596</v>
      </c>
      <c r="B712" s="5">
        <f>(Cotacoes!B712-Cotacoes!B711)/Cotacoes!B711</f>
        <v>4.1440279952113714E-3</v>
      </c>
      <c r="C712" s="5">
        <f>(Cotacoes!C712-Cotacoes!C711)/Cotacoes!C711</f>
        <v>-6.5573770491803721E-3</v>
      </c>
      <c r="D712" s="5">
        <f>(Cotacoes!D712-Cotacoes!D711)/Cotacoes!D711</f>
        <v>1.5918497293855687E-3</v>
      </c>
      <c r="E712" s="5">
        <f>(Cotacoes!E712-Cotacoes!E711)/Cotacoes!E711</f>
        <v>-6.3865546218487826E-3</v>
      </c>
      <c r="F712" s="5">
        <f>(Cotacoes!F712-Cotacoes!F711)/Cotacoes!F711</f>
        <v>4.6525152660656178E-3</v>
      </c>
      <c r="G712" s="5">
        <f>(Cotacoes!G712-Cotacoes!G711)/Cotacoes!G711</f>
        <v>2.0742975674146601E-3</v>
      </c>
      <c r="H712" s="5">
        <f>(Cotacoes!H712-Cotacoes!H711)/Cotacoes!H711</f>
        <v>-1.6077170418006088E-3</v>
      </c>
      <c r="I712" s="5">
        <f>(Cotacoes!I712-Cotacoes!I711)/Cotacoes!I711</f>
        <v>-6.5583119475334153E-3</v>
      </c>
      <c r="J712" s="5">
        <f>(Cotacoes!J712-Cotacoes!J711)/Cotacoes!J711</f>
        <v>-6.6882416396979996E-3</v>
      </c>
      <c r="K712" s="5">
        <f>(Cotacoes!K712-Cotacoes!K711)/Cotacoes!K711</f>
        <v>-4.3948126801152822E-2</v>
      </c>
      <c r="L712" s="5">
        <f>(Cotacoes!L712-Cotacoes!L711)/Cotacoes!L711</f>
        <v>-1.4191106906338728E-2</v>
      </c>
      <c r="M712" s="5">
        <f>(Cotacoes!M712-Cotacoes!M711)/Cotacoes!M711</f>
        <v>-2.2594142259414193E-2</v>
      </c>
      <c r="N712" s="5">
        <f>(Cotacoes!N712-Cotacoes!N711)/Cotacoes!N711</f>
        <v>-6.4935064935065468E-3</v>
      </c>
      <c r="O712" s="5">
        <f>(Cotacoes!O712-Cotacoes!O711)/Cotacoes!O711</f>
        <v>-1.8801089918256263E-2</v>
      </c>
      <c r="P712" s="5">
        <f>(Cotacoes!P712-Cotacoes!P711)/Cotacoes!P711</f>
        <v>-1.2237405669997989E-2</v>
      </c>
      <c r="Q712" s="5">
        <f>(Cotacoes!Q712-Cotacoes!Q711)/Cotacoes!Q711</f>
        <v>-1.0209290454313449E-2</v>
      </c>
      <c r="R712" s="5">
        <f>(Cotacoes!R712-Cotacoes!R711)/Cotacoes!R711</f>
        <v>-4.0880503144653775E-3</v>
      </c>
      <c r="S712" s="5">
        <f>(Cotacoes!S712-Cotacoes!S711)/Cotacoes!S711</f>
        <v>-5.8805323429280349E-3</v>
      </c>
      <c r="T712" s="5">
        <f>(Cotacoes!T712-Cotacoes!T711)/Cotacoes!T711</f>
        <v>-5.5811696190246054E-3</v>
      </c>
      <c r="U712" s="5">
        <f>(Cotacoes!U712-Cotacoes!U711)/Cotacoes!U711</f>
        <v>-1.4460784313725401E-2</v>
      </c>
      <c r="V712" s="5">
        <f>(Cotacoes!V712-Cotacoes!V711)/Cotacoes!V711</f>
        <v>-8.6236633321835118E-3</v>
      </c>
      <c r="W712" s="5"/>
    </row>
    <row r="713" spans="1:23" x14ac:dyDescent="0.2">
      <c r="A713" s="4">
        <v>45597</v>
      </c>
      <c r="B713" s="5">
        <f>(Cotacoes!B713-Cotacoes!B712)/Cotacoes!B712</f>
        <v>3.7600880410858088E-3</v>
      </c>
      <c r="C713" s="5">
        <f>(Cotacoes!C713-Cotacoes!C712)/Cotacoes!C712</f>
        <v>-5.2110474205317248E-4</v>
      </c>
      <c r="D713" s="5">
        <f>(Cotacoes!D713-Cotacoes!D712)/Cotacoes!D712</f>
        <v>-1.3668150031786386E-2</v>
      </c>
      <c r="E713" s="5">
        <f>(Cotacoes!E713-Cotacoes!E712)/Cotacoes!E712</f>
        <v>-5.7510148849796404E-3</v>
      </c>
      <c r="F713" s="5">
        <f>(Cotacoes!F713-Cotacoes!F712)/Cotacoes!F712</f>
        <v>-1.9681620839363236E-2</v>
      </c>
      <c r="G713" s="5">
        <f>(Cotacoes!G713-Cotacoes!G712)/Cotacoes!G712</f>
        <v>1.0726383138878439E-2</v>
      </c>
      <c r="H713" s="5">
        <f>(Cotacoes!H713-Cotacoes!H712)/Cotacoes!H712</f>
        <v>-9.2592592592592761E-3</v>
      </c>
      <c r="I713" s="5">
        <f>(Cotacoes!I713-Cotacoes!I712)/Cotacoes!I712</f>
        <v>-3.300803673938018E-2</v>
      </c>
      <c r="J713" s="5">
        <f>(Cotacoes!J713-Cotacoes!J712)/Cotacoes!J712</f>
        <v>-2.9213727193744547E-2</v>
      </c>
      <c r="K713" s="5">
        <f>(Cotacoes!K713-Cotacoes!K712)/Cotacoes!K712</f>
        <v>-1.8085908063300696E-2</v>
      </c>
      <c r="L713" s="5">
        <f>(Cotacoes!L713-Cotacoes!L712)/Cotacoes!L712</f>
        <v>-1.9193857965450988E-2</v>
      </c>
      <c r="M713" s="5">
        <f>(Cotacoes!M713-Cotacoes!M712)/Cotacoes!M712</f>
        <v>-8.5616438356164084E-3</v>
      </c>
      <c r="N713" s="5">
        <f>(Cotacoes!N713-Cotacoes!N712)/Cotacoes!N712</f>
        <v>-8.7145969498910753E-3</v>
      </c>
      <c r="O713" s="5">
        <f>(Cotacoes!O713-Cotacoes!O712)/Cotacoes!O712</f>
        <v>-1.4162732574284867E-2</v>
      </c>
      <c r="P713" s="5">
        <f>(Cotacoes!P713-Cotacoes!P712)/Cotacoes!P712</f>
        <v>-2.0648358455498681E-4</v>
      </c>
      <c r="Q713" s="5">
        <f>(Cotacoes!Q713-Cotacoes!Q712)/Cotacoes!Q712</f>
        <v>3.6101083032491119E-3</v>
      </c>
      <c r="R713" s="5">
        <f>(Cotacoes!R713-Cotacoes!R712)/Cotacoes!R712</f>
        <v>-2.5576255131038908E-2</v>
      </c>
      <c r="S713" s="5">
        <f>(Cotacoes!S713-Cotacoes!S712)/Cotacoes!S712</f>
        <v>-2.2104607721045996E-2</v>
      </c>
      <c r="T713" s="5">
        <f>(Cotacoes!T713-Cotacoes!T712)/Cotacoes!T712</f>
        <v>-2.7574426549536249E-2</v>
      </c>
      <c r="U713" s="5">
        <f>(Cotacoes!U713-Cotacoes!U712)/Cotacoes!U712</f>
        <v>-2.9843322556578036E-2</v>
      </c>
      <c r="V713" s="5">
        <f>(Cotacoes!V713-Cotacoes!V712)/Cotacoes!V712</f>
        <v>-2.0180932498260206E-2</v>
      </c>
      <c r="W713" s="5"/>
    </row>
    <row r="714" spans="1:23" x14ac:dyDescent="0.2">
      <c r="A714" s="4">
        <v>45600</v>
      </c>
      <c r="B714" s="5">
        <f>(Cotacoes!B714-Cotacoes!B713)/Cotacoes!B713</f>
        <v>-4.1114664230242374E-3</v>
      </c>
      <c r="C714" s="5">
        <f>(Cotacoes!C714-Cotacoes!C713)/Cotacoes!C713</f>
        <v>1.0427528675703884E-2</v>
      </c>
      <c r="D714" s="5">
        <f>(Cotacoes!D714-Cotacoes!D713)/Cotacoes!D713</f>
        <v>2.2558814050918558E-3</v>
      </c>
      <c r="E714" s="5">
        <f>(Cotacoes!E714-Cotacoes!E713)/Cotacoes!E713</f>
        <v>1.3610071452875079E-2</v>
      </c>
      <c r="F714" s="5">
        <f>(Cotacoes!F714-Cotacoes!F713)/Cotacoes!F713</f>
        <v>1.1809861234130248E-3</v>
      </c>
      <c r="G714" s="5">
        <f>(Cotacoes!G714-Cotacoes!G713)/Cotacoes!G713</f>
        <v>2.73692049897598E-2</v>
      </c>
      <c r="H714" s="5">
        <f>(Cotacoes!H714-Cotacoes!H713)/Cotacoes!H713</f>
        <v>5.6887444128403322E-3</v>
      </c>
      <c r="I714" s="5">
        <f>(Cotacoes!I714-Cotacoes!I713)/Cotacoes!I713</f>
        <v>2.9979222321163703E-2</v>
      </c>
      <c r="J714" s="5">
        <f>(Cotacoes!J714-Cotacoes!J713)/Cotacoes!J713</f>
        <v>2.3380691352500319E-2</v>
      </c>
      <c r="K714" s="5">
        <f>(Cotacoes!K714-Cotacoes!K713)/Cotacoes!K713</f>
        <v>7.6745970836529455E-4</v>
      </c>
      <c r="L714" s="5">
        <f>(Cotacoes!L714-Cotacoes!L713)/Cotacoes!L713</f>
        <v>4.2074363992172181E-2</v>
      </c>
      <c r="M714" s="5">
        <f>(Cotacoes!M714-Cotacoes!M713)/Cotacoes!M713</f>
        <v>1.0362694300518067E-2</v>
      </c>
      <c r="N714" s="5">
        <f>(Cotacoes!N714-Cotacoes!N713)/Cotacoes!N713</f>
        <v>1.5384615384615448E-2</v>
      </c>
      <c r="O714" s="5">
        <f>(Cotacoes!O714-Cotacoes!O713)/Cotacoes!O713</f>
        <v>1.6619718309859251E-2</v>
      </c>
      <c r="P714" s="5">
        <f>(Cotacoes!P714-Cotacoes!P713)/Cotacoes!P713</f>
        <v>6.8153655514249954E-3</v>
      </c>
      <c r="Q714" s="5">
        <f>(Cotacoes!Q714-Cotacoes!Q713)/Cotacoes!Q713</f>
        <v>-3.4258307639607955E-4</v>
      </c>
      <c r="R714" s="5">
        <f>(Cotacoes!R714-Cotacoes!R713)/Cotacoes!R713</f>
        <v>4.4394037589112034E-2</v>
      </c>
      <c r="S714" s="5">
        <f>(Cotacoes!S714-Cotacoes!S713)/Cotacoes!S713</f>
        <v>2.355937599490603E-2</v>
      </c>
      <c r="T714" s="5">
        <f>(Cotacoes!T714-Cotacoes!T713)/Cotacoes!T713</f>
        <v>2.5846925972396514E-2</v>
      </c>
      <c r="U714" s="5">
        <f>(Cotacoes!U714-Cotacoes!U713)/Cotacoes!U713</f>
        <v>4.0246090745962582E-2</v>
      </c>
      <c r="V714" s="5">
        <f>(Cotacoes!V714-Cotacoes!V713)/Cotacoes!V713</f>
        <v>2.5568181818181778E-2</v>
      </c>
      <c r="W714" s="5"/>
    </row>
    <row r="715" spans="1:23" x14ac:dyDescent="0.2">
      <c r="A715" s="4">
        <v>45601</v>
      </c>
      <c r="B715" s="5">
        <f>(Cotacoes!B715-Cotacoes!B714)/Cotacoes!B714</f>
        <v>-1.4678899082568495E-3</v>
      </c>
      <c r="C715" s="5">
        <f>(Cotacoes!C715-Cotacoes!C714)/Cotacoes!C714</f>
        <v>-8.7719298245613701E-3</v>
      </c>
      <c r="D715" s="5">
        <f>(Cotacoes!D715-Cotacoes!D714)/Cotacoes!D714</f>
        <v>-3.2154340836013317E-3</v>
      </c>
      <c r="E715" s="5">
        <f>(Cotacoes!E715-Cotacoes!E714)/Cotacoes!E714</f>
        <v>2.9875797247398476E-2</v>
      </c>
      <c r="F715" s="5">
        <f>(Cotacoes!F715-Cotacoes!F714)/Cotacoes!F714</f>
        <v>-5.0132704217043531E-3</v>
      </c>
      <c r="G715" s="5">
        <f>(Cotacoes!G715-Cotacoes!G714)/Cotacoes!G714</f>
        <v>-3.2620514679231553E-3</v>
      </c>
      <c r="H715" s="5">
        <f>(Cotacoes!H715-Cotacoes!H714)/Cotacoes!H714</f>
        <v>4.0404040404046719E-4</v>
      </c>
      <c r="I715" s="5">
        <f>(Cotacoes!I715-Cotacoes!I714)/Cotacoes!I714</f>
        <v>-1.3544668587896425E-2</v>
      </c>
      <c r="J715" s="5">
        <f>(Cotacoes!J715-Cotacoes!J714)/Cotacoes!J714</f>
        <v>-1.639702667249734E-3</v>
      </c>
      <c r="K715" s="5">
        <f>(Cotacoes!K715-Cotacoes!K714)/Cotacoes!K714</f>
        <v>-1.2269938650306624E-2</v>
      </c>
      <c r="L715" s="5">
        <f>(Cotacoes!L715-Cotacoes!L714)/Cotacoes!L714</f>
        <v>1.0328638497652528E-2</v>
      </c>
      <c r="M715" s="5">
        <f>(Cotacoes!M715-Cotacoes!M714)/Cotacoes!M714</f>
        <v>8.5470085470098838E-4</v>
      </c>
      <c r="N715" s="5">
        <f>(Cotacoes!N715-Cotacoes!N714)/Cotacoes!N714</f>
        <v>3.5714285714285719E-2</v>
      </c>
      <c r="O715" s="5">
        <f>(Cotacoes!O715-Cotacoes!O714)/Cotacoes!O714</f>
        <v>-1.9395954558049397E-3</v>
      </c>
      <c r="P715" s="5">
        <f>(Cotacoes!P715-Cotacoes!P714)/Cotacoes!P714</f>
        <v>5.5384615384616023E-3</v>
      </c>
      <c r="Q715" s="5">
        <f>(Cotacoes!Q715-Cotacoes!Q714)/Cotacoes!Q714</f>
        <v>8.9102124742975169E-3</v>
      </c>
      <c r="R715" s="5">
        <f>(Cotacoes!R715-Cotacoes!R714)/Cotacoes!R714</f>
        <v>2.1718895439032048E-3</v>
      </c>
      <c r="S715" s="5">
        <f>(Cotacoes!S715-Cotacoes!S714)/Cotacoes!S714</f>
        <v>0</v>
      </c>
      <c r="T715" s="5">
        <f>(Cotacoes!T715-Cotacoes!T714)/Cotacoes!T714</f>
        <v>-1.3454011741683078E-2</v>
      </c>
      <c r="U715" s="5">
        <f>(Cotacoes!U715-Cotacoes!U714)/Cotacoes!U714</f>
        <v>-1.7249876786594451E-3</v>
      </c>
      <c r="V715" s="5">
        <f>(Cotacoes!V715-Cotacoes!V714)/Cotacoes!V714</f>
        <v>3.4626038781168851E-4</v>
      </c>
      <c r="W715" s="5"/>
    </row>
    <row r="716" spans="1:23" x14ac:dyDescent="0.2">
      <c r="A716" s="4">
        <v>45602</v>
      </c>
      <c r="B716" s="5">
        <f>(Cotacoes!B716-Cotacoes!B715)/Cotacoes!B715</f>
        <v>-1.5251745681734624E-2</v>
      </c>
      <c r="C716" s="5">
        <f>(Cotacoes!C716-Cotacoes!C715)/Cotacoes!C715</f>
        <v>-1.1278847822314865E-2</v>
      </c>
      <c r="D716" s="5">
        <f>(Cotacoes!D716-Cotacoes!D715)/Cotacoes!D715</f>
        <v>3.2258064516134074E-4</v>
      </c>
      <c r="E716" s="5">
        <f>(Cotacoes!E716-Cotacoes!E715)/Cotacoes!E715</f>
        <v>-4.5632333767927176E-3</v>
      </c>
      <c r="F716" s="5">
        <f>(Cotacoes!F716-Cotacoes!F715)/Cotacoes!F715</f>
        <v>-8.8915234143453271E-4</v>
      </c>
      <c r="G716" s="5">
        <f>(Cotacoes!G716-Cotacoes!G715)/Cotacoes!G715</f>
        <v>1.4545454545454234E-3</v>
      </c>
      <c r="H716" s="5">
        <f>(Cotacoes!H716-Cotacoes!H715)/Cotacoes!H715</f>
        <v>2.0193861066234715E-3</v>
      </c>
      <c r="I716" s="5">
        <f>(Cotacoes!I716-Cotacoes!I715)/Cotacoes!I715</f>
        <v>-1.3730645632486091E-2</v>
      </c>
      <c r="J716" s="5">
        <f>(Cotacoes!J716-Cotacoes!J715)/Cotacoes!J715</f>
        <v>1.2044235191065306E-3</v>
      </c>
      <c r="K716" s="5">
        <f>(Cotacoes!K716-Cotacoes!K715)/Cotacoes!K715</f>
        <v>-8.5403726708075459E-3</v>
      </c>
      <c r="L716" s="5">
        <f>(Cotacoes!L716-Cotacoes!L715)/Cotacoes!L715</f>
        <v>-2.8810408921933133E-2</v>
      </c>
      <c r="M716" s="5">
        <f>(Cotacoes!M716-Cotacoes!M715)/Cotacoes!M715</f>
        <v>-1.3663535439795059E-2</v>
      </c>
      <c r="N716" s="5">
        <f>(Cotacoes!N716-Cotacoes!N715)/Cotacoes!N715</f>
        <v>-1.0449320794148158E-3</v>
      </c>
      <c r="O716" s="5">
        <f>(Cotacoes!O716-Cotacoes!O715)/Cotacoes!O715</f>
        <v>2.6096612992781723E-2</v>
      </c>
      <c r="P716" s="5">
        <f>(Cotacoes!P716-Cotacoes!P715)/Cotacoes!P715</f>
        <v>3.0191758465932205E-2</v>
      </c>
      <c r="Q716" s="5">
        <f>(Cotacoes!Q716-Cotacoes!Q715)/Cotacoes!Q715</f>
        <v>-1.6644021739130502E-2</v>
      </c>
      <c r="R716" s="5">
        <f>(Cotacoes!R716-Cotacoes!R715)/Cotacoes!R715</f>
        <v>3.4055727554179395E-3</v>
      </c>
      <c r="S716" s="5">
        <f>(Cotacoes!S716-Cotacoes!S715)/Cotacoes!S715</f>
        <v>-9.020217729393442E-3</v>
      </c>
      <c r="T716" s="5">
        <f>(Cotacoes!T716-Cotacoes!T715)/Cotacoes!T715</f>
        <v>1.3885445078105685E-2</v>
      </c>
      <c r="U716" s="5">
        <f>(Cotacoes!U716-Cotacoes!U715)/Cotacoes!U715</f>
        <v>7.6524314983955144E-3</v>
      </c>
      <c r="V716" s="5">
        <f>(Cotacoes!V716-Cotacoes!V715)/Cotacoes!V715</f>
        <v>-4.8459674627899119E-3</v>
      </c>
      <c r="W716" s="5"/>
    </row>
    <row r="717" spans="1:23" x14ac:dyDescent="0.2">
      <c r="A717" s="4">
        <v>45603</v>
      </c>
      <c r="B717" s="5">
        <f>(Cotacoes!B717-Cotacoes!B716)/Cotacoes!B716</f>
        <v>1.8660197798092947E-4</v>
      </c>
      <c r="C717" s="5">
        <f>(Cotacoes!C717-Cotacoes!C716)/Cotacoes!C716</f>
        <v>3.4749034749034818E-2</v>
      </c>
      <c r="D717" s="5">
        <f>(Cotacoes!D717-Cotacoes!D716)/Cotacoes!D716</f>
        <v>3.2247662044501083E-3</v>
      </c>
      <c r="E717" s="5">
        <f>(Cotacoes!E717-Cotacoes!E716)/Cotacoes!E716</f>
        <v>-1.473477406679762E-2</v>
      </c>
      <c r="F717" s="5">
        <f>(Cotacoes!F717-Cotacoes!F716)/Cotacoes!F716</f>
        <v>6.822901216256211E-3</v>
      </c>
      <c r="G717" s="5">
        <f>(Cotacoes!G717-Cotacoes!G716)/Cotacoes!G716</f>
        <v>-5.6281771968045603E-3</v>
      </c>
      <c r="H717" s="5">
        <f>(Cotacoes!H717-Cotacoes!H716)/Cotacoes!H716</f>
        <v>-4.0306328093509822E-3</v>
      </c>
      <c r="I717" s="5">
        <f>(Cotacoes!I717-Cotacoes!I716)/Cotacoes!I716</f>
        <v>-2.1030805687203818E-2</v>
      </c>
      <c r="J717" s="5">
        <f>(Cotacoes!J717-Cotacoes!J716)/Cotacoes!J716</f>
        <v>-1.4216972878390171E-2</v>
      </c>
      <c r="K717" s="5">
        <f>(Cotacoes!K717-Cotacoes!K716)/Cotacoes!K716</f>
        <v>-1.0963194988253626E-2</v>
      </c>
      <c r="L717" s="5">
        <f>(Cotacoes!L717-Cotacoes!L716)/Cotacoes!L716</f>
        <v>5.7416267942584209E-3</v>
      </c>
      <c r="M717" s="5">
        <f>(Cotacoes!M717-Cotacoes!M716)/Cotacoes!M716</f>
        <v>3.463203463203389E-3</v>
      </c>
      <c r="N717" s="5">
        <f>(Cotacoes!N717-Cotacoes!N716)/Cotacoes!N716</f>
        <v>-1.3598326359832717E-2</v>
      </c>
      <c r="O717" s="5">
        <f>(Cotacoes!O717-Cotacoes!O716)/Cotacoes!O716</f>
        <v>-2.9761904761904798E-2</v>
      </c>
      <c r="P717" s="5">
        <f>(Cotacoes!P717-Cotacoes!P716)/Cotacoes!P716</f>
        <v>-9.9009900990099011E-3</v>
      </c>
      <c r="Q717" s="5">
        <f>(Cotacoes!Q717-Cotacoes!Q716)/Cotacoes!Q716</f>
        <v>-1.0189982728842769E-2</v>
      </c>
      <c r="R717" s="5">
        <f>(Cotacoes!R717-Cotacoes!R716)/Cotacoes!R716</f>
        <v>-6.1709348966367096E-3</v>
      </c>
      <c r="S717" s="5">
        <f>(Cotacoes!S717-Cotacoes!S716)/Cotacoes!S716</f>
        <v>-5.3358443188951084E-3</v>
      </c>
      <c r="T717" s="5">
        <f>(Cotacoes!T717-Cotacoes!T716)/Cotacoes!T716</f>
        <v>-2.3966740034238296E-2</v>
      </c>
      <c r="U717" s="5">
        <f>(Cotacoes!U717-Cotacoes!U716)/Cotacoes!U716</f>
        <v>-1.42087212150906E-2</v>
      </c>
      <c r="V717" s="5">
        <f>(Cotacoes!V717-Cotacoes!V716)/Cotacoes!V716</f>
        <v>-1.0782608695652129E-2</v>
      </c>
      <c r="W717" s="5"/>
    </row>
    <row r="718" spans="1:23" x14ac:dyDescent="0.2">
      <c r="A718" s="4">
        <v>45604</v>
      </c>
      <c r="B718" s="5">
        <f>(Cotacoes!B718-Cotacoes!B717)/Cotacoes!B717</f>
        <v>-5.5970149253733461E-4</v>
      </c>
      <c r="C718" s="5">
        <f>(Cotacoes!C718-Cotacoes!C717)/Cotacoes!C717</f>
        <v>-4.6132971506105812E-2</v>
      </c>
      <c r="D718" s="5">
        <f>(Cotacoes!D718-Cotacoes!D717)/Cotacoes!D717</f>
        <v>1.8643522982963737E-2</v>
      </c>
      <c r="E718" s="5">
        <f>(Cotacoes!E718-Cotacoes!E717)/Cotacoes!E717</f>
        <v>-1.5619807244931833E-2</v>
      </c>
      <c r="F718" s="5">
        <f>(Cotacoes!F718-Cotacoes!F717)/Cotacoes!F717</f>
        <v>1.826753093694769E-2</v>
      </c>
      <c r="G718" s="5">
        <f>(Cotacoes!G718-Cotacoes!G717)/Cotacoes!G717</f>
        <v>-1.2232974255979582E-2</v>
      </c>
      <c r="H718" s="5">
        <f>(Cotacoes!H718-Cotacoes!H717)/Cotacoes!H717</f>
        <v>-7.6891946580332363E-3</v>
      </c>
      <c r="I718" s="5">
        <f>(Cotacoes!I718-Cotacoes!I717)/Cotacoes!I717</f>
        <v>-1.059001512859287E-2</v>
      </c>
      <c r="J718" s="5">
        <f>(Cotacoes!J718-Cotacoes!J717)/Cotacoes!J717</f>
        <v>-8.5422675837585529E-3</v>
      </c>
      <c r="K718" s="5">
        <f>(Cotacoes!K718-Cotacoes!K717)/Cotacoes!K717</f>
        <v>-1.1084718923198778E-2</v>
      </c>
      <c r="L718" s="5">
        <f>(Cotacoes!L718-Cotacoes!L717)/Cotacoes!L717</f>
        <v>-3.8058991436726961E-2</v>
      </c>
      <c r="M718" s="5">
        <f>(Cotacoes!M718-Cotacoes!M717)/Cotacoes!M717</f>
        <v>-1.7256255392579748E-2</v>
      </c>
      <c r="N718" s="5">
        <f>(Cotacoes!N718-Cotacoes!N717)/Cotacoes!N717</f>
        <v>-1.9088016967126163E-2</v>
      </c>
      <c r="O718" s="5">
        <f>(Cotacoes!O718-Cotacoes!O717)/Cotacoes!O717</f>
        <v>-2.4818739542665939E-2</v>
      </c>
      <c r="P718" s="5">
        <f>(Cotacoes!P718-Cotacoes!P717)/Cotacoes!P717</f>
        <v>7.4599999999999944E-2</v>
      </c>
      <c r="Q718" s="5">
        <f>(Cotacoes!Q718-Cotacoes!Q717)/Cotacoes!Q717</f>
        <v>-8.375501657651439E-3</v>
      </c>
      <c r="R718" s="5">
        <f>(Cotacoes!R718-Cotacoes!R717)/Cotacoes!R717</f>
        <v>-1.7385904998447756E-2</v>
      </c>
      <c r="S718" s="5">
        <f>(Cotacoes!S718-Cotacoes!S717)/Cotacoes!S717</f>
        <v>-8.5200378668349504E-3</v>
      </c>
      <c r="T718" s="5">
        <f>(Cotacoes!T718-Cotacoes!T717)/Cotacoes!T717</f>
        <v>-2.3552994237033269E-2</v>
      </c>
      <c r="U718" s="5">
        <f>(Cotacoes!U718-Cotacoes!U717)/Cotacoes!U717</f>
        <v>-2.7335984095427469E-2</v>
      </c>
      <c r="V718" s="5">
        <f>(Cotacoes!V718-Cotacoes!V717)/Cotacoes!V717</f>
        <v>-1.3009845288326336E-2</v>
      </c>
      <c r="W718" s="5"/>
    </row>
    <row r="719" spans="1:23" x14ac:dyDescent="0.2">
      <c r="A719" s="4">
        <v>45607</v>
      </c>
      <c r="B719" s="5">
        <f>(Cotacoes!B719-Cotacoes!B718)/Cotacoes!B718</f>
        <v>-2.0533880903490652E-3</v>
      </c>
      <c r="C719" s="5">
        <f>(Cotacoes!C719-Cotacoes!C718)/Cotacoes!C718</f>
        <v>-3.2539118065433949E-2</v>
      </c>
      <c r="D719" s="5">
        <f>(Cotacoes!D719-Cotacoes!D718)/Cotacoes!D718</f>
        <v>2.2088987062164811E-3</v>
      </c>
      <c r="E719" s="5">
        <f>(Cotacoes!E719-Cotacoes!E718)/Cotacoes!E718</f>
        <v>1.0128291694799995E-3</v>
      </c>
      <c r="F719" s="5">
        <f>(Cotacoes!F719-Cotacoes!F718)/Cotacoes!F718</f>
        <v>1.7361111111109712E-3</v>
      </c>
      <c r="G719" s="5">
        <f>(Cotacoes!G719-Cotacoes!G718)/Cotacoes!G718</f>
        <v>7.2088724584103616E-3</v>
      </c>
      <c r="H719" s="5">
        <f>(Cotacoes!H719-Cotacoes!H718)/Cotacoes!H718</f>
        <v>8.1566068515495811E-4</v>
      </c>
      <c r="I719" s="5">
        <f>(Cotacoes!I719-Cotacoes!I718)/Cotacoes!I718</f>
        <v>5.5045871559632935E-3</v>
      </c>
      <c r="J719" s="5">
        <f>(Cotacoes!J719-Cotacoes!J718)/Cotacoes!J718</f>
        <v>3.0099585990824636E-2</v>
      </c>
      <c r="K719" s="5">
        <f>(Cotacoes!K719-Cotacoes!K718)/Cotacoes!K718</f>
        <v>-4.0032025620496967E-3</v>
      </c>
      <c r="L719" s="5">
        <f>(Cotacoes!L719-Cotacoes!L718)/Cotacoes!L718</f>
        <v>-1.38476755687437E-2</v>
      </c>
      <c r="M719" s="5">
        <f>(Cotacoes!M719-Cotacoes!M718)/Cotacoes!M718</f>
        <v>1.4925373134328351E-2</v>
      </c>
      <c r="N719" s="5">
        <f>(Cotacoes!N719-Cotacoes!N718)/Cotacoes!N718</f>
        <v>-3.2432432432431741E-3</v>
      </c>
      <c r="O719" s="5">
        <f>(Cotacoes!O719-Cotacoes!O718)/Cotacoes!O718</f>
        <v>6.2911066628538424E-3</v>
      </c>
      <c r="P719" s="5">
        <f>(Cotacoes!P719-Cotacoes!P718)/Cotacoes!P718</f>
        <v>3.4617532104969415E-2</v>
      </c>
      <c r="Q719" s="5">
        <f>(Cotacoes!Q719-Cotacoes!Q718)/Cotacoes!Q718</f>
        <v>-3.8711947914833516E-3</v>
      </c>
      <c r="R719" s="5">
        <f>(Cotacoes!R719-Cotacoes!R718)/Cotacoes!R718</f>
        <v>3.3807266982622444E-2</v>
      </c>
      <c r="S719" s="5">
        <f>(Cotacoes!S719-Cotacoes!S718)/Cotacoes!S718</f>
        <v>-1.9096117122852408E-3</v>
      </c>
      <c r="T719" s="5">
        <f>(Cotacoes!T719-Cotacoes!T718)/Cotacoes!T718</f>
        <v>8.7246599948679355E-3</v>
      </c>
      <c r="U719" s="5">
        <f>(Cotacoes!U719-Cotacoes!U718)/Cotacoes!U718</f>
        <v>4.0878896269800749E-2</v>
      </c>
      <c r="V719" s="5">
        <f>(Cotacoes!V719-Cotacoes!V718)/Cotacoes!V718</f>
        <v>-1.7812611328821058E-3</v>
      </c>
      <c r="W719" s="5"/>
    </row>
    <row r="720" spans="1:23" x14ac:dyDescent="0.2">
      <c r="A720" s="4">
        <v>45608</v>
      </c>
      <c r="B720" s="5">
        <f>(Cotacoes!B720-Cotacoes!B719)/Cotacoes!B719</f>
        <v>1.6835016835016143E-3</v>
      </c>
      <c r="C720" s="5">
        <f>(Cotacoes!C720-Cotacoes!C719)/Cotacoes!C719</f>
        <v>-2.2789928321999539E-2</v>
      </c>
      <c r="D720" s="5">
        <f>(Cotacoes!D720-Cotacoes!D719)/Cotacoes!D719</f>
        <v>1.8576826196473547E-2</v>
      </c>
      <c r="E720" s="5">
        <f>(Cotacoes!E720-Cotacoes!E719)/Cotacoes!E719</f>
        <v>-1.1804384485666033E-2</v>
      </c>
      <c r="F720" s="5">
        <f>(Cotacoes!F720-Cotacoes!F719)/Cotacoes!F719</f>
        <v>9.5320623916812664E-3</v>
      </c>
      <c r="G720" s="5">
        <f>(Cotacoes!G720-Cotacoes!G719)/Cotacoes!G719</f>
        <v>-1.2846393833731012E-3</v>
      </c>
      <c r="H720" s="5">
        <f>(Cotacoes!H720-Cotacoes!H719)/Cotacoes!H719</f>
        <v>-2.4449877750610726E-3</v>
      </c>
      <c r="I720" s="5">
        <f>(Cotacoes!I720-Cotacoes!I719)/Cotacoes!I719</f>
        <v>-1.5815085158150947E-2</v>
      </c>
      <c r="J720" s="5">
        <f>(Cotacoes!J720-Cotacoes!J719)/Cotacoes!J719</f>
        <v>3.7910058657397293E-2</v>
      </c>
      <c r="K720" s="5">
        <f>(Cotacoes!K720-Cotacoes!K719)/Cotacoes!K719</f>
        <v>-4.8231511254018264E-3</v>
      </c>
      <c r="L720" s="5">
        <f>(Cotacoes!L720-Cotacoes!L719)/Cotacoes!L719</f>
        <v>1.404212637913729E-2</v>
      </c>
      <c r="M720" s="5">
        <f>(Cotacoes!M720-Cotacoes!M719)/Cotacoes!M719</f>
        <v>5.1903114186850107E-3</v>
      </c>
      <c r="N720" s="5">
        <f>(Cotacoes!N720-Cotacoes!N719)/Cotacoes!N719</f>
        <v>-6.5075921908894245E-3</v>
      </c>
      <c r="O720" s="5">
        <f>(Cotacoes!O720-Cotacoes!O719)/Cotacoes!O719</f>
        <v>1.4492753623188552E-2</v>
      </c>
      <c r="P720" s="5">
        <f>(Cotacoes!P720-Cotacoes!P719)/Cotacoes!P719</f>
        <v>-2.7343047310667442E-2</v>
      </c>
      <c r="Q720" s="5">
        <f>(Cotacoes!Q720-Cotacoes!Q719)/Cotacoes!Q719</f>
        <v>2.0844373785550253E-2</v>
      </c>
      <c r="R720" s="5">
        <f>(Cotacoes!R720-Cotacoes!R719)/Cotacoes!R719</f>
        <v>8.8630806845965519E-3</v>
      </c>
      <c r="S720" s="5">
        <f>(Cotacoes!S720-Cotacoes!S719)/Cotacoes!S719</f>
        <v>1.9132653061225216E-3</v>
      </c>
      <c r="T720" s="5">
        <f>(Cotacoes!T720-Cotacoes!T719)/Cotacoes!T719</f>
        <v>-2.7982701602645493E-3</v>
      </c>
      <c r="U720" s="5">
        <f>(Cotacoes!U720-Cotacoes!U719)/Cotacoes!U719</f>
        <v>6.7992145311732838E-2</v>
      </c>
      <c r="V720" s="5">
        <f>(Cotacoes!V720-Cotacoes!V719)/Cotacoes!V719</f>
        <v>6.0670949321913531E-3</v>
      </c>
      <c r="W720" s="5"/>
    </row>
    <row r="721" spans="1:23" x14ac:dyDescent="0.2">
      <c r="A721" s="4">
        <v>45609</v>
      </c>
      <c r="B721" s="5">
        <f>(Cotacoes!B721-Cotacoes!B720)/Cotacoes!B720</f>
        <v>2.5210084033614401E-3</v>
      </c>
      <c r="C721" s="5">
        <f>(Cotacoes!C721-Cotacoes!C720)/Cotacoes!C720</f>
        <v>-2.633063757758145E-3</v>
      </c>
      <c r="D721" s="5">
        <f>(Cotacoes!D721-Cotacoes!D720)/Cotacoes!D720</f>
        <v>-1.2364760432766351E-3</v>
      </c>
      <c r="E721" s="5">
        <f>(Cotacoes!E721-Cotacoes!E720)/Cotacoes!E720</f>
        <v>-5.1194539249147485E-3</v>
      </c>
      <c r="F721" s="5">
        <f>(Cotacoes!F721-Cotacoes!F720)/Cotacoes!F720</f>
        <v>1.0586552217453431E-2</v>
      </c>
      <c r="G721" s="5">
        <f>(Cotacoes!G721-Cotacoes!G720)/Cotacoes!G720</f>
        <v>-1.3046674016905565E-2</v>
      </c>
      <c r="H721" s="5">
        <f>(Cotacoes!H721-Cotacoes!H720)/Cotacoes!H720</f>
        <v>0</v>
      </c>
      <c r="I721" s="5">
        <f>(Cotacoes!I721-Cotacoes!I720)/Cotacoes!I720</f>
        <v>6.7985166872681973E-3</v>
      </c>
      <c r="J721" s="5">
        <f>(Cotacoes!J721-Cotacoes!J720)/Cotacoes!J720</f>
        <v>-1.098901098901096E-2</v>
      </c>
      <c r="K721" s="5">
        <f>(Cotacoes!K721-Cotacoes!K720)/Cotacoes!K720</f>
        <v>6.4620355411954822E-3</v>
      </c>
      <c r="L721" s="5">
        <f>(Cotacoes!L721-Cotacoes!L720)/Cotacoes!L720</f>
        <v>-6.9238377843719376E-3</v>
      </c>
      <c r="M721" s="5">
        <f>(Cotacoes!M721-Cotacoes!M720)/Cotacoes!M720</f>
        <v>1.2048192771084387E-2</v>
      </c>
      <c r="N721" s="5">
        <f>(Cotacoes!N721-Cotacoes!N720)/Cotacoes!N720</f>
        <v>-6.550218340611408E-3</v>
      </c>
      <c r="O721" s="5">
        <f>(Cotacoes!O721-Cotacoes!O720)/Cotacoes!O720</f>
        <v>2.0448179271708593E-2</v>
      </c>
      <c r="P721" s="5">
        <f>(Cotacoes!P721-Cotacoes!P720)/Cotacoes!P720</f>
        <v>4.7346032920288557E-2</v>
      </c>
      <c r="Q721" s="5">
        <f>(Cotacoes!Q721-Cotacoes!Q720)/Cotacoes!Q720</f>
        <v>6.2294514621906803E-3</v>
      </c>
      <c r="R721" s="5">
        <f>(Cotacoes!R721-Cotacoes!R720)/Cotacoes!R720</f>
        <v>1.8176310209028258E-3</v>
      </c>
      <c r="S721" s="5">
        <f>(Cotacoes!S721-Cotacoes!S720)/Cotacoes!S720</f>
        <v>-6.3653723742848904E-4</v>
      </c>
      <c r="T721" s="5">
        <f>(Cotacoes!T721-Cotacoes!T720)/Cotacoes!T720</f>
        <v>3.8265306122448614E-3</v>
      </c>
      <c r="U721" s="5">
        <f>(Cotacoes!U721-Cotacoes!U720)/Cotacoes!U720</f>
        <v>-6.2054700068948756E-3</v>
      </c>
      <c r="V721" s="5">
        <f>(Cotacoes!V721-Cotacoes!V720)/Cotacoes!V720</f>
        <v>1.9865200425682818E-2</v>
      </c>
      <c r="W721" s="5"/>
    </row>
    <row r="722" spans="1:23" x14ac:dyDescent="0.2">
      <c r="A722" s="4">
        <v>45610</v>
      </c>
      <c r="B722" s="5">
        <f>(Cotacoes!B722-Cotacoes!B721)/Cotacoes!B721</f>
        <v>1.2107665083356193E-3</v>
      </c>
      <c r="C722" s="5">
        <f>(Cotacoes!C722-Cotacoes!C721)/Cotacoes!C721</f>
        <v>-5.6571751838582736E-3</v>
      </c>
      <c r="D722" s="5">
        <f>(Cotacoes!D722-Cotacoes!D721)/Cotacoes!D721</f>
        <v>1.0523057876818207E-2</v>
      </c>
      <c r="E722" s="5">
        <f>(Cotacoes!E722-Cotacoes!E721)/Cotacoes!E721</f>
        <v>-3.0874785591766675E-3</v>
      </c>
      <c r="F722" s="5">
        <f>(Cotacoes!F722-Cotacoes!F721)/Cotacoes!F721</f>
        <v>1.443941109852769E-2</v>
      </c>
      <c r="G722" s="5">
        <f>(Cotacoes!G722-Cotacoes!G721)/Cotacoes!G721</f>
        <v>-6.3302923105567569E-3</v>
      </c>
      <c r="H722" s="5">
        <f>(Cotacoes!H722-Cotacoes!H721)/Cotacoes!H721</f>
        <v>-2.2467320261437936E-2</v>
      </c>
      <c r="I722" s="5">
        <f>(Cotacoes!I722-Cotacoes!I721)/Cotacoes!I721</f>
        <v>4.9109883364028151E-3</v>
      </c>
      <c r="J722" s="5">
        <f>(Cotacoes!J722-Cotacoes!J721)/Cotacoes!J721</f>
        <v>1.9153439153439176E-2</v>
      </c>
      <c r="K722" s="5">
        <f>(Cotacoes!K722-Cotacoes!K721)/Cotacoes!K721</f>
        <v>4.0128410914926907E-3</v>
      </c>
      <c r="L722" s="5">
        <f>(Cotacoes!L722-Cotacoes!L721)/Cotacoes!L721</f>
        <v>2.9880478087650538E-3</v>
      </c>
      <c r="M722" s="5">
        <f>(Cotacoes!M722-Cotacoes!M721)/Cotacoes!M721</f>
        <v>-6.80272108843538E-3</v>
      </c>
      <c r="N722" s="5">
        <f>(Cotacoes!N722-Cotacoes!N721)/Cotacoes!N721</f>
        <v>-8.7912087912087999E-3</v>
      </c>
      <c r="O722" s="5">
        <f>(Cotacoes!O722-Cotacoes!O721)/Cotacoes!O721</f>
        <v>-3.3763381828163519E-2</v>
      </c>
      <c r="P722" s="5">
        <f>(Cotacoes!P722-Cotacoes!P721)/Cotacoes!P721</f>
        <v>-2.2426275825534223E-2</v>
      </c>
      <c r="Q722" s="5">
        <f>(Cotacoes!Q722-Cotacoes!Q721)/Cotacoes!Q721</f>
        <v>1.3241616509028428E-2</v>
      </c>
      <c r="R722" s="5">
        <f>(Cotacoes!R722-Cotacoes!R721)/Cotacoes!R721</f>
        <v>5.7453885697005659E-3</v>
      </c>
      <c r="S722" s="5">
        <f>(Cotacoes!S722-Cotacoes!S721)/Cotacoes!S721</f>
        <v>4.0445859872611567E-2</v>
      </c>
      <c r="T722" s="5">
        <f>(Cotacoes!T722-Cotacoes!T721)/Cotacoes!T721</f>
        <v>8.8945362134689055E-3</v>
      </c>
      <c r="U722" s="5">
        <f>(Cotacoes!U722-Cotacoes!U721)/Cotacoes!U721</f>
        <v>-9.944495837187782E-3</v>
      </c>
      <c r="V722" s="5">
        <f>(Cotacoes!V722-Cotacoes!V721)/Cotacoes!V721</f>
        <v>4.5217391304347484E-3</v>
      </c>
      <c r="W722" s="5"/>
    </row>
    <row r="723" spans="1:23" x14ac:dyDescent="0.2">
      <c r="A723" s="4">
        <v>45614</v>
      </c>
      <c r="B723" s="5">
        <f>(Cotacoes!B723-Cotacoes!B722)/Cotacoes!B722</f>
        <v>-5.7674418604651582E-3</v>
      </c>
      <c r="C723" s="5">
        <f>(Cotacoes!C723-Cotacoes!C722)/Cotacoes!C722</f>
        <v>1.2516593969277522E-2</v>
      </c>
      <c r="D723" s="5">
        <f>(Cotacoes!D723-Cotacoes!D722)/Cotacoes!D722</f>
        <v>2.4808575803981693E-2</v>
      </c>
      <c r="E723" s="5">
        <f>(Cotacoes!E723-Cotacoes!E722)/Cotacoes!E722</f>
        <v>-3.4411562284927004E-3</v>
      </c>
      <c r="F723" s="5">
        <f>(Cotacoes!F723-Cotacoes!F722)/Cotacoes!F722</f>
        <v>2.5676807144850732E-2</v>
      </c>
      <c r="G723" s="5">
        <f>(Cotacoes!G723-Cotacoes!G722)/Cotacoes!G722</f>
        <v>-6.370620198613384E-3</v>
      </c>
      <c r="H723" s="5">
        <f>(Cotacoes!H723-Cotacoes!H722)/Cotacoes!H722</f>
        <v>1.3372335979941507E-2</v>
      </c>
      <c r="I723" s="5">
        <f>(Cotacoes!I723-Cotacoes!I722)/Cotacoes!I722</f>
        <v>-5.1924251679902776E-3</v>
      </c>
      <c r="J723" s="5">
        <f>(Cotacoes!J723-Cotacoes!J722)/Cotacoes!J722</f>
        <v>-3.6340982244835274E-3</v>
      </c>
      <c r="K723" s="5">
        <f>(Cotacoes!K723-Cotacoes!K722)/Cotacoes!K722</f>
        <v>1.358912869704236E-2</v>
      </c>
      <c r="L723" s="5">
        <f>(Cotacoes!L723-Cotacoes!L722)/Cotacoes!L722</f>
        <v>-2.5819265143992035E-2</v>
      </c>
      <c r="M723" s="5">
        <f>(Cotacoes!M723-Cotacoes!M722)/Cotacoes!M722</f>
        <v>-1.7979452054794443E-2</v>
      </c>
      <c r="N723" s="5">
        <f>(Cotacoes!N723-Cotacoes!N722)/Cotacoes!N722</f>
        <v>-1.1086474501108608E-2</v>
      </c>
      <c r="O723" s="5">
        <f>(Cotacoes!O723-Cotacoes!O722)/Cotacoes!O722</f>
        <v>-8.5227272727273935E-3</v>
      </c>
      <c r="P723" s="5">
        <f>(Cotacoes!P723-Cotacoes!P722)/Cotacoes!P722</f>
        <v>4.3352601156069724E-3</v>
      </c>
      <c r="Q723" s="5">
        <f>(Cotacoes!Q723-Cotacoes!Q722)/Cotacoes!Q722</f>
        <v>2.8852681602172725E-3</v>
      </c>
      <c r="R723" s="5">
        <f>(Cotacoes!R723-Cotacoes!R722)/Cotacoes!R722</f>
        <v>3.0066145520159698E-4</v>
      </c>
      <c r="S723" s="5">
        <f>(Cotacoes!S723-Cotacoes!S722)/Cotacoes!S722</f>
        <v>-1.6835016835016963E-2</v>
      </c>
      <c r="T723" s="5">
        <f>(Cotacoes!T723-Cotacoes!T722)/Cotacoes!T722</f>
        <v>1.2594458438287152E-2</v>
      </c>
      <c r="U723" s="5">
        <f>(Cotacoes!U723-Cotacoes!U722)/Cotacoes!U722</f>
        <v>-3.0833917309039949E-2</v>
      </c>
      <c r="V723" s="5">
        <f>(Cotacoes!V723-Cotacoes!V722)/Cotacoes!V722</f>
        <v>-1.3850415512465079E-3</v>
      </c>
      <c r="W723" s="5"/>
    </row>
    <row r="724" spans="1:23" x14ac:dyDescent="0.2">
      <c r="A724" s="4">
        <v>45615</v>
      </c>
      <c r="B724" s="5">
        <f>(Cotacoes!B724-Cotacoes!B723)/Cotacoes!B723</f>
        <v>9.3562874251497015E-3</v>
      </c>
      <c r="C724" s="5">
        <f>(Cotacoes!C724-Cotacoes!C723)/Cotacoes!C723</f>
        <v>2.2476119123430874E-3</v>
      </c>
      <c r="D724" s="5">
        <f>(Cotacoes!D724-Cotacoes!D723)/Cotacoes!D723</f>
        <v>-1.0460251046025148E-2</v>
      </c>
      <c r="E724" s="5">
        <f>(Cotacoes!E724-Cotacoes!E723)/Cotacoes!E723</f>
        <v>8.9779005524861181E-3</v>
      </c>
      <c r="F724" s="5">
        <f>(Cotacoes!F724-Cotacoes!F723)/Cotacoes!F723</f>
        <v>-1.2789115646258472E-2</v>
      </c>
      <c r="G724" s="5">
        <f>(Cotacoes!G724-Cotacoes!G723)/Cotacoes!G723</f>
        <v>2.262870073543229E-3</v>
      </c>
      <c r="H724" s="5">
        <f>(Cotacoes!H724-Cotacoes!H723)/Cotacoes!H723</f>
        <v>5.7731958762886832E-3</v>
      </c>
      <c r="I724" s="5">
        <f>(Cotacoes!I724-Cotacoes!I723)/Cotacoes!I723</f>
        <v>3.6843721215842015E-3</v>
      </c>
      <c r="J724" s="5">
        <f>(Cotacoes!J724-Cotacoes!J723)/Cotacoes!J723</f>
        <v>2.2300958732805343E-2</v>
      </c>
      <c r="K724" s="5">
        <f>(Cotacoes!K724-Cotacoes!K723)/Cotacoes!K723</f>
        <v>7.8864353312302557E-3</v>
      </c>
      <c r="L724" s="5">
        <f>(Cotacoes!L724-Cotacoes!L723)/Cotacoes!L723</f>
        <v>2.0387359836900685E-3</v>
      </c>
      <c r="M724" s="5">
        <f>(Cotacoes!M724-Cotacoes!M723)/Cotacoes!M723</f>
        <v>8.7183958151698226E-4</v>
      </c>
      <c r="N724" s="5">
        <f>(Cotacoes!N724-Cotacoes!N723)/Cotacoes!N723</f>
        <v>8.9686098654708606E-3</v>
      </c>
      <c r="O724" s="5">
        <f>(Cotacoes!O724-Cotacoes!O723)/Cotacoes!O723</f>
        <v>-1.43266475644691E-3</v>
      </c>
      <c r="P724" s="5">
        <f>(Cotacoes!P724-Cotacoes!P723)/Cotacoes!P723</f>
        <v>-2.1942446043165448E-2</v>
      </c>
      <c r="Q724" s="5">
        <f>(Cotacoes!Q724-Cotacoes!Q723)/Cotacoes!Q723</f>
        <v>-5.2462345574547679E-3</v>
      </c>
      <c r="R724" s="5">
        <f>(Cotacoes!R724-Cotacoes!R723)/Cotacoes!R723</f>
        <v>-9.0171325518488533E-4</v>
      </c>
      <c r="S724" s="5">
        <f>(Cotacoes!S724-Cotacoes!S723)/Cotacoes!S723</f>
        <v>3.1133250311332506E-2</v>
      </c>
      <c r="T724" s="5">
        <f>(Cotacoes!T724-Cotacoes!T723)/Cotacoes!T723</f>
        <v>-1.0696517412935315E-2</v>
      </c>
      <c r="U724" s="5">
        <f>(Cotacoes!U724-Cotacoes!U723)/Cotacoes!U723</f>
        <v>1.2292118582790985E-2</v>
      </c>
      <c r="V724" s="5">
        <f>(Cotacoes!V724-Cotacoes!V723)/Cotacoes!V723</f>
        <v>-2.1844660194174723E-2</v>
      </c>
      <c r="W724" s="5"/>
    </row>
    <row r="725" spans="1:23" x14ac:dyDescent="0.2">
      <c r="A725" s="4">
        <v>45617</v>
      </c>
      <c r="B725" s="5">
        <f>(Cotacoes!B725-Cotacoes!B724)/Cotacoes!B724</f>
        <v>5.7471264367816516E-3</v>
      </c>
      <c r="C725" s="5">
        <f>(Cotacoes!C725-Cotacoes!C724)/Cotacoes!C724</f>
        <v>-1.1212857409829036E-3</v>
      </c>
      <c r="D725" s="5">
        <f>(Cotacoes!D725-Cotacoes!D724)/Cotacoes!D724</f>
        <v>3.0202355783751564E-3</v>
      </c>
      <c r="E725" s="5">
        <f>(Cotacoes!E725-Cotacoes!E724)/Cotacoes!E724</f>
        <v>-1.7111567419575632E-2</v>
      </c>
      <c r="F725" s="5">
        <f>(Cotacoes!F725-Cotacoes!F724)/Cotacoes!F724</f>
        <v>1.6538037486218929E-3</v>
      </c>
      <c r="G725" s="5">
        <f>(Cotacoes!G725-Cotacoes!G724)/Cotacoes!G724</f>
        <v>-7.3377234242709422E-3</v>
      </c>
      <c r="H725" s="5">
        <f>(Cotacoes!H725-Cotacoes!H724)/Cotacoes!H724</f>
        <v>-2.2960229602296114E-2</v>
      </c>
      <c r="I725" s="5">
        <f>(Cotacoes!I725-Cotacoes!I724)/Cotacoes!I724</f>
        <v>-1.4377485469562523E-2</v>
      </c>
      <c r="J725" s="5">
        <f>(Cotacoes!J725-Cotacoes!J724)/Cotacoes!J724</f>
        <v>-1.3251783893985701E-2</v>
      </c>
      <c r="K725" s="5">
        <f>(Cotacoes!K725-Cotacoes!K724)/Cotacoes!K724</f>
        <v>-3.9123630672925616E-3</v>
      </c>
      <c r="L725" s="5">
        <f>(Cotacoes!L725-Cotacoes!L724)/Cotacoes!L724</f>
        <v>-2.0345879959308168E-2</v>
      </c>
      <c r="M725" s="5">
        <f>(Cotacoes!M725-Cotacoes!M724)/Cotacoes!M724</f>
        <v>-2.613240418118566E-3</v>
      </c>
      <c r="N725" s="5">
        <f>(Cotacoes!N725-Cotacoes!N724)/Cotacoes!N724</f>
        <v>-1.7777777777777795E-2</v>
      </c>
      <c r="O725" s="5">
        <f>(Cotacoes!O725-Cotacoes!O724)/Cotacoes!O724</f>
        <v>-5.4519368723100377E-3</v>
      </c>
      <c r="P725" s="5">
        <f>(Cotacoes!P725-Cotacoes!P724)/Cotacoes!P724</f>
        <v>3.3284295696947318E-2</v>
      </c>
      <c r="Q725" s="5">
        <f>(Cotacoes!Q725-Cotacoes!Q724)/Cotacoes!Q724</f>
        <v>6.4647839401156077E-3</v>
      </c>
      <c r="R725" s="5">
        <f>(Cotacoes!R725-Cotacoes!R724)/Cotacoes!R724</f>
        <v>-2.7677496991576463E-2</v>
      </c>
      <c r="S725" s="5">
        <f>(Cotacoes!S725-Cotacoes!S724)/Cotacoes!S724</f>
        <v>-1.8719806763284948E-2</v>
      </c>
      <c r="T725" s="5">
        <f>(Cotacoes!T725-Cotacoes!T724)/Cotacoes!T724</f>
        <v>-1.6092532059341226E-2</v>
      </c>
      <c r="U725" s="5">
        <f>(Cotacoes!U725-Cotacoes!U724)/Cotacoes!U724</f>
        <v>-7.857142857142816E-3</v>
      </c>
      <c r="V725" s="5">
        <f>(Cotacoes!V725-Cotacoes!V724)/Cotacoes!V724</f>
        <v>-2.0560085076214173E-2</v>
      </c>
      <c r="W725" s="5"/>
    </row>
    <row r="726" spans="1:23" x14ac:dyDescent="0.2">
      <c r="A726" s="4">
        <v>45618</v>
      </c>
      <c r="B726" s="5">
        <f>(Cotacoes!B726-Cotacoes!B725)/Cotacoes!B725</f>
        <v>5.7142857142857559E-3</v>
      </c>
      <c r="C726" s="5">
        <f>(Cotacoes!C726-Cotacoes!C725)/Cotacoes!C725</f>
        <v>9.7287184284377166E-3</v>
      </c>
      <c r="D726" s="5">
        <f>(Cotacoes!D726-Cotacoes!D725)/Cotacoes!D725</f>
        <v>3.9747064137308045E-2</v>
      </c>
      <c r="E726" s="5">
        <f>(Cotacoes!E726-Cotacoes!E725)/Cotacoes!E725</f>
        <v>2.7855153203343265E-3</v>
      </c>
      <c r="F726" s="5">
        <f>(Cotacoes!F726-Cotacoes!F725)/Cotacoes!F725</f>
        <v>5.2283984589983443E-2</v>
      </c>
      <c r="G726" s="5">
        <f>(Cotacoes!G726-Cotacoes!G725)/Cotacoes!G725</f>
        <v>5.3070507960576415E-3</v>
      </c>
      <c r="H726" s="5">
        <f>(Cotacoes!H726-Cotacoes!H725)/Cotacoes!H725</f>
        <v>1.3428451531682766E-2</v>
      </c>
      <c r="I726" s="5">
        <f>(Cotacoes!I726-Cotacoes!I725)/Cotacoes!I725</f>
        <v>4.0347610180013213E-3</v>
      </c>
      <c r="J726" s="5">
        <f>(Cotacoes!J726-Cotacoes!J725)/Cotacoes!J725</f>
        <v>1.2706611570247975E-2</v>
      </c>
      <c r="K726" s="5">
        <f>(Cotacoes!K726-Cotacoes!K725)/Cotacoes!K725</f>
        <v>2.3566378633149538E-3</v>
      </c>
      <c r="L726" s="5">
        <f>(Cotacoes!L726-Cotacoes!L725)/Cotacoes!L725</f>
        <v>2.0768431983385179E-2</v>
      </c>
      <c r="M726" s="5">
        <f>(Cotacoes!M726-Cotacoes!M725)/Cotacoes!M725</f>
        <v>2.2707423580786163E-2</v>
      </c>
      <c r="N726" s="5">
        <f>(Cotacoes!N726-Cotacoes!N725)/Cotacoes!N725</f>
        <v>5.6561085972851484E-3</v>
      </c>
      <c r="O726" s="5">
        <f>(Cotacoes!O726-Cotacoes!O725)/Cotacoes!O725</f>
        <v>2.8563185227928507E-2</v>
      </c>
      <c r="P726" s="5">
        <f>(Cotacoes!P726-Cotacoes!P725)/Cotacoes!P725</f>
        <v>1.1567894643175043E-2</v>
      </c>
      <c r="Q726" s="5">
        <f>(Cotacoes!Q726-Cotacoes!Q725)/Cotacoes!Q725</f>
        <v>-1.5212981744421282E-3</v>
      </c>
      <c r="R726" s="5">
        <f>(Cotacoes!R726-Cotacoes!R725)/Cotacoes!R725</f>
        <v>3.4034653465346357E-3</v>
      </c>
      <c r="S726" s="5">
        <f>(Cotacoes!S726-Cotacoes!S725)/Cotacoes!S725</f>
        <v>7.384615384615446E-3</v>
      </c>
      <c r="T726" s="5">
        <f>(Cotacoes!T726-Cotacoes!T725)/Cotacoes!T725</f>
        <v>3.2455916176846303E-2</v>
      </c>
      <c r="U726" s="5">
        <f>(Cotacoes!U726-Cotacoes!U725)/Cotacoes!U725</f>
        <v>1.5118790496760149E-2</v>
      </c>
      <c r="V726" s="5">
        <f>(Cotacoes!V726-Cotacoes!V725)/Cotacoes!V725</f>
        <v>3.1125588128845437E-2</v>
      </c>
      <c r="W726" s="5"/>
    </row>
    <row r="727" spans="1:23" x14ac:dyDescent="0.2">
      <c r="A727" s="4">
        <v>45621</v>
      </c>
      <c r="B727" s="5">
        <f>(Cotacoes!B727-Cotacoes!B726)/Cotacoes!B726</f>
        <v>-1.8969941348973673E-2</v>
      </c>
      <c r="C727" s="5">
        <f>(Cotacoes!C727-Cotacoes!C726)/Cotacoes!C726</f>
        <v>-1.8528812303127682E-4</v>
      </c>
      <c r="D727" s="5">
        <f>(Cotacoes!D727-Cotacoes!D726)/Cotacoes!D726</f>
        <v>-6.0816681146829091E-3</v>
      </c>
      <c r="E727" s="5">
        <f>(Cotacoes!E727-Cotacoes!E726)/Cotacoes!E726</f>
        <v>-3.472222222222765E-4</v>
      </c>
      <c r="F727" s="5">
        <f>(Cotacoes!F727-Cotacoes!F726)/Cotacoes!F726</f>
        <v>-9.6757322175733407E-3</v>
      </c>
      <c r="G727" s="5">
        <f>(Cotacoes!G727-Cotacoes!G726)/Cotacoes!G726</f>
        <v>-3.4502262443438882E-2</v>
      </c>
      <c r="H727" s="5">
        <f>(Cotacoes!H727-Cotacoes!H726)/Cotacoes!H726</f>
        <v>5.7971014492753858E-3</v>
      </c>
      <c r="I727" s="5">
        <f>(Cotacoes!I727-Cotacoes!I726)/Cotacoes!I726</f>
        <v>1.5146831530139165E-2</v>
      </c>
      <c r="J727" s="5">
        <f>(Cotacoes!J727-Cotacoes!J726)/Cotacoes!J726</f>
        <v>-3.6723452004488364E-3</v>
      </c>
      <c r="K727" s="5">
        <f>(Cotacoes!K727-Cotacoes!K726)/Cotacoes!K726</f>
        <v>-1.4890282131661403E-2</v>
      </c>
      <c r="L727" s="5">
        <f>(Cotacoes!L727-Cotacoes!L726)/Cotacoes!L726</f>
        <v>1.2207527975584864E-2</v>
      </c>
      <c r="M727" s="5">
        <f>(Cotacoes!M727-Cotacoes!M726)/Cotacoes!M726</f>
        <v>-1.1101622544833541E-2</v>
      </c>
      <c r="N727" s="5">
        <f>(Cotacoes!N727-Cotacoes!N726)/Cotacoes!N726</f>
        <v>-6.7491563554556233E-3</v>
      </c>
      <c r="O727" s="5">
        <f>(Cotacoes!O727-Cotacoes!O726)/Cotacoes!O726</f>
        <v>-2.1037868162692847E-2</v>
      </c>
      <c r="P727" s="5">
        <f>(Cotacoes!P727-Cotacoes!P726)/Cotacoes!P726</f>
        <v>3.694581280788067E-3</v>
      </c>
      <c r="Q727" s="5">
        <f>(Cotacoes!Q727-Cotacoes!Q726)/Cotacoes!Q726</f>
        <v>-1.3204672422549536E-2</v>
      </c>
      <c r="R727" s="5">
        <f>(Cotacoes!R727-Cotacoes!R726)/Cotacoes!R726</f>
        <v>-5.8587727412888601E-3</v>
      </c>
      <c r="S727" s="5">
        <f>(Cotacoes!S727-Cotacoes!S726)/Cotacoes!S726</f>
        <v>4.8869883934024609E-3</v>
      </c>
      <c r="T727" s="5">
        <f>(Cotacoes!T727-Cotacoes!T726)/Cotacoes!T726</f>
        <v>-1.3613861386138544E-2</v>
      </c>
      <c r="U727" s="5">
        <f>(Cotacoes!U727-Cotacoes!U726)/Cotacoes!U726</f>
        <v>-1.5130023640661953E-2</v>
      </c>
      <c r="V727" s="5">
        <f>(Cotacoes!V727-Cotacoes!V726)/Cotacoes!V726</f>
        <v>1.4040014040014115E-2</v>
      </c>
      <c r="W727" s="5"/>
    </row>
    <row r="728" spans="1:23" x14ac:dyDescent="0.2">
      <c r="A728" s="4">
        <v>45622</v>
      </c>
      <c r="B728" s="5">
        <f>(Cotacoes!B728-Cotacoes!B727)/Cotacoes!B727</f>
        <v>-2.3446987389070445E-2</v>
      </c>
      <c r="C728" s="5">
        <f>(Cotacoes!C728-Cotacoes!C727)/Cotacoes!C727</f>
        <v>-1.2601927353595251E-2</v>
      </c>
      <c r="D728" s="5">
        <f>(Cotacoes!D728-Cotacoes!D727)/Cotacoes!D727</f>
        <v>-1.1655011655011406E-3</v>
      </c>
      <c r="E728" s="5">
        <f>(Cotacoes!E728-Cotacoes!E727)/Cotacoes!E727</f>
        <v>1.9103855505383838E-2</v>
      </c>
      <c r="F728" s="5">
        <f>(Cotacoes!F728-Cotacoes!F727)/Cotacoes!F727</f>
        <v>-5.0171639820437743E-3</v>
      </c>
      <c r="G728" s="5">
        <f>(Cotacoes!G728-Cotacoes!G727)/Cotacoes!G727</f>
        <v>1.2107010349541055E-2</v>
      </c>
      <c r="H728" s="5">
        <f>(Cotacoes!H728-Cotacoes!H727)/Cotacoes!H727</f>
        <v>1.317414573898725E-2</v>
      </c>
      <c r="I728" s="5">
        <f>(Cotacoes!I728-Cotacoes!I727)/Cotacoes!I727</f>
        <v>1.8270401948842701E-2</v>
      </c>
      <c r="J728" s="5">
        <f>(Cotacoes!J728-Cotacoes!J727)/Cotacoes!J727</f>
        <v>1.2593426845500194E-2</v>
      </c>
      <c r="K728" s="5">
        <f>(Cotacoes!K728-Cotacoes!K727)/Cotacoes!K727</f>
        <v>7.1599045346061934E-3</v>
      </c>
      <c r="L728" s="5">
        <f>(Cotacoes!L728-Cotacoes!L727)/Cotacoes!L727</f>
        <v>4.020100502512656E-3</v>
      </c>
      <c r="M728" s="5">
        <f>(Cotacoes!M728-Cotacoes!M727)/Cotacoes!M727</f>
        <v>6.0449050086356032E-3</v>
      </c>
      <c r="N728" s="5">
        <f>(Cotacoes!N728-Cotacoes!N727)/Cotacoes!N727</f>
        <v>2.3782559456398535E-2</v>
      </c>
      <c r="O728" s="5">
        <f>(Cotacoes!O728-Cotacoes!O727)/Cotacoes!O727</f>
        <v>4.5845272206304789E-3</v>
      </c>
      <c r="P728" s="5">
        <f>(Cotacoes!P728-Cotacoes!P727)/Cotacoes!P727</f>
        <v>2.4189307624890494E-2</v>
      </c>
      <c r="Q728" s="5">
        <f>(Cotacoes!Q728-Cotacoes!Q727)/Cotacoes!Q727</f>
        <v>-9.9502487562188758E-3</v>
      </c>
      <c r="R728" s="5">
        <f>(Cotacoes!R728-Cotacoes!R727)/Cotacoes!R727</f>
        <v>2.1712158808932867E-2</v>
      </c>
      <c r="S728" s="5">
        <f>(Cotacoes!S728-Cotacoes!S727)/Cotacoes!S727</f>
        <v>9.7264437689969698E-3</v>
      </c>
      <c r="T728" s="5">
        <f>(Cotacoes!T728-Cotacoes!T727)/Cotacoes!T727</f>
        <v>0</v>
      </c>
      <c r="U728" s="5">
        <f>(Cotacoes!U728-Cotacoes!U727)/Cotacoes!U727</f>
        <v>1.2722035525684138E-2</v>
      </c>
      <c r="V728" s="5">
        <f>(Cotacoes!V728-Cotacoes!V727)/Cotacoes!V727</f>
        <v>-2.7691242644514312E-3</v>
      </c>
      <c r="W728" s="5"/>
    </row>
    <row r="729" spans="1:23" x14ac:dyDescent="0.2">
      <c r="A729" s="4">
        <v>45623</v>
      </c>
      <c r="B729" s="5">
        <f>(Cotacoes!B729-Cotacoes!B728)/Cotacoes!B728</f>
        <v>2.2001147885975679E-3</v>
      </c>
      <c r="C729" s="5">
        <f>(Cotacoes!C729-Cotacoes!C728)/Cotacoes!C728</f>
        <v>1.2199699699699673E-2</v>
      </c>
      <c r="D729" s="5">
        <f>(Cotacoes!D729-Cotacoes!D728)/Cotacoes!D728</f>
        <v>-3.5005834305718944E-3</v>
      </c>
      <c r="E729" s="5">
        <f>(Cotacoes!E729-Cotacoes!E728)/Cotacoes!E728</f>
        <v>-2.4539877300613459E-2</v>
      </c>
      <c r="F729" s="5">
        <f>(Cotacoes!F729-Cotacoes!F728)/Cotacoes!F728</f>
        <v>-3.4501061571125943E-3</v>
      </c>
      <c r="G729" s="5">
        <f>(Cotacoes!G729-Cotacoes!G728)/Cotacoes!G728</f>
        <v>-1.6592706926490439E-2</v>
      </c>
      <c r="H729" s="5">
        <f>(Cotacoes!H729-Cotacoes!H728)/Cotacoes!H728</f>
        <v>-1.7472572125152366E-2</v>
      </c>
      <c r="I729" s="5">
        <f>(Cotacoes!I729-Cotacoes!I728)/Cotacoes!I728</f>
        <v>-2.8708133971291894E-2</v>
      </c>
      <c r="J729" s="5">
        <f>(Cotacoes!J729-Cotacoes!J728)/Cotacoes!J728</f>
        <v>-1.8604651162790732E-2</v>
      </c>
      <c r="K729" s="5">
        <f>(Cotacoes!K729-Cotacoes!K728)/Cotacoes!K728</f>
        <v>-2.7646129541864111E-2</v>
      </c>
      <c r="L729" s="5">
        <f>(Cotacoes!L729-Cotacoes!L728)/Cotacoes!L728</f>
        <v>-4.2042042042042031E-2</v>
      </c>
      <c r="M729" s="5">
        <f>(Cotacoes!M729-Cotacoes!M728)/Cotacoes!M728</f>
        <v>-5.1502145922747208E-3</v>
      </c>
      <c r="N729" s="5">
        <f>(Cotacoes!N729-Cotacoes!N728)/Cotacoes!N728</f>
        <v>-3.4292035398229948E-2</v>
      </c>
      <c r="O729" s="5">
        <f>(Cotacoes!O729-Cotacoes!O728)/Cotacoes!O728</f>
        <v>3.9931545921277969E-3</v>
      </c>
      <c r="P729" s="5">
        <f>(Cotacoes!P729-Cotacoes!P728)/Cotacoes!P728</f>
        <v>-3.0806092760568154E-2</v>
      </c>
      <c r="Q729" s="5">
        <f>(Cotacoes!Q729-Cotacoes!Q728)/Cotacoes!Q728</f>
        <v>7.4510483451741419E-3</v>
      </c>
      <c r="R729" s="5">
        <f>(Cotacoes!R729-Cotacoes!R728)/Cotacoes!R728</f>
        <v>-5.2519732847601606E-2</v>
      </c>
      <c r="S729" s="5">
        <f>(Cotacoes!S729-Cotacoes!S728)/Cotacoes!S728</f>
        <v>-2.7995183624322691E-2</v>
      </c>
      <c r="T729" s="5">
        <f>(Cotacoes!T729-Cotacoes!T728)/Cotacoes!T728</f>
        <v>-7.026348808030141E-3</v>
      </c>
      <c r="U729" s="5">
        <f>(Cotacoes!U729-Cotacoes!U728)/Cotacoes!U728</f>
        <v>-5.7359563877696008E-2</v>
      </c>
      <c r="V729" s="5">
        <f>(Cotacoes!V729-Cotacoes!V728)/Cotacoes!V728</f>
        <v>-4.6858729607775006E-2</v>
      </c>
      <c r="W729" s="5"/>
    </row>
    <row r="730" spans="1:23" x14ac:dyDescent="0.2">
      <c r="A730" s="4">
        <v>45624</v>
      </c>
      <c r="B730" s="5">
        <f>(Cotacoes!B730-Cotacoes!B729)/Cotacoes!B729</f>
        <v>5.1541471795361867E-3</v>
      </c>
      <c r="C730" s="5">
        <f>(Cotacoes!C730-Cotacoes!C729)/Cotacoes!C729</f>
        <v>-1.0383830891896945E-2</v>
      </c>
      <c r="D730" s="5">
        <f>(Cotacoes!D730-Cotacoes!D729)/Cotacoes!D729</f>
        <v>-1.0245901639344097E-2</v>
      </c>
      <c r="E730" s="5">
        <f>(Cotacoes!E730-Cotacoes!E729)/Cotacoes!E729</f>
        <v>-3.5988819007686967E-2</v>
      </c>
      <c r="F730" s="5">
        <f>(Cotacoes!F730-Cotacoes!F729)/Cotacoes!F729</f>
        <v>-1.6511318242343476E-2</v>
      </c>
      <c r="G730" s="5">
        <f>(Cotacoes!G730-Cotacoes!G729)/Cotacoes!G729</f>
        <v>1.9423190111830527E-2</v>
      </c>
      <c r="H730" s="5">
        <f>(Cotacoes!H730-Cotacoes!H729)/Cotacoes!H729</f>
        <v>-2.9363110008271333E-2</v>
      </c>
      <c r="I730" s="5">
        <f>(Cotacoes!I730-Cotacoes!I729)/Cotacoes!I729</f>
        <v>-3.8177339901477786E-2</v>
      </c>
      <c r="J730" s="5">
        <f>(Cotacoes!J730-Cotacoes!J729)/Cotacoes!J729</f>
        <v>-3.2042035854110855E-2</v>
      </c>
      <c r="K730" s="5">
        <f>(Cotacoes!K730-Cotacoes!K729)/Cotacoes!K729</f>
        <v>-4.1429731925263995E-2</v>
      </c>
      <c r="L730" s="5">
        <f>(Cotacoes!L730-Cotacoes!L729)/Cotacoes!L729</f>
        <v>-6.1650992685475428E-2</v>
      </c>
      <c r="M730" s="5">
        <f>(Cotacoes!M730-Cotacoes!M729)/Cotacoes!M729</f>
        <v>-1.121656600517679E-2</v>
      </c>
      <c r="N730" s="5">
        <f>(Cotacoes!N730-Cotacoes!N729)/Cotacoes!N729</f>
        <v>-2.978235967926687E-2</v>
      </c>
      <c r="O730" s="5">
        <f>(Cotacoes!O730-Cotacoes!O729)/Cotacoes!O729</f>
        <v>3.352272727272726E-2</v>
      </c>
      <c r="P730" s="5">
        <f>(Cotacoes!P730-Cotacoes!P729)/Cotacoes!P729</f>
        <v>-5.2975454705988232E-4</v>
      </c>
      <c r="Q730" s="5">
        <f>(Cotacoes!Q730-Cotacoes!Q729)/Cotacoes!Q729</f>
        <v>2.9927760577915411E-2</v>
      </c>
      <c r="R730" s="5">
        <f>(Cotacoes!R730-Cotacoes!R729)/Cotacoes!R729</f>
        <v>-3.5885933995514291E-2</v>
      </c>
      <c r="S730" s="5">
        <f>(Cotacoes!S730-Cotacoes!S729)/Cotacoes!S729</f>
        <v>-3.9331062248374099E-2</v>
      </c>
      <c r="T730" s="5">
        <f>(Cotacoes!T730-Cotacoes!T729)/Cotacoes!T729</f>
        <v>-2.5271670457417592E-3</v>
      </c>
      <c r="U730" s="5">
        <f>(Cotacoes!U730-Cotacoes!U729)/Cotacoes!U729</f>
        <v>-6.1604224289665645E-2</v>
      </c>
      <c r="V730" s="5">
        <f>(Cotacoes!V730-Cotacoes!V729)/Cotacoes!V729</f>
        <v>-2.3306627822286981E-2</v>
      </c>
      <c r="W730" s="5"/>
    </row>
    <row r="731" spans="1:23" x14ac:dyDescent="0.2">
      <c r="A731" s="4">
        <v>45625</v>
      </c>
      <c r="B731" s="5">
        <f>(Cotacoes!B731-Cotacoes!B730)/Cotacoes!B730</f>
        <v>4.4630139587883283E-3</v>
      </c>
      <c r="C731" s="5">
        <f>(Cotacoes!C731-Cotacoes!C730)/Cotacoes!C730</f>
        <v>2.1735057148210675E-2</v>
      </c>
      <c r="D731" s="5">
        <f>(Cotacoes!D731-Cotacoes!D730)/Cotacoes!D730</f>
        <v>7.9858030168587987E-3</v>
      </c>
      <c r="E731" s="5">
        <f>(Cotacoes!E731-Cotacoes!E730)/Cotacoes!E730</f>
        <v>-2.5371511417180241E-3</v>
      </c>
      <c r="F731" s="5">
        <f>(Cotacoes!F731-Cotacoes!F730)/Cotacoes!F730</f>
        <v>2.0579474681830436E-2</v>
      </c>
      <c r="G731" s="5">
        <f>(Cotacoes!G731-Cotacoes!G730)/Cotacoes!G730</f>
        <v>1.9438029253271708E-2</v>
      </c>
      <c r="H731" s="5">
        <f>(Cotacoes!H731-Cotacoes!H730)/Cotacoes!H730</f>
        <v>1.1930123561994084E-2</v>
      </c>
      <c r="I731" s="5">
        <f>(Cotacoes!I731-Cotacoes!I730)/Cotacoes!I730</f>
        <v>9.2829705505762718E-3</v>
      </c>
      <c r="J731" s="5">
        <f>(Cotacoes!J731-Cotacoes!J730)/Cotacoes!J730</f>
        <v>-1.0324640766365075E-2</v>
      </c>
      <c r="K731" s="5">
        <f>(Cotacoes!K731-Cotacoes!K730)/Cotacoes!K730</f>
        <v>-1.0169491525423813E-2</v>
      </c>
      <c r="L731" s="5">
        <f>(Cotacoes!L731-Cotacoes!L730)/Cotacoes!L730</f>
        <v>1.1135857461024459E-2</v>
      </c>
      <c r="M731" s="5">
        <f>(Cotacoes!M731-Cotacoes!M730)/Cotacoes!M730</f>
        <v>2.6178010471204095E-2</v>
      </c>
      <c r="N731" s="5">
        <f>(Cotacoes!N731-Cotacoes!N730)/Cotacoes!N730</f>
        <v>-3.5419126328218578E-3</v>
      </c>
      <c r="O731" s="5">
        <f>(Cotacoes!O731-Cotacoes!O730)/Cotacoes!O730</f>
        <v>2.5838372732270413E-2</v>
      </c>
      <c r="P731" s="5">
        <f>(Cotacoes!P731-Cotacoes!P730)/Cotacoes!P730</f>
        <v>2.5971731448763229E-2</v>
      </c>
      <c r="Q731" s="5">
        <f>(Cotacoes!Q731-Cotacoes!Q730)/Cotacoes!Q730</f>
        <v>1.4028056112224387E-2</v>
      </c>
      <c r="R731" s="5">
        <f>(Cotacoes!R731-Cotacoes!R730)/Cotacoes!R730</f>
        <v>-1.9940179461615203E-2</v>
      </c>
      <c r="S731" s="5">
        <f>(Cotacoes!S731-Cotacoes!S730)/Cotacoes!S730</f>
        <v>-1.3217279174725987E-2</v>
      </c>
      <c r="T731" s="5">
        <f>(Cotacoes!T731-Cotacoes!T730)/Cotacoes!T730</f>
        <v>1.6974917658981549E-2</v>
      </c>
      <c r="U731" s="5">
        <f>(Cotacoes!U731-Cotacoes!U730)/Cotacoes!U730</f>
        <v>-3.617363344051451E-2</v>
      </c>
      <c r="V731" s="5">
        <f>(Cotacoes!V731-Cotacoes!V730)/Cotacoes!V730</f>
        <v>-1.2677106636838175E-2</v>
      </c>
      <c r="W731" s="5"/>
    </row>
    <row r="732" spans="1:23" x14ac:dyDescent="0.2">
      <c r="A732" s="4">
        <v>45628</v>
      </c>
      <c r="B732" s="5">
        <f>(Cotacoes!B732-Cotacoes!B731)/Cotacoes!B731</f>
        <v>1.8907165815840442E-4</v>
      </c>
      <c r="C732" s="5">
        <f>(Cotacoes!C732-Cotacoes!C731)/Cotacoes!C731</f>
        <v>2.3840088024939567E-3</v>
      </c>
      <c r="D732" s="5">
        <f>(Cotacoes!D732-Cotacoes!D731)/Cotacoes!D731</f>
        <v>6.4553990610328304E-3</v>
      </c>
      <c r="E732" s="5">
        <f>(Cotacoes!E732-Cotacoes!E731)/Cotacoes!E731</f>
        <v>-1.4171511627906998E-2</v>
      </c>
      <c r="F732" s="5">
        <f>(Cotacoes!F732-Cotacoes!F731)/Cotacoes!F731</f>
        <v>2.6532236667551451E-3</v>
      </c>
      <c r="G732" s="5">
        <f>(Cotacoes!G732-Cotacoes!G731)/Cotacoes!G731</f>
        <v>-1.6990749480837513E-3</v>
      </c>
      <c r="H732" s="5">
        <f>(Cotacoes!H732-Cotacoes!H731)/Cotacoes!H731</f>
        <v>-8.4210526315789177E-3</v>
      </c>
      <c r="I732" s="5">
        <f>(Cotacoes!I732-Cotacoes!I731)/Cotacoes!I731</f>
        <v>4.4402156676181595E-3</v>
      </c>
      <c r="J732" s="5">
        <f>(Cotacoes!J732-Cotacoes!J731)/Cotacoes!J731</f>
        <v>-1.5057001505700211E-2</v>
      </c>
      <c r="K732" s="5">
        <f>(Cotacoes!K732-Cotacoes!K731)/Cotacoes!K731</f>
        <v>-2.1404109589041095E-2</v>
      </c>
      <c r="L732" s="5">
        <f>(Cotacoes!L732-Cotacoes!L731)/Cotacoes!L731</f>
        <v>1.2114537444933859E-2</v>
      </c>
      <c r="M732" s="5">
        <f>(Cotacoes!M732-Cotacoes!M731)/Cotacoes!M731</f>
        <v>4.0816326530612283E-2</v>
      </c>
      <c r="N732" s="5">
        <f>(Cotacoes!N732-Cotacoes!N731)/Cotacoes!N731</f>
        <v>-1.303317535545017E-2</v>
      </c>
      <c r="O732" s="5">
        <f>(Cotacoes!O732-Cotacoes!O731)/Cotacoes!O731</f>
        <v>8.306538049303383E-3</v>
      </c>
      <c r="P732" s="5">
        <f>(Cotacoes!P732-Cotacoes!P731)/Cotacoes!P731</f>
        <v>-8.9547098329602736E-3</v>
      </c>
      <c r="Q732" s="5">
        <f>(Cotacoes!Q732-Cotacoes!Q731)/Cotacoes!Q731</f>
        <v>-4.7760210803688922E-3</v>
      </c>
      <c r="R732" s="5">
        <f>(Cotacoes!R732-Cotacoes!R731)/Cotacoes!R731</f>
        <v>-8.8165479823668364E-3</v>
      </c>
      <c r="S732" s="5">
        <f>(Cotacoes!S732-Cotacoes!S731)/Cotacoes!S731</f>
        <v>-1.6007840574975448E-2</v>
      </c>
      <c r="T732" s="5">
        <f>(Cotacoes!T732-Cotacoes!T731)/Cotacoes!T731</f>
        <v>-3.487792725460901E-3</v>
      </c>
      <c r="U732" s="5">
        <f>(Cotacoes!U732-Cotacoes!U731)/Cotacoes!U731</f>
        <v>-2.5576869613566911E-2</v>
      </c>
      <c r="V732" s="5">
        <f>(Cotacoes!V732-Cotacoes!V731)/Cotacoes!V731</f>
        <v>-1.8882175226586371E-3</v>
      </c>
      <c r="W732" s="5"/>
    </row>
    <row r="733" spans="1:23" x14ac:dyDescent="0.2">
      <c r="A733" s="4">
        <v>45629</v>
      </c>
      <c r="B733" s="5">
        <f>(Cotacoes!B733-Cotacoes!B732)/Cotacoes!B732</f>
        <v>1.2854442344045364E-2</v>
      </c>
      <c r="C733" s="5">
        <f>(Cotacoes!C733-Cotacoes!C732)/Cotacoes!C732</f>
        <v>-7.6838638858396386E-3</v>
      </c>
      <c r="D733" s="5">
        <f>(Cotacoes!D733-Cotacoes!D732)/Cotacoes!D732</f>
        <v>8.7463556851313205E-3</v>
      </c>
      <c r="E733" s="5">
        <f>(Cotacoes!E733-Cotacoes!E732)/Cotacoes!E732</f>
        <v>1.1426465167711106E-2</v>
      </c>
      <c r="F733" s="5">
        <f>(Cotacoes!F733-Cotacoes!F732)/Cotacoes!F732</f>
        <v>1.3231013495634894E-3</v>
      </c>
      <c r="G733" s="5">
        <f>(Cotacoes!G733-Cotacoes!G732)/Cotacoes!G732</f>
        <v>1.3993948562783564E-2</v>
      </c>
      <c r="H733" s="5">
        <f>(Cotacoes!H733-Cotacoes!H732)/Cotacoes!H732</f>
        <v>1.2314225053078519E-2</v>
      </c>
      <c r="I733" s="5">
        <f>(Cotacoes!I733-Cotacoes!I732)/Cotacoes!I732</f>
        <v>1.2314493211240939E-2</v>
      </c>
      <c r="J733" s="5">
        <f>(Cotacoes!J733-Cotacoes!J732)/Cotacoes!J732</f>
        <v>1.7034286962218849E-2</v>
      </c>
      <c r="K733" s="5">
        <f>(Cotacoes!K733-Cotacoes!K732)/Cotacoes!K732</f>
        <v>-3.4995625546805904E-3</v>
      </c>
      <c r="L733" s="5">
        <f>(Cotacoes!L733-Cotacoes!L732)/Cotacoes!L732</f>
        <v>9.7932535364526514E-3</v>
      </c>
      <c r="M733" s="5">
        <f>(Cotacoes!M733-Cotacoes!M732)/Cotacoes!M732</f>
        <v>4.5751633986928143E-2</v>
      </c>
      <c r="N733" s="5">
        <f>(Cotacoes!N733-Cotacoes!N732)/Cotacoes!N732</f>
        <v>6.0024009603842389E-3</v>
      </c>
      <c r="O733" s="5">
        <f>(Cotacoes!O733-Cotacoes!O732)/Cotacoes!O732</f>
        <v>2.0993887855434469E-2</v>
      </c>
      <c r="P733" s="5">
        <f>(Cotacoes!P733-Cotacoes!P732)/Cotacoes!P732</f>
        <v>-2.6585577758470792E-2</v>
      </c>
      <c r="Q733" s="5">
        <f>(Cotacoes!Q733-Cotacoes!Q732)/Cotacoes!Q732</f>
        <v>2.1016051629985159E-2</v>
      </c>
      <c r="R733" s="5">
        <f>(Cotacoes!R733-Cotacoes!R732)/Cotacoes!R732</f>
        <v>1.7105713308245196E-3</v>
      </c>
      <c r="S733" s="5">
        <f>(Cotacoes!S733-Cotacoes!S732)/Cotacoes!S732</f>
        <v>-8.3001328021248336E-3</v>
      </c>
      <c r="T733" s="5">
        <f>(Cotacoes!T733-Cotacoes!T732)/Cotacoes!T732</f>
        <v>2.0250000000000056E-2</v>
      </c>
      <c r="U733" s="5">
        <f>(Cotacoes!U733-Cotacoes!U732)/Cotacoes!U732</f>
        <v>1.3694721825963025E-2</v>
      </c>
      <c r="V733" s="5">
        <f>(Cotacoes!V733-Cotacoes!V732)/Cotacoes!V732</f>
        <v>-2.2323117669315166E-2</v>
      </c>
      <c r="W733" s="5"/>
    </row>
    <row r="734" spans="1:23" x14ac:dyDescent="0.2">
      <c r="A734" s="4">
        <v>45630</v>
      </c>
      <c r="B734" s="5">
        <f>(Cotacoes!B734-Cotacoes!B733)/Cotacoes!B733</f>
        <v>-1.1944755505785751E-2</v>
      </c>
      <c r="C734" s="5">
        <f>(Cotacoes!C734-Cotacoes!C733)/Cotacoes!C733</f>
        <v>-1.9542772861356972E-2</v>
      </c>
      <c r="D734" s="5">
        <f>(Cotacoes!D734-Cotacoes!D733)/Cotacoes!D733</f>
        <v>-6.3583815028901399E-3</v>
      </c>
      <c r="E734" s="5">
        <f>(Cotacoes!E734-Cotacoes!E733)/Cotacoes!E733</f>
        <v>5.8309037900874687E-3</v>
      </c>
      <c r="F734" s="5">
        <f>(Cotacoes!F734-Cotacoes!F733)/Cotacoes!F733</f>
        <v>-9.7780126849895486E-3</v>
      </c>
      <c r="G734" s="5">
        <f>(Cotacoes!G734-Cotacoes!G733)/Cotacoes!G733</f>
        <v>7.2734054457292167E-3</v>
      </c>
      <c r="H734" s="5">
        <f>(Cotacoes!H734-Cotacoes!H733)/Cotacoes!H733</f>
        <v>1.2164429530201307E-2</v>
      </c>
      <c r="I734" s="5">
        <f>(Cotacoes!I734-Cotacoes!I733)/Cotacoes!I733</f>
        <v>3.1191515907671337E-3</v>
      </c>
      <c r="J734" s="5">
        <f>(Cotacoes!J734-Cotacoes!J733)/Cotacoes!J733</f>
        <v>-1.7500536826282966E-2</v>
      </c>
      <c r="K734" s="5">
        <f>(Cotacoes!K734-Cotacoes!K733)/Cotacoes!K733</f>
        <v>1.1413520632133363E-2</v>
      </c>
      <c r="L734" s="5">
        <f>(Cotacoes!L734-Cotacoes!L733)/Cotacoes!L733</f>
        <v>1.18534482758622E-2</v>
      </c>
      <c r="M734" s="5">
        <f>(Cotacoes!M734-Cotacoes!M733)/Cotacoes!M733</f>
        <v>5.4687499999998834E-3</v>
      </c>
      <c r="N734" s="5">
        <f>(Cotacoes!N734-Cotacoes!N733)/Cotacoes!N733</f>
        <v>5.96658711217171E-3</v>
      </c>
      <c r="O734" s="5">
        <f>(Cotacoes!O734-Cotacoes!O733)/Cotacoes!O733</f>
        <v>1.6918271733472112E-2</v>
      </c>
      <c r="P734" s="5">
        <f>(Cotacoes!P734-Cotacoes!P733)/Cotacoes!P733</f>
        <v>1.6065690824704803E-3</v>
      </c>
      <c r="Q734" s="5">
        <f>(Cotacoes!Q734-Cotacoes!Q733)/Cotacoes!Q733</f>
        <v>2.5931928687196015E-2</v>
      </c>
      <c r="R734" s="5">
        <f>(Cotacoes!R734-Cotacoes!R733)/Cotacoes!R733</f>
        <v>2.1857923497267777E-2</v>
      </c>
      <c r="S734" s="5">
        <f>(Cotacoes!S734-Cotacoes!S733)/Cotacoes!S733</f>
        <v>-1.6739203213927253E-3</v>
      </c>
      <c r="T734" s="5">
        <f>(Cotacoes!T734-Cotacoes!T733)/Cotacoes!T733</f>
        <v>-2.6954177897574157E-2</v>
      </c>
      <c r="U734" s="5">
        <f>(Cotacoes!U734-Cotacoes!U733)/Cotacoes!U733</f>
        <v>-2.3360540388404117E-2</v>
      </c>
      <c r="V734" s="5">
        <f>(Cotacoes!V734-Cotacoes!V733)/Cotacoes!V733</f>
        <v>1.8188854489164043E-2</v>
      </c>
      <c r="W734" s="5"/>
    </row>
    <row r="735" spans="1:23" x14ac:dyDescent="0.2">
      <c r="A735" s="4">
        <v>45631</v>
      </c>
      <c r="B735" s="5">
        <f>(Cotacoes!B735-Cotacoes!B734)/Cotacoes!B734</f>
        <v>8.4057423498300025E-3</v>
      </c>
      <c r="C735" s="5">
        <f>(Cotacoes!C735-Cotacoes!C734)/Cotacoes!C734</f>
        <v>8.2737871380217706E-3</v>
      </c>
      <c r="D735" s="5">
        <f>(Cotacoes!D735-Cotacoes!D734)/Cotacoes!D734</f>
        <v>1.0180337405468129E-2</v>
      </c>
      <c r="E735" s="5">
        <f>(Cotacoes!E735-Cotacoes!E734)/Cotacoes!E734</f>
        <v>2.1739130434782532E-2</v>
      </c>
      <c r="F735" s="5">
        <f>(Cotacoes!F735-Cotacoes!F734)/Cotacoes!F734</f>
        <v>1.4945289564985382E-2</v>
      </c>
      <c r="G735" s="5">
        <f>(Cotacoes!G735-Cotacoes!G734)/Cotacoes!G734</f>
        <v>-1.2960562858729918E-3</v>
      </c>
      <c r="H735" s="5">
        <f>(Cotacoes!H735-Cotacoes!H734)/Cotacoes!H734</f>
        <v>1.2432656444260287E-2</v>
      </c>
      <c r="I735" s="5">
        <f>(Cotacoes!I735-Cotacoes!I734)/Cotacoes!I734</f>
        <v>4.0111940298507662E-2</v>
      </c>
      <c r="J735" s="5">
        <f>(Cotacoes!J735-Cotacoes!J734)/Cotacoes!J734</f>
        <v>2.2292645612501279E-2</v>
      </c>
      <c r="K735" s="5">
        <f>(Cotacoes!K735-Cotacoes!K734)/Cotacoes!K734</f>
        <v>1.3020833333333365E-2</v>
      </c>
      <c r="L735" s="5">
        <f>(Cotacoes!L735-Cotacoes!L734)/Cotacoes!L734</f>
        <v>2.1299254526091511E-2</v>
      </c>
      <c r="M735" s="5">
        <f>(Cotacoes!M735-Cotacoes!M734)/Cotacoes!M734</f>
        <v>3.4965034965035051E-2</v>
      </c>
      <c r="N735" s="5">
        <f>(Cotacoes!N735-Cotacoes!N734)/Cotacoes!N734</f>
        <v>2.3724792408066558E-2</v>
      </c>
      <c r="O735" s="5">
        <f>(Cotacoes!O735-Cotacoes!O734)/Cotacoes!O734</f>
        <v>-1.7916560020476142E-3</v>
      </c>
      <c r="P735" s="5">
        <f>(Cotacoes!P735-Cotacoes!P734)/Cotacoes!P734</f>
        <v>3.3862056674389186E-3</v>
      </c>
      <c r="Q735" s="5">
        <f>(Cotacoes!Q735-Cotacoes!Q734)/Cotacoes!Q734</f>
        <v>7.8988941548189997E-4</v>
      </c>
      <c r="R735" s="5">
        <f>(Cotacoes!R735-Cotacoes!R734)/Cotacoes!R734</f>
        <v>9.0240641711229804E-3</v>
      </c>
      <c r="S735" s="5">
        <f>(Cotacoes!S735-Cotacoes!S734)/Cotacoes!S734</f>
        <v>1.877934272300465E-2</v>
      </c>
      <c r="T735" s="5">
        <f>(Cotacoes!T735-Cotacoes!T734)/Cotacoes!T734</f>
        <v>2.3923444976076447E-2</v>
      </c>
      <c r="U735" s="5">
        <f>(Cotacoes!U735-Cotacoes!U734)/Cotacoes!U734</f>
        <v>2.0461095100864371E-2</v>
      </c>
      <c r="V735" s="5">
        <f>(Cotacoes!V735-Cotacoes!V734)/Cotacoes!V734</f>
        <v>1.2922843025465598E-2</v>
      </c>
      <c r="W735" s="5"/>
    </row>
    <row r="736" spans="1:23" x14ac:dyDescent="0.2">
      <c r="A736" s="4">
        <v>45632</v>
      </c>
      <c r="B736" s="5">
        <f>(Cotacoes!B736-Cotacoes!B735)/Cotacoes!B735</f>
        <v>7.3990821391777305E-3</v>
      </c>
      <c r="C736" s="5">
        <f>(Cotacoes!C736-Cotacoes!C735)/Cotacoes!C735</f>
        <v>-1.7157776948899566E-2</v>
      </c>
      <c r="D736" s="5">
        <f>(Cotacoes!D736-Cotacoes!D735)/Cotacoes!D735</f>
        <v>-1.5548517132162373E-2</v>
      </c>
      <c r="E736" s="5">
        <f>(Cotacoes!E736-Cotacoes!E735)/Cotacoes!E735</f>
        <v>-2.0567375886524762E-2</v>
      </c>
      <c r="F736" s="5">
        <f>(Cotacoes!F736-Cotacoes!F735)/Cotacoes!F735</f>
        <v>-2.0773073889034949E-2</v>
      </c>
      <c r="G736" s="5">
        <f>(Cotacoes!G736-Cotacoes!G735)/Cotacoes!G735</f>
        <v>1.2235817575083494E-2</v>
      </c>
      <c r="H736" s="5">
        <f>(Cotacoes!H736-Cotacoes!H735)/Cotacoes!H735</f>
        <v>-2.947196070405235E-2</v>
      </c>
      <c r="I736" s="5">
        <f>(Cotacoes!I736-Cotacoes!I735)/Cotacoes!I735</f>
        <v>2.9895366218230223E-4</v>
      </c>
      <c r="J736" s="5">
        <f>(Cotacoes!J736-Cotacoes!J735)/Cotacoes!J735</f>
        <v>-2.6616782469267717E-2</v>
      </c>
      <c r="K736" s="5">
        <f>(Cotacoes!K736-Cotacoes!K735)/Cotacoes!K735</f>
        <v>-2.3136246786632356E-2</v>
      </c>
      <c r="L736" s="5">
        <f>(Cotacoes!L736-Cotacoes!L735)/Cotacoes!L735</f>
        <v>1.5641293013555824E-2</v>
      </c>
      <c r="M736" s="5">
        <f>(Cotacoes!M736-Cotacoes!M735)/Cotacoes!M735</f>
        <v>-1.3513513513513492E-2</v>
      </c>
      <c r="N736" s="5">
        <f>(Cotacoes!N736-Cotacoes!N735)/Cotacoes!N735</f>
        <v>-2.2016222479722045E-2</v>
      </c>
      <c r="O736" s="5">
        <f>(Cotacoes!O736-Cotacoes!O735)/Cotacoes!O735</f>
        <v>5.1282051282059294E-4</v>
      </c>
      <c r="P736" s="5">
        <f>(Cotacoes!P736-Cotacoes!P735)/Cotacoes!P735</f>
        <v>1.7051509769094156E-2</v>
      </c>
      <c r="Q736" s="5">
        <f>(Cotacoes!Q736-Cotacoes!Q735)/Cotacoes!Q735</f>
        <v>5.0513022888713536E-3</v>
      </c>
      <c r="R736" s="5">
        <f>(Cotacoes!R736-Cotacoes!R735)/Cotacoes!R735</f>
        <v>-1.2586949320967293E-2</v>
      </c>
      <c r="S736" s="5">
        <f>(Cotacoes!S736-Cotacoes!S735)/Cotacoes!S735</f>
        <v>-2.0737327188940061E-2</v>
      </c>
      <c r="T736" s="5">
        <f>(Cotacoes!T736-Cotacoes!T735)/Cotacoes!T735</f>
        <v>-2.3610427939006244E-2</v>
      </c>
      <c r="U736" s="5">
        <f>(Cotacoes!U736-Cotacoes!U735)/Cotacoes!U735</f>
        <v>-5.9022874894097611E-2</v>
      </c>
      <c r="V736" s="5">
        <f>(Cotacoes!V736-Cotacoes!V735)/Cotacoes!V735</f>
        <v>6.378986866791809E-3</v>
      </c>
      <c r="W736" s="5"/>
    </row>
    <row r="737" spans="1:23" x14ac:dyDescent="0.2">
      <c r="A737" s="4">
        <v>45635</v>
      </c>
      <c r="B737" s="5">
        <f>(Cotacoes!B737-Cotacoes!B736)/Cotacoes!B736</f>
        <v>1.3480847898847181E-2</v>
      </c>
      <c r="C737" s="5">
        <f>(Cotacoes!C737-Cotacoes!C736)/Cotacoes!C736</f>
        <v>5.3130929791271292E-2</v>
      </c>
      <c r="D737" s="5">
        <f>(Cotacoes!D737-Cotacoes!D736)/Cotacoes!D736</f>
        <v>2.6031003217315024E-2</v>
      </c>
      <c r="E737" s="5">
        <f>(Cotacoes!E737-Cotacoes!E736)/Cotacoes!E736</f>
        <v>5.0687907313541119E-3</v>
      </c>
      <c r="F737" s="5">
        <f>(Cotacoes!F737-Cotacoes!F736)/Cotacoes!F736</f>
        <v>2.6584317937701257E-2</v>
      </c>
      <c r="G737" s="5">
        <f>(Cotacoes!G737-Cotacoes!G736)/Cotacoes!G736</f>
        <v>2.747252747252721E-3</v>
      </c>
      <c r="H737" s="5">
        <f>(Cotacoes!H737-Cotacoes!H736)/Cotacoes!H736</f>
        <v>-2.5305778152679152E-3</v>
      </c>
      <c r="I737" s="5">
        <f>(Cotacoes!I737-Cotacoes!I736)/Cotacoes!I736</f>
        <v>-1.4345487148834548E-2</v>
      </c>
      <c r="J737" s="5">
        <f>(Cotacoes!J737-Cotacoes!J736)/Cotacoes!J736</f>
        <v>1.0981770261356144E-4</v>
      </c>
      <c r="K737" s="5">
        <f>(Cotacoes!K737-Cotacoes!K736)/Cotacoes!K736</f>
        <v>-6.1403508771930076E-3</v>
      </c>
      <c r="L737" s="5">
        <f>(Cotacoes!L737-Cotacoes!L736)/Cotacoes!L736</f>
        <v>7.1868583162217952E-3</v>
      </c>
      <c r="M737" s="5">
        <f>(Cotacoes!M737-Cotacoes!M736)/Cotacoes!M736</f>
        <v>-7.6103500761033377E-4</v>
      </c>
      <c r="N737" s="5">
        <f>(Cotacoes!N737-Cotacoes!N736)/Cotacoes!N736</f>
        <v>3.5545023696683812E-3</v>
      </c>
      <c r="O737" s="5">
        <f>(Cotacoes!O737-Cotacoes!O736)/Cotacoes!O736</f>
        <v>2.3321373654536046E-2</v>
      </c>
      <c r="P737" s="5">
        <f>(Cotacoes!P737-Cotacoes!P736)/Cotacoes!P736</f>
        <v>-1.536849458609842E-2</v>
      </c>
      <c r="Q737" s="5">
        <f>(Cotacoes!Q737-Cotacoes!Q736)/Cotacoes!Q736</f>
        <v>1.869012093607661E-2</v>
      </c>
      <c r="R737" s="5">
        <f>(Cotacoes!R737-Cotacoes!R736)/Cotacoes!R736</f>
        <v>-7.7155317007715678E-3</v>
      </c>
      <c r="S737" s="5">
        <f>(Cotacoes!S737-Cotacoes!S736)/Cotacoes!S736</f>
        <v>-5.7142857142857715E-3</v>
      </c>
      <c r="T737" s="5">
        <f>(Cotacoes!T737-Cotacoes!T736)/Cotacoes!T736</f>
        <v>5.0377833753147538E-3</v>
      </c>
      <c r="U737" s="5">
        <f>(Cotacoes!U737-Cotacoes!U736)/Cotacoes!U736</f>
        <v>-3.9315726290516273E-2</v>
      </c>
      <c r="V737" s="5">
        <f>(Cotacoes!V737-Cotacoes!V736)/Cotacoes!V736</f>
        <v>-1.0067114093959715E-2</v>
      </c>
      <c r="W737" s="5"/>
    </row>
    <row r="738" spans="1:23" x14ac:dyDescent="0.2">
      <c r="A738" s="4">
        <v>45636</v>
      </c>
      <c r="B738" s="5">
        <f>(Cotacoes!B738-Cotacoes!B737)/Cotacoes!B737</f>
        <v>-2.6419594532611775E-2</v>
      </c>
      <c r="C738" s="5">
        <f>(Cotacoes!C738-Cotacoes!C737)/Cotacoes!C737</f>
        <v>-9.0090090090084974E-4</v>
      </c>
      <c r="D738" s="5">
        <f>(Cotacoes!D738-Cotacoes!D737)/Cotacoes!D737</f>
        <v>3.7058152793615325E-3</v>
      </c>
      <c r="E738" s="5">
        <f>(Cotacoes!E738-Cotacoes!E737)/Cotacoes!E737</f>
        <v>1.1887608069164203E-2</v>
      </c>
      <c r="F738" s="5">
        <f>(Cotacoes!F738-Cotacoes!F737)/Cotacoes!F737</f>
        <v>8.3703897462725687E-3</v>
      </c>
      <c r="G738" s="5">
        <f>(Cotacoes!G738-Cotacoes!G737)/Cotacoes!G737</f>
        <v>2.0273972602739717E-2</v>
      </c>
      <c r="H738" s="5">
        <f>(Cotacoes!H738-Cotacoes!H737)/Cotacoes!H737</f>
        <v>6.3424947145878287E-3</v>
      </c>
      <c r="I738" s="5">
        <f>(Cotacoes!I738-Cotacoes!I737)/Cotacoes!I737</f>
        <v>1.3644633110976436E-2</v>
      </c>
      <c r="J738" s="5">
        <f>(Cotacoes!J738-Cotacoes!J737)/Cotacoes!J737</f>
        <v>8.5648402327879788E-3</v>
      </c>
      <c r="K738" s="5">
        <f>(Cotacoes!K738-Cotacoes!K737)/Cotacoes!K737</f>
        <v>1.9417475728155397E-2</v>
      </c>
      <c r="L738" s="5">
        <f>(Cotacoes!L738-Cotacoes!L737)/Cotacoes!L737</f>
        <v>1.6309887869520912E-2</v>
      </c>
      <c r="M738" s="5">
        <f>(Cotacoes!M738-Cotacoes!M737)/Cotacoes!M737</f>
        <v>3.8080731150037265E-3</v>
      </c>
      <c r="N738" s="5">
        <f>(Cotacoes!N738-Cotacoes!N737)/Cotacoes!N737</f>
        <v>1.6528925619834565E-2</v>
      </c>
      <c r="O738" s="5">
        <f>(Cotacoes!O738-Cotacoes!O737)/Cotacoes!O737</f>
        <v>-3.9068369646882102E-2</v>
      </c>
      <c r="P738" s="5">
        <f>(Cotacoes!P738-Cotacoes!P737)/Cotacoes!P737</f>
        <v>-1.0464703795672284E-2</v>
      </c>
      <c r="Q738" s="5">
        <f>(Cotacoes!Q738-Cotacoes!Q737)/Cotacoes!Q737</f>
        <v>-3.0527289546715956E-2</v>
      </c>
      <c r="R738" s="5">
        <f>(Cotacoes!R738-Cotacoes!R737)/Cotacoes!R737</f>
        <v>1.5212981744422004E-2</v>
      </c>
      <c r="S738" s="5">
        <f>(Cotacoes!S738-Cotacoes!S737)/Cotacoes!S737</f>
        <v>1.6227180527383381E-2</v>
      </c>
      <c r="T738" s="5">
        <f>(Cotacoes!T738-Cotacoes!T737)/Cotacoes!T737</f>
        <v>3.7593984962405662E-3</v>
      </c>
      <c r="U738" s="5">
        <f>(Cotacoes!U738-Cotacoes!U737)/Cotacoes!U737</f>
        <v>2.9365823180256323E-2</v>
      </c>
      <c r="V738" s="5">
        <f>(Cotacoes!V738-Cotacoes!V737)/Cotacoes!V737</f>
        <v>1.9209039548022524E-2</v>
      </c>
      <c r="W738" s="5"/>
    </row>
    <row r="739" spans="1:23" x14ac:dyDescent="0.2">
      <c r="A739" s="4">
        <v>45637</v>
      </c>
      <c r="B739" s="5">
        <f>(Cotacoes!B739-Cotacoes!B738)/Cotacoes!B738</f>
        <v>-1.0741543390181858E-2</v>
      </c>
      <c r="C739" s="5">
        <f>(Cotacoes!C739-Cotacoes!C738)/Cotacoes!C738</f>
        <v>-1.5689810640216493E-2</v>
      </c>
      <c r="D739" s="5">
        <f>(Cotacoes!D739-Cotacoes!D738)/Cotacoes!D738</f>
        <v>9.940357852882744E-3</v>
      </c>
      <c r="E739" s="5">
        <f>(Cotacoes!E739-Cotacoes!E738)/Cotacoes!E738</f>
        <v>9.6119615521537763E-3</v>
      </c>
      <c r="F739" s="5">
        <f>(Cotacoes!F739-Cotacoes!F738)/Cotacoes!F738</f>
        <v>7.2632944228275265E-3</v>
      </c>
      <c r="G739" s="5">
        <f>(Cotacoes!G739-Cotacoes!G738)/Cotacoes!G738</f>
        <v>2.9359112065878993E-2</v>
      </c>
      <c r="H739" s="5">
        <f>(Cotacoes!H739-Cotacoes!H738)/Cotacoes!H738</f>
        <v>2.1428571428571346E-2</v>
      </c>
      <c r="I739" s="5">
        <f>(Cotacoes!I739-Cotacoes!I738)/Cotacoes!I738</f>
        <v>8.9739754711336273E-3</v>
      </c>
      <c r="J739" s="5">
        <f>(Cotacoes!J739-Cotacoes!J738)/Cotacoes!J738</f>
        <v>7.4033750680458019E-3</v>
      </c>
      <c r="K739" s="5">
        <f>(Cotacoes!K739-Cotacoes!K738)/Cotacoes!K738</f>
        <v>1.8181818181818101E-2</v>
      </c>
      <c r="L739" s="5">
        <f>(Cotacoes!L739-Cotacoes!L738)/Cotacoes!L738</f>
        <v>2.2066198595787248E-2</v>
      </c>
      <c r="M739" s="5">
        <f>(Cotacoes!M739-Cotacoes!M738)/Cotacoes!M738</f>
        <v>-3.2625189681335334E-2</v>
      </c>
      <c r="N739" s="5">
        <f>(Cotacoes!N739-Cotacoes!N738)/Cotacoes!N738</f>
        <v>1.1614401858304464E-2</v>
      </c>
      <c r="O739" s="5">
        <f>(Cotacoes!O739-Cotacoes!O738)/Cotacoes!O738</f>
        <v>9.3823299452697271E-3</v>
      </c>
      <c r="P739" s="5">
        <f>(Cotacoes!P739-Cotacoes!P738)/Cotacoes!P738</f>
        <v>1.9537551532532775E-2</v>
      </c>
      <c r="Q739" s="5">
        <f>(Cotacoes!Q739-Cotacoes!Q738)/Cotacoes!Q738</f>
        <v>-7.9516539440203562E-3</v>
      </c>
      <c r="R739" s="5">
        <f>(Cotacoes!R739-Cotacoes!R738)/Cotacoes!R738</f>
        <v>1.9314019314019257E-2</v>
      </c>
      <c r="S739" s="5">
        <f>(Cotacoes!S739-Cotacoes!S738)/Cotacoes!S738</f>
        <v>2.7278775781769803E-2</v>
      </c>
      <c r="T739" s="5">
        <f>(Cotacoes!T739-Cotacoes!T738)/Cotacoes!T738</f>
        <v>4.8439450686641822E-2</v>
      </c>
      <c r="U739" s="5">
        <f>(Cotacoes!U739-Cotacoes!U738)/Cotacoes!U738</f>
        <v>2.9135053110773707E-2</v>
      </c>
      <c r="V739" s="5">
        <f>(Cotacoes!V739-Cotacoes!V738)/Cotacoes!V738</f>
        <v>1.3673318551367369E-2</v>
      </c>
      <c r="W739" s="5"/>
    </row>
    <row r="740" spans="1:23" x14ac:dyDescent="0.2">
      <c r="A740" s="4">
        <v>45638</v>
      </c>
      <c r="B740" s="5">
        <f>(Cotacoes!B740-Cotacoes!B739)/Cotacoes!B739</f>
        <v>-7.8102676445375102E-3</v>
      </c>
      <c r="C740" s="5">
        <f>(Cotacoes!C740-Cotacoes!C739)/Cotacoes!C739</f>
        <v>-2.8765115426896304E-2</v>
      </c>
      <c r="D740" s="5">
        <f>(Cotacoes!D740-Cotacoes!D739)/Cotacoes!D739</f>
        <v>-1.7997750281214864E-2</v>
      </c>
      <c r="E740" s="5">
        <f>(Cotacoes!E740-Cotacoes!E739)/Cotacoes!E739</f>
        <v>-2.4682651622002796E-2</v>
      </c>
      <c r="F740" s="5">
        <f>(Cotacoes!F740-Cotacoes!F739)/Cotacoes!F739</f>
        <v>-2.5495750708215168E-2</v>
      </c>
      <c r="G740" s="5">
        <f>(Cotacoes!G740-Cotacoes!G739)/Cotacoes!G739</f>
        <v>-1.2869565217391339E-2</v>
      </c>
      <c r="H740" s="5">
        <f>(Cotacoes!H740-Cotacoes!H739)/Cotacoes!H739</f>
        <v>-1.4397367338543722E-2</v>
      </c>
      <c r="I740" s="5">
        <f>(Cotacoes!I740-Cotacoes!I739)/Cotacoes!I739</f>
        <v>-2.9054254372961667E-2</v>
      </c>
      <c r="J740" s="5">
        <f>(Cotacoes!J740-Cotacoes!J739)/Cotacoes!J739</f>
        <v>-3.0368529125688989E-2</v>
      </c>
      <c r="K740" s="5">
        <f>(Cotacoes!K740-Cotacoes!K739)/Cotacoes!K739</f>
        <v>-3.4863945578231303E-2</v>
      </c>
      <c r="L740" s="5">
        <f>(Cotacoes!L740-Cotacoes!L739)/Cotacoes!L739</f>
        <v>-1.0794896957801711E-2</v>
      </c>
      <c r="M740" s="5">
        <f>(Cotacoes!M740-Cotacoes!M739)/Cotacoes!M739</f>
        <v>-5.0980392156862772E-2</v>
      </c>
      <c r="N740" s="5">
        <f>(Cotacoes!N740-Cotacoes!N739)/Cotacoes!N739</f>
        <v>-3.3295063145809517E-2</v>
      </c>
      <c r="O740" s="5">
        <f>(Cotacoes!O740-Cotacoes!O739)/Cotacoes!O739</f>
        <v>-1.8590240123934905E-2</v>
      </c>
      <c r="P740" s="5">
        <f>(Cotacoes!P740-Cotacoes!P739)/Cotacoes!P739</f>
        <v>-2.9887482419128038E-2</v>
      </c>
      <c r="Q740" s="5">
        <f>(Cotacoes!Q740-Cotacoes!Q739)/Cotacoes!Q739</f>
        <v>-1.7152933632574547E-2</v>
      </c>
      <c r="R740" s="5">
        <f>(Cotacoes!R740-Cotacoes!R739)/Cotacoes!R739</f>
        <v>-2.1561581182620065E-2</v>
      </c>
      <c r="S740" s="5">
        <f>(Cotacoes!S740-Cotacoes!S739)/Cotacoes!S739</f>
        <v>-3.9183937823834114E-2</v>
      </c>
      <c r="T740" s="5">
        <f>(Cotacoes!T740-Cotacoes!T739)/Cotacoes!T739</f>
        <v>-2.2386282448202066E-2</v>
      </c>
      <c r="U740" s="5">
        <f>(Cotacoes!U740-Cotacoes!U739)/Cotacoes!U739</f>
        <v>-4.7478619876142721E-2</v>
      </c>
      <c r="V740" s="5">
        <f>(Cotacoes!V740-Cotacoes!V739)/Cotacoes!V739</f>
        <v>-1.8228217280349981E-2</v>
      </c>
      <c r="W740" s="5"/>
    </row>
    <row r="741" spans="1:23" x14ac:dyDescent="0.2">
      <c r="A741" s="4">
        <v>45639</v>
      </c>
      <c r="B741" s="5">
        <f>(Cotacoes!B741-Cotacoes!B740)/Cotacoes!B740</f>
        <v>9.7916866660266496E-3</v>
      </c>
      <c r="C741" s="5">
        <f>(Cotacoes!C741-Cotacoes!C740)/Cotacoes!C740</f>
        <v>-1.5091492171288383E-2</v>
      </c>
      <c r="D741" s="5">
        <f>(Cotacoes!D741-Cotacoes!D740)/Cotacoes!D740</f>
        <v>-6.3001145475371952E-3</v>
      </c>
      <c r="E741" s="5">
        <f>(Cotacoes!E741-Cotacoes!E740)/Cotacoes!E740</f>
        <v>-1.3015184381778721E-2</v>
      </c>
      <c r="F741" s="5">
        <f>(Cotacoes!F741-Cotacoes!F740)/Cotacoes!F740</f>
        <v>-5.0211416490487529E-3</v>
      </c>
      <c r="G741" s="5">
        <f>(Cotacoes!G741-Cotacoes!G740)/Cotacoes!G740</f>
        <v>-2.4665257223396861E-3</v>
      </c>
      <c r="H741" s="5">
        <f>(Cotacoes!H741-Cotacoes!H740)/Cotacoes!H740</f>
        <v>-1.3355592654424051E-2</v>
      </c>
      <c r="I741" s="5">
        <f>(Cotacoes!I741-Cotacoes!I740)/Cotacoes!I740</f>
        <v>-5.4961832061068616E-3</v>
      </c>
      <c r="J741" s="5">
        <f>(Cotacoes!J741-Cotacoes!J740)/Cotacoes!J740</f>
        <v>-3.4551939366919558E-3</v>
      </c>
      <c r="K741" s="5">
        <f>(Cotacoes!K741-Cotacoes!K740)/Cotacoes!K740</f>
        <v>-1.3215859030837036E-2</v>
      </c>
      <c r="L741" s="5">
        <f>(Cotacoes!L741-Cotacoes!L740)/Cotacoes!L740</f>
        <v>-4.9603174603175312E-3</v>
      </c>
      <c r="M741" s="5">
        <f>(Cotacoes!M741-Cotacoes!M740)/Cotacoes!M740</f>
        <v>-1.6528925619834359E-3</v>
      </c>
      <c r="N741" s="5">
        <f>(Cotacoes!N741-Cotacoes!N740)/Cotacoes!N740</f>
        <v>-2.3752969121139636E-3</v>
      </c>
      <c r="O741" s="5">
        <f>(Cotacoes!O741-Cotacoes!O740)/Cotacoes!O740</f>
        <v>1.1312812417784786E-2</v>
      </c>
      <c r="P741" s="5">
        <f>(Cotacoes!P741-Cotacoes!P740)/Cotacoes!P740</f>
        <v>3.6245016310257855E-3</v>
      </c>
      <c r="Q741" s="5">
        <f>(Cotacoes!Q741-Cotacoes!Q740)/Cotacoes!Q740</f>
        <v>-9.297015168814227E-3</v>
      </c>
      <c r="R741" s="5">
        <f>(Cotacoes!R741-Cotacoes!R740)/Cotacoes!R740</f>
        <v>-1.8697829716193614E-2</v>
      </c>
      <c r="S741" s="5">
        <f>(Cotacoes!S741-Cotacoes!S740)/Cotacoes!S740</f>
        <v>-8.0889787664308044E-3</v>
      </c>
      <c r="T741" s="5">
        <f>(Cotacoes!T741-Cotacoes!T740)/Cotacoes!T740</f>
        <v>1.0962241169305794E-2</v>
      </c>
      <c r="U741" s="5">
        <f>(Cotacoes!U741-Cotacoes!U740)/Cotacoes!U740</f>
        <v>-4.4891640866872938E-2</v>
      </c>
      <c r="V741" s="5">
        <f>(Cotacoes!V741-Cotacoes!V740)/Cotacoes!V740</f>
        <v>-2.52506498329001E-2</v>
      </c>
      <c r="W741" s="5"/>
    </row>
    <row r="742" spans="1:23" x14ac:dyDescent="0.2">
      <c r="A742" s="4">
        <v>45642</v>
      </c>
      <c r="B742" s="5">
        <f>(Cotacoes!B742-Cotacoes!B741)/Cotacoes!B741</f>
        <v>-3.1086605190607436E-2</v>
      </c>
      <c r="C742" s="5">
        <f>(Cotacoes!C742-Cotacoes!C741)/Cotacoes!C741</f>
        <v>-5.746025665581524E-4</v>
      </c>
      <c r="D742" s="5">
        <f>(Cotacoes!D742-Cotacoes!D741)/Cotacoes!D741</f>
        <v>-4.0345821325648576E-3</v>
      </c>
      <c r="E742" s="5">
        <f>(Cotacoes!E742-Cotacoes!E741)/Cotacoes!E741</f>
        <v>-1.0989010989011014E-2</v>
      </c>
      <c r="F742" s="5">
        <f>(Cotacoes!F742-Cotacoes!F741)/Cotacoes!F741</f>
        <v>-9.5617529880477944E-3</v>
      </c>
      <c r="G742" s="5">
        <f>(Cotacoes!G742-Cotacoes!G741)/Cotacoes!G741</f>
        <v>-9.5372659837513092E-3</v>
      </c>
      <c r="H742" s="5">
        <f>(Cotacoes!H742-Cotacoes!H741)/Cotacoes!H741</f>
        <v>-1.4382402707275798E-2</v>
      </c>
      <c r="I742" s="5">
        <f>(Cotacoes!I742-Cotacoes!I741)/Cotacoes!I741</f>
        <v>-1.3509364445808957E-2</v>
      </c>
      <c r="J742" s="5">
        <f>(Cotacoes!J742-Cotacoes!J741)/Cotacoes!J741</f>
        <v>-4.5856168213845947E-3</v>
      </c>
      <c r="K742" s="5">
        <f>(Cotacoes!K742-Cotacoes!K741)/Cotacoes!K741</f>
        <v>-1.6071428571428546E-2</v>
      </c>
      <c r="L742" s="5">
        <f>(Cotacoes!L742-Cotacoes!L741)/Cotacoes!L741</f>
        <v>-9.9700897308075426E-3</v>
      </c>
      <c r="M742" s="5">
        <f>(Cotacoes!M742-Cotacoes!M741)/Cotacoes!M741</f>
        <v>-1.8211920529801376E-2</v>
      </c>
      <c r="N742" s="5">
        <f>(Cotacoes!N742-Cotacoes!N741)/Cotacoes!N741</f>
        <v>-1.5476190476190569E-2</v>
      </c>
      <c r="O742" s="5">
        <f>(Cotacoes!O742-Cotacoes!O741)/Cotacoes!O741</f>
        <v>2.7315296566077115E-2</v>
      </c>
      <c r="P742" s="5">
        <f>(Cotacoes!P742-Cotacoes!P741)/Cotacoes!P741</f>
        <v>3.7919826652221171E-3</v>
      </c>
      <c r="Q742" s="5">
        <f>(Cotacoes!Q742-Cotacoes!Q741)/Cotacoes!Q741</f>
        <v>2.3378333882120423E-2</v>
      </c>
      <c r="R742" s="5">
        <f>(Cotacoes!R742-Cotacoes!R741)/Cotacoes!R741</f>
        <v>-4.2871725076556705E-2</v>
      </c>
      <c r="S742" s="5">
        <f>(Cotacoes!S742-Cotacoes!S741)/Cotacoes!S741</f>
        <v>-1.121304791029556E-2</v>
      </c>
      <c r="T742" s="5">
        <f>(Cotacoes!T742-Cotacoes!T741)/Cotacoes!T741</f>
        <v>-8.4337349397590709E-3</v>
      </c>
      <c r="U742" s="5">
        <f>(Cotacoes!U742-Cotacoes!U741)/Cotacoes!U741</f>
        <v>-4.7325769854132928E-2</v>
      </c>
      <c r="V742" s="5">
        <f>(Cotacoes!V742-Cotacoes!V741)/Cotacoes!V741</f>
        <v>3.8095238095238637E-3</v>
      </c>
      <c r="W742" s="5"/>
    </row>
    <row r="743" spans="1:23" x14ac:dyDescent="0.2">
      <c r="A743" s="4">
        <v>45643</v>
      </c>
      <c r="B743" s="5">
        <f>(Cotacoes!B743-Cotacoes!B742)/Cotacoes!B742</f>
        <v>-7.8492935635791103E-4</v>
      </c>
      <c r="C743" s="5">
        <f>(Cotacoes!C743-Cotacoes!C742)/Cotacoes!C742</f>
        <v>5.1743963204293432E-3</v>
      </c>
      <c r="D743" s="5">
        <f>(Cotacoes!D743-Cotacoes!D742)/Cotacoes!D742</f>
        <v>9.5486111111110616E-3</v>
      </c>
      <c r="E743" s="5">
        <f>(Cotacoes!E743-Cotacoes!E742)/Cotacoes!E742</f>
        <v>5.5555555555555029E-3</v>
      </c>
      <c r="F743" s="5">
        <f>(Cotacoes!F743-Cotacoes!F742)/Cotacoes!F742</f>
        <v>1.5553767766157101E-2</v>
      </c>
      <c r="G743" s="5">
        <f>(Cotacoes!G743-Cotacoes!G742)/Cotacoes!G742</f>
        <v>1.3908701854493602E-2</v>
      </c>
      <c r="H743" s="5">
        <f>(Cotacoes!H743-Cotacoes!H742)/Cotacoes!H742</f>
        <v>1.0729613733905579E-2</v>
      </c>
      <c r="I743" s="5">
        <f>(Cotacoes!I743-Cotacoes!I742)/Cotacoes!I742</f>
        <v>4.0460628695921392E-3</v>
      </c>
      <c r="J743" s="5">
        <f>(Cotacoes!J743-Cotacoes!J742)/Cotacoes!J742</f>
        <v>1.786516853932588E-2</v>
      </c>
      <c r="K743" s="5">
        <f>(Cotacoes!K743-Cotacoes!K742)/Cotacoes!K742</f>
        <v>7.259528130671513E-3</v>
      </c>
      <c r="L743" s="5">
        <f>(Cotacoes!L743-Cotacoes!L742)/Cotacoes!L742</f>
        <v>0</v>
      </c>
      <c r="M743" s="5">
        <f>(Cotacoes!M743-Cotacoes!M742)/Cotacoes!M742</f>
        <v>2.0236087689713342E-2</v>
      </c>
      <c r="N743" s="5">
        <f>(Cotacoes!N743-Cotacoes!N742)/Cotacoes!N742</f>
        <v>1.2091898428052948E-3</v>
      </c>
      <c r="O743" s="5">
        <f>(Cotacoes!O743-Cotacoes!O742)/Cotacoes!O742</f>
        <v>2.4816409217523344E-2</v>
      </c>
      <c r="P743" s="5">
        <f>(Cotacoes!P743-Cotacoes!P742)/Cotacoes!P742</f>
        <v>1.9787731606403926E-2</v>
      </c>
      <c r="Q743" s="5">
        <f>(Cotacoes!Q743-Cotacoes!Q742)/Cotacoes!Q742</f>
        <v>0</v>
      </c>
      <c r="R743" s="5">
        <f>(Cotacoes!R743-Cotacoes!R742)/Cotacoes!R742</f>
        <v>1.1731247778172835E-2</v>
      </c>
      <c r="S743" s="5">
        <f>(Cotacoes!S743-Cotacoes!S742)/Cotacoes!S742</f>
        <v>2.9553264604810975E-2</v>
      </c>
      <c r="T743" s="5">
        <f>(Cotacoes!T743-Cotacoes!T742)/Cotacoes!T742</f>
        <v>4.1312272174970043E-3</v>
      </c>
      <c r="U743" s="5">
        <f>(Cotacoes!U743-Cotacoes!U742)/Cotacoes!U742</f>
        <v>1.5311330384484494E-2</v>
      </c>
      <c r="V743" s="5">
        <f>(Cotacoes!V743-Cotacoes!V742)/Cotacoes!V742</f>
        <v>-9.1081593927894496E-3</v>
      </c>
      <c r="W743" s="5"/>
    </row>
    <row r="744" spans="1:23" x14ac:dyDescent="0.2">
      <c r="A744" s="4">
        <v>45644</v>
      </c>
      <c r="B744" s="5">
        <f>(Cotacoes!B744-Cotacoes!B743)/Cotacoes!B743</f>
        <v>5.8915946582874541E-3</v>
      </c>
      <c r="C744" s="5">
        <f>(Cotacoes!C744-Cotacoes!C743)/Cotacoes!C743</f>
        <v>-2.3260247855100207E-2</v>
      </c>
      <c r="D744" s="5">
        <f>(Cotacoes!D744-Cotacoes!D743)/Cotacoes!D743</f>
        <v>-2.6081971911722662E-2</v>
      </c>
      <c r="E744" s="5">
        <f>(Cotacoes!E744-Cotacoes!E743)/Cotacoes!E743</f>
        <v>-2.8729281767955715E-2</v>
      </c>
      <c r="F744" s="5">
        <f>(Cotacoes!F744-Cotacoes!F743)/Cotacoes!F743</f>
        <v>-2.2445207288090688E-2</v>
      </c>
      <c r="G744" s="5">
        <f>(Cotacoes!G744-Cotacoes!G743)/Cotacoes!G743</f>
        <v>-1.4773126978543726E-2</v>
      </c>
      <c r="H744" s="5">
        <f>(Cotacoes!H744-Cotacoes!H743)/Cotacoes!H743</f>
        <v>-2.8025477707006374E-2</v>
      </c>
      <c r="I744" s="5">
        <f>(Cotacoes!I744-Cotacoes!I743)/Cotacoes!I743</f>
        <v>-1.9528828270303753E-2</v>
      </c>
      <c r="J744" s="5">
        <f>(Cotacoes!J744-Cotacoes!J743)/Cotacoes!J743</f>
        <v>-2.9694226735842783E-2</v>
      </c>
      <c r="K744" s="5">
        <f>(Cotacoes!K744-Cotacoes!K743)/Cotacoes!K743</f>
        <v>-4.1441441441441358E-2</v>
      </c>
      <c r="L744" s="5">
        <f>(Cotacoes!L744-Cotacoes!L743)/Cotacoes!L743</f>
        <v>-2.6183282980866043E-2</v>
      </c>
      <c r="M744" s="5">
        <f>(Cotacoes!M744-Cotacoes!M743)/Cotacoes!M743</f>
        <v>-2.5619834710743843E-2</v>
      </c>
      <c r="N744" s="5">
        <f>(Cotacoes!N744-Cotacoes!N743)/Cotacoes!N743</f>
        <v>-3.7439613526570006E-2</v>
      </c>
      <c r="O744" s="5">
        <f>(Cotacoes!O744-Cotacoes!O743)/Cotacoes!O743</f>
        <v>-3.8052878675562125E-2</v>
      </c>
      <c r="P744" s="5">
        <f>(Cotacoes!P744-Cotacoes!P743)/Cotacoes!P743</f>
        <v>-2.7694478744046576E-2</v>
      </c>
      <c r="Q744" s="5">
        <f>(Cotacoes!Q744-Cotacoes!Q743)/Cotacoes!Q743</f>
        <v>-8.8481338481338021E-3</v>
      </c>
      <c r="R744" s="5">
        <f>(Cotacoes!R744-Cotacoes!R743)/Cotacoes!R743</f>
        <v>-5.4813773717498321E-2</v>
      </c>
      <c r="S744" s="5">
        <f>(Cotacoes!S744-Cotacoes!S743)/Cotacoes!S743</f>
        <v>-4.8731642189586144E-2</v>
      </c>
      <c r="T744" s="5">
        <f>(Cotacoes!T744-Cotacoes!T743)/Cotacoes!T743</f>
        <v>-3.3881897386253593E-2</v>
      </c>
      <c r="U744" s="5">
        <f>(Cotacoes!U744-Cotacoes!U743)/Cotacoes!U743</f>
        <v>-2.9490616621983882E-2</v>
      </c>
      <c r="V744" s="5">
        <f>(Cotacoes!V744-Cotacoes!V743)/Cotacoes!V743</f>
        <v>-1.8766756032171521E-2</v>
      </c>
      <c r="W744" s="5"/>
    </row>
    <row r="745" spans="1:23" x14ac:dyDescent="0.2">
      <c r="A745" s="4">
        <v>45645</v>
      </c>
      <c r="B745" s="5">
        <f>(Cotacoes!B745-Cotacoes!B744)/Cotacoes!B744</f>
        <v>-8.3951581413510296E-3</v>
      </c>
      <c r="C745" s="5">
        <f>(Cotacoes!C745-Cotacoes!C744)/Cotacoes!C744</f>
        <v>-1.8934218231504957E-2</v>
      </c>
      <c r="D745" s="5">
        <f>(Cotacoes!D745-Cotacoes!D744)/Cotacoes!D744</f>
        <v>-3.8257798705119326E-3</v>
      </c>
      <c r="E745" s="5">
        <f>(Cotacoes!E745-Cotacoes!E744)/Cotacoes!E744</f>
        <v>5.6882821387940303E-3</v>
      </c>
      <c r="F745" s="5">
        <f>(Cotacoes!F745-Cotacoes!F744)/Cotacoes!F744</f>
        <v>-9.1842247433820464E-3</v>
      </c>
      <c r="G745" s="5">
        <f>(Cotacoes!G745-Cotacoes!G744)/Cotacoes!G744</f>
        <v>-1.0353445198143615E-2</v>
      </c>
      <c r="H745" s="5">
        <f>(Cotacoes!H745-Cotacoes!H744)/Cotacoes!H744</f>
        <v>6.5530799475752985E-3</v>
      </c>
      <c r="I745" s="5">
        <f>(Cotacoes!I745-Cotacoes!I744)/Cotacoes!I744</f>
        <v>1.043313310148599E-2</v>
      </c>
      <c r="J745" s="5">
        <f>(Cotacoes!J745-Cotacoes!J744)/Cotacoes!J744</f>
        <v>-8.0773606370876903E-3</v>
      </c>
      <c r="K745" s="5">
        <f>(Cotacoes!K745-Cotacoes!K744)/Cotacoes!K744</f>
        <v>9.3984962406013027E-4</v>
      </c>
      <c r="L745" s="5">
        <f>(Cotacoes!L745-Cotacoes!L744)/Cotacoes!L744</f>
        <v>1.2409513960703125E-2</v>
      </c>
      <c r="M745" s="5">
        <f>(Cotacoes!M745-Cotacoes!M744)/Cotacoes!M744</f>
        <v>1.696352841391124E-3</v>
      </c>
      <c r="N745" s="5">
        <f>(Cotacoes!N745-Cotacoes!N744)/Cotacoes!N744</f>
        <v>8.7829360100375661E-3</v>
      </c>
      <c r="O745" s="5">
        <f>(Cotacoes!O745-Cotacoes!O744)/Cotacoes!O744</f>
        <v>-1.4898535833547348E-2</v>
      </c>
      <c r="P745" s="5">
        <f>(Cotacoes!P745-Cotacoes!P744)/Cotacoes!P744</f>
        <v>1.4332365747460073E-2</v>
      </c>
      <c r="Q745" s="5">
        <f>(Cotacoes!Q745-Cotacoes!Q744)/Cotacoes!Q744</f>
        <v>-1.4770329491965535E-2</v>
      </c>
      <c r="R745" s="5">
        <f>(Cotacoes!R745-Cotacoes!R744)/Cotacoes!R744</f>
        <v>3.2713754646840246E-2</v>
      </c>
      <c r="S745" s="5">
        <f>(Cotacoes!S745-Cotacoes!S744)/Cotacoes!S744</f>
        <v>1.2982456140350911E-2</v>
      </c>
      <c r="T745" s="5">
        <f>(Cotacoes!T745-Cotacoes!T744)/Cotacoes!T744</f>
        <v>-6.0120240480962418E-3</v>
      </c>
      <c r="U745" s="5">
        <f>(Cotacoes!U745-Cotacoes!U744)/Cotacoes!U744</f>
        <v>8.7707182320441959E-2</v>
      </c>
      <c r="V745" s="5">
        <f>(Cotacoes!V745-Cotacoes!V744)/Cotacoes!V744</f>
        <v>1.4832162373145941E-2</v>
      </c>
      <c r="W745" s="5"/>
    </row>
    <row r="746" spans="1:23" x14ac:dyDescent="0.2">
      <c r="A746" s="4">
        <v>45646</v>
      </c>
      <c r="B746" s="5">
        <f>(Cotacoes!B746-Cotacoes!B745)/Cotacoes!B745</f>
        <v>6.8911202992722376E-4</v>
      </c>
      <c r="C746" s="5">
        <f>(Cotacoes!C746-Cotacoes!C745)/Cotacoes!C745</f>
        <v>1.5718265021886176E-2</v>
      </c>
      <c r="D746" s="5">
        <f>(Cotacoes!D746-Cotacoes!D745)/Cotacoes!D745</f>
        <v>-8.5672082717872713E-3</v>
      </c>
      <c r="E746" s="5">
        <f>(Cotacoes!E746-Cotacoes!E745)/Cotacoes!E745</f>
        <v>1.1312217194570163E-2</v>
      </c>
      <c r="F746" s="5">
        <f>(Cotacoes!F746-Cotacoes!F745)/Cotacoes!F745</f>
        <v>-7.0883315158123779E-3</v>
      </c>
      <c r="G746" s="5">
        <f>(Cotacoes!G746-Cotacoes!G745)/Cotacoes!G745</f>
        <v>-1.6233766233766208E-2</v>
      </c>
      <c r="H746" s="5">
        <f>(Cotacoes!H746-Cotacoes!H745)/Cotacoes!H745</f>
        <v>7.8124999999999879E-3</v>
      </c>
      <c r="I746" s="5">
        <f>(Cotacoes!I746-Cotacoes!I745)/Cotacoes!I745</f>
        <v>1.1264080100125138E-2</v>
      </c>
      <c r="J746" s="5">
        <f>(Cotacoes!J746-Cotacoes!J745)/Cotacoes!J745</f>
        <v>-6.5374469549259453E-3</v>
      </c>
      <c r="K746" s="5">
        <f>(Cotacoes!K746-Cotacoes!K745)/Cotacoes!K745</f>
        <v>2.2535211267605652E-2</v>
      </c>
      <c r="L746" s="5">
        <f>(Cotacoes!L746-Cotacoes!L745)/Cotacoes!L745</f>
        <v>2.8600612870275911E-2</v>
      </c>
      <c r="M746" s="5">
        <f>(Cotacoes!M746-Cotacoes!M745)/Cotacoes!M745</f>
        <v>6.7739204064352302E-3</v>
      </c>
      <c r="N746" s="5">
        <f>(Cotacoes!N746-Cotacoes!N745)/Cotacoes!N745</f>
        <v>1.6169154228855821E-2</v>
      </c>
      <c r="O746" s="5">
        <f>(Cotacoes!O746-Cotacoes!O745)/Cotacoes!O745</f>
        <v>-2.1903520208605042E-2</v>
      </c>
      <c r="P746" s="5">
        <f>(Cotacoes!P746-Cotacoes!P745)/Cotacoes!P745</f>
        <v>-1.8064746914684279E-2</v>
      </c>
      <c r="Q746" s="5">
        <f>(Cotacoes!Q746-Cotacoes!Q745)/Cotacoes!Q745</f>
        <v>-1.7792421746293332E-2</v>
      </c>
      <c r="R746" s="5">
        <f>(Cotacoes!R746-Cotacoes!R745)/Cotacoes!R745</f>
        <v>1.619870410367168E-2</v>
      </c>
      <c r="S746" s="5">
        <f>(Cotacoes!S746-Cotacoes!S745)/Cotacoes!S745</f>
        <v>8.6595081399376515E-3</v>
      </c>
      <c r="T746" s="5">
        <f>(Cotacoes!T746-Cotacoes!T745)/Cotacoes!T745</f>
        <v>1.4868951612903311E-2</v>
      </c>
      <c r="U746" s="5">
        <f>(Cotacoes!U746-Cotacoes!U745)/Cotacoes!U745</f>
        <v>3.4603174603174712E-2</v>
      </c>
      <c r="V746" s="5">
        <f>(Cotacoes!V746-Cotacoes!V745)/Cotacoes!V745</f>
        <v>1.9615384615384677E-2</v>
      </c>
      <c r="W746" s="5"/>
    </row>
    <row r="747" spans="1:23" x14ac:dyDescent="0.2">
      <c r="A747" s="4">
        <v>45649</v>
      </c>
      <c r="B747" s="5">
        <f>(Cotacoes!B747-Cotacoes!B746)/Cotacoes!B746</f>
        <v>-5.0172159370389085E-3</v>
      </c>
      <c r="C747" s="5">
        <f>(Cotacoes!C747-Cotacoes!C746)/Cotacoes!C746</f>
        <v>4.3095004897160819E-3</v>
      </c>
      <c r="D747" s="5">
        <f>(Cotacoes!D747-Cotacoes!D746)/Cotacoes!D746</f>
        <v>2.9797377830744962E-4</v>
      </c>
      <c r="E747" s="5">
        <f>(Cotacoes!E747-Cotacoes!E746)/Cotacoes!E746</f>
        <v>-1.9388516032811318E-2</v>
      </c>
      <c r="F747" s="5">
        <f>(Cotacoes!F747-Cotacoes!F746)/Cotacoes!F746</f>
        <v>7.4135090609554095E-3</v>
      </c>
      <c r="G747" s="5">
        <f>(Cotacoes!G747-Cotacoes!G746)/Cotacoes!G746</f>
        <v>-2.2185551888522202E-2</v>
      </c>
      <c r="H747" s="5">
        <f>(Cotacoes!H747-Cotacoes!H746)/Cotacoes!H746</f>
        <v>-6.4599483204133756E-3</v>
      </c>
      <c r="I747" s="5">
        <f>(Cotacoes!I747-Cotacoes!I746)/Cotacoes!I746</f>
        <v>-1.3613861386138654E-2</v>
      </c>
      <c r="J747" s="5">
        <f>(Cotacoes!J747-Cotacoes!J746)/Cotacoes!J746</f>
        <v>2.0549526668205968E-2</v>
      </c>
      <c r="K747" s="5">
        <f>(Cotacoes!K747-Cotacoes!K746)/Cotacoes!K746</f>
        <v>-1.8365472910927553E-2</v>
      </c>
      <c r="L747" s="5">
        <f>(Cotacoes!L747-Cotacoes!L746)/Cotacoes!L746</f>
        <v>-9.9304865938428855E-4</v>
      </c>
      <c r="M747" s="5">
        <f>(Cotacoes!M747-Cotacoes!M746)/Cotacoes!M746</f>
        <v>-8.4104289318753464E-4</v>
      </c>
      <c r="N747" s="5">
        <f>(Cotacoes!N747-Cotacoes!N746)/Cotacoes!N746</f>
        <v>-1.346389228886162E-2</v>
      </c>
      <c r="O747" s="5">
        <f>(Cotacoes!O747-Cotacoes!O746)/Cotacoes!O746</f>
        <v>-7.9978672354038167E-3</v>
      </c>
      <c r="P747" s="5">
        <f>(Cotacoes!P747-Cotacoes!P746)/Cotacoes!P746</f>
        <v>1.074681238615671E-2</v>
      </c>
      <c r="Q747" s="5">
        <f>(Cotacoes!Q747-Cotacoes!Q746)/Cotacoes!Q746</f>
        <v>2.7172089902717286E-2</v>
      </c>
      <c r="R747" s="5">
        <f>(Cotacoes!R747-Cotacoes!R746)/Cotacoes!R746</f>
        <v>-2.798441374424368E-2</v>
      </c>
      <c r="S747" s="5">
        <f>(Cotacoes!S747-Cotacoes!S746)/Cotacoes!S746</f>
        <v>-4.0865384615384658E-2</v>
      </c>
      <c r="T747" s="5">
        <f>(Cotacoes!T747-Cotacoes!T746)/Cotacoes!T746</f>
        <v>-2.5329029053886343E-2</v>
      </c>
      <c r="U747" s="5">
        <f>(Cotacoes!U747-Cotacoes!U746)/Cotacoes!U746</f>
        <v>-2.362687941086232E-2</v>
      </c>
      <c r="V747" s="5">
        <f>(Cotacoes!V747-Cotacoes!V746)/Cotacoes!V746</f>
        <v>-2.7536778574122987E-2</v>
      </c>
      <c r="W747" s="5"/>
    </row>
    <row r="748" spans="1:23" x14ac:dyDescent="0.2">
      <c r="A748" s="4">
        <v>45652</v>
      </c>
      <c r="B748" s="5">
        <f>(Cotacoes!B748-Cotacoes!B747)/Cotacoes!B747</f>
        <v>3.9549139806215397E-4</v>
      </c>
      <c r="C748" s="5">
        <f>(Cotacoes!C748-Cotacoes!C747)/Cotacoes!C747</f>
        <v>2.9256875365710664E-3</v>
      </c>
      <c r="D748" s="5">
        <f>(Cotacoes!D748-Cotacoes!D747)/Cotacoes!D747</f>
        <v>3.8725052129878631E-3</v>
      </c>
      <c r="E748" s="5">
        <f>(Cotacoes!E748-Cotacoes!E747)/Cotacoes!E747</f>
        <v>6.4638783269961274E-3</v>
      </c>
      <c r="F748" s="5">
        <f>(Cotacoes!F748-Cotacoes!F747)/Cotacoes!F747</f>
        <v>1.2537476151539953E-2</v>
      </c>
      <c r="G748" s="5">
        <f>(Cotacoes!G748-Cotacoes!G747)/Cotacoes!G747</f>
        <v>7.6879804987812434E-3</v>
      </c>
      <c r="H748" s="5">
        <f>(Cotacoes!H748-Cotacoes!H747)/Cotacoes!H747</f>
        <v>1.1703511053315976E-2</v>
      </c>
      <c r="I748" s="5">
        <f>(Cotacoes!I748-Cotacoes!I747)/Cotacoes!I747</f>
        <v>6.2735257214554356E-3</v>
      </c>
      <c r="J748" s="5">
        <f>(Cotacoes!J748-Cotacoes!J747)/Cotacoes!J747</f>
        <v>1.809954751131183E-3</v>
      </c>
      <c r="K748" s="5">
        <f>(Cotacoes!K748-Cotacoes!K747)/Cotacoes!K747</f>
        <v>7.4836295603367704E-3</v>
      </c>
      <c r="L748" s="5">
        <f>(Cotacoes!L748-Cotacoes!L747)/Cotacoes!L747</f>
        <v>6.9582504970179208E-3</v>
      </c>
      <c r="M748" s="5">
        <f>(Cotacoes!M748-Cotacoes!M747)/Cotacoes!M747</f>
        <v>-6.7340067340067398E-3</v>
      </c>
      <c r="N748" s="5">
        <f>(Cotacoes!N748-Cotacoes!N747)/Cotacoes!N747</f>
        <v>1.1166253101736955E-2</v>
      </c>
      <c r="O748" s="5">
        <f>(Cotacoes!O748-Cotacoes!O747)/Cotacoes!O747</f>
        <v>-5.3748992206404528E-4</v>
      </c>
      <c r="P748" s="5">
        <f>(Cotacoes!P748-Cotacoes!P747)/Cotacoes!P747</f>
        <v>1.2434672914038524E-2</v>
      </c>
      <c r="Q748" s="5">
        <f>(Cotacoes!Q748-Cotacoes!Q747)/Cotacoes!Q747</f>
        <v>1.1430437622468904E-2</v>
      </c>
      <c r="R748" s="5">
        <f>(Cotacoes!R748-Cotacoes!R747)/Cotacoes!R747</f>
        <v>-3.6443148688047162E-3</v>
      </c>
      <c r="S748" s="5">
        <f>(Cotacoes!S748-Cotacoes!S747)/Cotacoes!S747</f>
        <v>-3.9384174722520383E-3</v>
      </c>
      <c r="T748" s="5">
        <f>(Cotacoes!T748-Cotacoes!T747)/Cotacoes!T747</f>
        <v>1.6560509554140092E-2</v>
      </c>
      <c r="U748" s="5">
        <f>(Cotacoes!U748-Cotacoes!U747)/Cotacoes!U747</f>
        <v>-1.0685103708359518E-2</v>
      </c>
      <c r="V748" s="5">
        <f>(Cotacoes!V748-Cotacoes!V747)/Cotacoes!V747</f>
        <v>-1.9006982156710706E-2</v>
      </c>
      <c r="W748" s="5"/>
    </row>
    <row r="749" spans="1:23" x14ac:dyDescent="0.2">
      <c r="A749" s="4">
        <v>45653</v>
      </c>
      <c r="B749" s="5">
        <f>(Cotacoes!B749-Cotacoes!B748)/Cotacoes!B748</f>
        <v>6.6218620280686646E-3</v>
      </c>
      <c r="C749" s="5">
        <f>(Cotacoes!C749-Cotacoes!C748)/Cotacoes!C748</f>
        <v>-4.8619214313496695E-3</v>
      </c>
      <c r="D749" s="5">
        <f>(Cotacoes!D749-Cotacoes!D748)/Cotacoes!D748</f>
        <v>-2.9673590504451456E-3</v>
      </c>
      <c r="E749" s="5">
        <f>(Cotacoes!E749-Cotacoes!E748)/Cotacoes!E748</f>
        <v>-9.8224404986776738E-3</v>
      </c>
      <c r="F749" s="5">
        <f>(Cotacoes!F749-Cotacoes!F748)/Cotacoes!F748</f>
        <v>-1.1036339165544995E-2</v>
      </c>
      <c r="G749" s="5">
        <f>(Cotacoes!G749-Cotacoes!G748)/Cotacoes!G748</f>
        <v>-1.7863788611834776E-2</v>
      </c>
      <c r="H749" s="5">
        <f>(Cotacoes!H749-Cotacoes!H748)/Cotacoes!H748</f>
        <v>-3.8560411311053923E-3</v>
      </c>
      <c r="I749" s="5">
        <f>(Cotacoes!I749-Cotacoes!I748)/Cotacoes!I748</f>
        <v>9.3516209476312781E-4</v>
      </c>
      <c r="J749" s="5">
        <f>(Cotacoes!J749-Cotacoes!J748)/Cotacoes!J748</f>
        <v>-3.0487804878048331E-3</v>
      </c>
      <c r="K749" s="5">
        <f>(Cotacoes!K749-Cotacoes!K748)/Cotacoes!K748</f>
        <v>-7.4280408542247052E-3</v>
      </c>
      <c r="L749" s="5">
        <f>(Cotacoes!L749-Cotacoes!L748)/Cotacoes!L748</f>
        <v>2.9615004935833523E-3</v>
      </c>
      <c r="M749" s="5">
        <f>(Cotacoes!M749-Cotacoes!M748)/Cotacoes!M748</f>
        <v>-5.932203389830532E-3</v>
      </c>
      <c r="N749" s="5">
        <f>(Cotacoes!N749-Cotacoes!N748)/Cotacoes!N748</f>
        <v>-8.5889570552147576E-3</v>
      </c>
      <c r="O749" s="5">
        <f>(Cotacoes!O749-Cotacoes!O748)/Cotacoes!O748</f>
        <v>-2.6351169669265848E-2</v>
      </c>
      <c r="P749" s="5">
        <f>(Cotacoes!P749-Cotacoes!P748)/Cotacoes!P748</f>
        <v>1.6019935920256927E-3</v>
      </c>
      <c r="Q749" s="5">
        <f>(Cotacoes!Q749-Cotacoes!Q748)/Cotacoes!Q748</f>
        <v>-5.6506296415885426E-3</v>
      </c>
      <c r="R749" s="5">
        <f>(Cotacoes!R749-Cotacoes!R748)/Cotacoes!R748</f>
        <v>-8.7783467446963578E-3</v>
      </c>
      <c r="S749" s="5">
        <f>(Cotacoes!S749-Cotacoes!S748)/Cotacoes!S748</f>
        <v>-6.4701653486700112E-3</v>
      </c>
      <c r="T749" s="5">
        <f>(Cotacoes!T749-Cotacoes!T748)/Cotacoes!T748</f>
        <v>2.5062656641599022E-4</v>
      </c>
      <c r="U749" s="5">
        <f>(Cotacoes!U749-Cotacoes!U748)/Cotacoes!U748</f>
        <v>-9.5298602287170069E-4</v>
      </c>
      <c r="V749" s="5">
        <f>(Cotacoes!V749-Cotacoes!V748)/Cotacoes!V748</f>
        <v>-1.5025701858442033E-2</v>
      </c>
      <c r="W749" s="5"/>
    </row>
    <row r="750" spans="1:23" x14ac:dyDescent="0.2">
      <c r="A750" s="4">
        <v>45656</v>
      </c>
      <c r="B750" s="5">
        <f>(Cotacoes!B750-Cotacoes!B749)/Cotacoes!B749</f>
        <v>0</v>
      </c>
      <c r="C750" s="5">
        <f>(Cotacoes!C750-Cotacoes!C749)/Cotacoes!C749</f>
        <v>-3.5176861442251261E-3</v>
      </c>
      <c r="D750" s="5">
        <f>(Cotacoes!D750-Cotacoes!D749)/Cotacoes!D749</f>
        <v>1.488095238095238E-2</v>
      </c>
      <c r="E750" s="5">
        <f>(Cotacoes!E750-Cotacoes!E749)/Cotacoes!E749</f>
        <v>-1.5261350629530387E-3</v>
      </c>
      <c r="F750" s="5">
        <f>(Cotacoes!F750-Cotacoes!F749)/Cotacoes!F749</f>
        <v>1.469787697332605E-2</v>
      </c>
      <c r="G750" s="5">
        <f>(Cotacoes!G750-Cotacoes!G749)/Cotacoes!G749</f>
        <v>-1.7051913603637715E-2</v>
      </c>
      <c r="H750" s="5">
        <f>(Cotacoes!H750-Cotacoes!H749)/Cotacoes!H749</f>
        <v>2.5806451612902675E-3</v>
      </c>
      <c r="I750" s="5">
        <f>(Cotacoes!I750-Cotacoes!I749)/Cotacoes!I749</f>
        <v>0</v>
      </c>
      <c r="J750" s="5">
        <f>(Cotacoes!J750-Cotacoes!J749)/Cotacoes!J749</f>
        <v>2.3785253143050597E-3</v>
      </c>
      <c r="K750" s="5">
        <f>(Cotacoes!K750-Cotacoes!K749)/Cotacoes!K749</f>
        <v>9.3545369504207548E-4</v>
      </c>
      <c r="L750" s="5">
        <f>(Cotacoes!L750-Cotacoes!L749)/Cotacoes!L749</f>
        <v>-3.937007874015839E-3</v>
      </c>
      <c r="M750" s="5">
        <f>(Cotacoes!M750-Cotacoes!M749)/Cotacoes!M749</f>
        <v>-2.728047740835467E-2</v>
      </c>
      <c r="N750" s="5">
        <f>(Cotacoes!N750-Cotacoes!N749)/Cotacoes!N749</f>
        <v>0</v>
      </c>
      <c r="O750" s="5">
        <f>(Cotacoes!O750-Cotacoes!O749)/Cotacoes!O749</f>
        <v>2.4855012427505191E-3</v>
      </c>
      <c r="P750" s="5">
        <f>(Cotacoes!P750-Cotacoes!P749)/Cotacoes!P749</f>
        <v>-2.488004265150179E-3</v>
      </c>
      <c r="Q750" s="5">
        <f>(Cotacoes!Q750-Cotacoes!Q749)/Cotacoes!Q749</f>
        <v>3.0849163825295944E-3</v>
      </c>
      <c r="R750" s="5">
        <f>(Cotacoes!R750-Cotacoes!R749)/Cotacoes!R749</f>
        <v>-1.3653136531365349E-2</v>
      </c>
      <c r="S750" s="5">
        <f>(Cotacoes!S750-Cotacoes!S749)/Cotacoes!S749</f>
        <v>-8.6830680173662078E-3</v>
      </c>
      <c r="T750" s="5">
        <f>(Cotacoes!T750-Cotacoes!T749)/Cotacoes!T749</f>
        <v>6.0135304434979202E-3</v>
      </c>
      <c r="U750" s="5">
        <f>(Cotacoes!U750-Cotacoes!U749)/Cotacoes!U749</f>
        <v>-9.2209856915738998E-3</v>
      </c>
      <c r="V750" s="5">
        <f>(Cotacoes!V750-Cotacoes!V749)/Cotacoes!V749</f>
        <v>5.6202328382176057E-3</v>
      </c>
      <c r="W750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Composicao</vt:lpstr>
      <vt:lpstr>Selecao_Carteira</vt:lpstr>
      <vt:lpstr>Ex_Carteira</vt:lpstr>
      <vt:lpstr>Cotacoes</vt:lpstr>
      <vt:lpstr>Retorno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TA13135</dc:creator>
  <cp:lastModifiedBy>TA13135</cp:lastModifiedBy>
  <dcterms:created xsi:type="dcterms:W3CDTF">2025-11-14T19:13:31Z</dcterms:created>
  <dcterms:modified xsi:type="dcterms:W3CDTF">2026-02-19T21:52:42Z</dcterms:modified>
</cp:coreProperties>
</file>